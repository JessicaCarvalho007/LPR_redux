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ita\Documents\LPR_redux\PyCap\PyCap_USGS\pycap-dss\Notebooks\Inputs\"/>
    </mc:Choice>
  </mc:AlternateContent>
  <xr:revisionPtr revIDLastSave="0" documentId="13_ncr:1_{1B025CE7-AB0B-427C-80D6-81C64EB62BB7}" xr6:coauthVersionLast="47" xr6:coauthVersionMax="47" xr10:uidLastSave="{00000000-0000-0000-0000-000000000000}"/>
  <bookViews>
    <workbookView xWindow="-120" yWindow="-120" windowWidth="29040" windowHeight="15720" xr2:uid="{3A26B333-1100-4E1B-8469-BE1CD79ED5C6}"/>
  </bookViews>
  <sheets>
    <sheet name="Sheet1" sheetId="1" r:id="rId1"/>
  </sheets>
  <definedNames>
    <definedName name="_xlnm._FilterDatabase" localSheetId="0" hidden="1">Sheet1!$A$2:$AH$687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87" i="1" l="1"/>
  <c r="Z687" i="1"/>
  <c r="X687" i="1"/>
  <c r="AC687" i="1" s="1"/>
  <c r="W687" i="1"/>
  <c r="AG687" i="1" s="1"/>
  <c r="V687" i="1"/>
  <c r="AA687" i="1" s="1"/>
  <c r="U687" i="1"/>
  <c r="T687" i="1"/>
  <c r="AF687" i="1" s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AG680" i="1"/>
  <c r="AA680" i="1"/>
  <c r="X680" i="1"/>
  <c r="AH680" i="1" s="1"/>
  <c r="W680" i="1"/>
  <c r="AB680" i="1" s="1"/>
  <c r="V680" i="1"/>
  <c r="U680" i="1"/>
  <c r="Z680" i="1" s="1"/>
  <c r="T680" i="1"/>
  <c r="AD680" i="1" s="1"/>
  <c r="AH679" i="1"/>
  <c r="AF679" i="1"/>
  <c r="Z679" i="1"/>
  <c r="X679" i="1"/>
  <c r="AC679" i="1" s="1"/>
  <c r="W679" i="1"/>
  <c r="AG679" i="1" s="1"/>
  <c r="V679" i="1"/>
  <c r="AA679" i="1" s="1"/>
  <c r="U679" i="1"/>
  <c r="T679" i="1"/>
  <c r="Y679" i="1" s="1"/>
  <c r="X678" i="1"/>
  <c r="W678" i="1"/>
  <c r="V678" i="1"/>
  <c r="U678" i="1"/>
  <c r="T678" i="1"/>
  <c r="X677" i="1"/>
  <c r="AH677" i="1" s="1"/>
  <c r="W677" i="1"/>
  <c r="AB677" i="1" s="1"/>
  <c r="V677" i="1"/>
  <c r="U677" i="1"/>
  <c r="AE677" i="1" s="1"/>
  <c r="T677" i="1"/>
  <c r="AG677" i="1" s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X664" i="1"/>
  <c r="W664" i="1"/>
  <c r="V664" i="1"/>
  <c r="U664" i="1"/>
  <c r="AB664" i="1" s="1"/>
  <c r="T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X661" i="1"/>
  <c r="W661" i="1"/>
  <c r="V661" i="1"/>
  <c r="U661" i="1"/>
  <c r="T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X658" i="1"/>
  <c r="W658" i="1"/>
  <c r="V658" i="1"/>
  <c r="U658" i="1"/>
  <c r="T658" i="1"/>
  <c r="X657" i="1"/>
  <c r="W657" i="1"/>
  <c r="V657" i="1"/>
  <c r="U657" i="1"/>
  <c r="T657" i="1"/>
  <c r="X656" i="1"/>
  <c r="AH656" i="1" s="1"/>
  <c r="W656" i="1"/>
  <c r="AG656" i="1" s="1"/>
  <c r="V656" i="1"/>
  <c r="AF656" i="1" s="1"/>
  <c r="U656" i="1"/>
  <c r="AE656" i="1" s="1"/>
  <c r="T656" i="1"/>
  <c r="X655" i="1"/>
  <c r="W655" i="1"/>
  <c r="V655" i="1"/>
  <c r="U655" i="1"/>
  <c r="T655" i="1"/>
  <c r="X654" i="1"/>
  <c r="W654" i="1"/>
  <c r="V654" i="1"/>
  <c r="U654" i="1"/>
  <c r="T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X651" i="1"/>
  <c r="AH651" i="1" s="1"/>
  <c r="W651" i="1"/>
  <c r="AG651" i="1" s="1"/>
  <c r="V651" i="1"/>
  <c r="AF651" i="1" s="1"/>
  <c r="U651" i="1"/>
  <c r="Z651" i="1" s="1"/>
  <c r="T651" i="1"/>
  <c r="AA651" i="1" s="1"/>
  <c r="AA650" i="1"/>
  <c r="X650" i="1"/>
  <c r="AH650" i="1" s="1"/>
  <c r="W650" i="1"/>
  <c r="AG650" i="1" s="1"/>
  <c r="V650" i="1"/>
  <c r="AF650" i="1" s="1"/>
  <c r="U650" i="1"/>
  <c r="AE650" i="1" s="1"/>
  <c r="T650" i="1"/>
  <c r="Z650" i="1" s="1"/>
  <c r="X649" i="1"/>
  <c r="W649" i="1"/>
  <c r="V649" i="1"/>
  <c r="U649" i="1"/>
  <c r="T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X646" i="1"/>
  <c r="W646" i="1"/>
  <c r="V646" i="1"/>
  <c r="U646" i="1"/>
  <c r="T646" i="1"/>
  <c r="X645" i="1"/>
  <c r="W645" i="1"/>
  <c r="V645" i="1"/>
  <c r="U645" i="1"/>
  <c r="T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X641" i="1"/>
  <c r="W641" i="1"/>
  <c r="V641" i="1"/>
  <c r="U641" i="1"/>
  <c r="T641" i="1"/>
  <c r="Y641" i="1" s="1"/>
  <c r="X640" i="1"/>
  <c r="W640" i="1"/>
  <c r="V640" i="1"/>
  <c r="U640" i="1"/>
  <c r="T640" i="1"/>
  <c r="X639" i="1"/>
  <c r="W639" i="1"/>
  <c r="V639" i="1"/>
  <c r="U639" i="1"/>
  <c r="T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X637" i="1"/>
  <c r="W637" i="1"/>
  <c r="V637" i="1"/>
  <c r="U637" i="1"/>
  <c r="T637" i="1"/>
  <c r="X636" i="1"/>
  <c r="AC636" i="1" s="1"/>
  <c r="W636" i="1"/>
  <c r="V636" i="1"/>
  <c r="U636" i="1"/>
  <c r="T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X634" i="1"/>
  <c r="W634" i="1"/>
  <c r="V634" i="1"/>
  <c r="U634" i="1"/>
  <c r="T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AG629" i="1"/>
  <c r="AF629" i="1"/>
  <c r="AC629" i="1"/>
  <c r="X629" i="1"/>
  <c r="AH629" i="1" s="1"/>
  <c r="W629" i="1"/>
  <c r="AB629" i="1" s="1"/>
  <c r="V629" i="1"/>
  <c r="AE629" i="1" s="1"/>
  <c r="U629" i="1"/>
  <c r="T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X627" i="1"/>
  <c r="W627" i="1"/>
  <c r="V627" i="1"/>
  <c r="U627" i="1"/>
  <c r="T627" i="1"/>
  <c r="X626" i="1"/>
  <c r="W626" i="1"/>
  <c r="V626" i="1"/>
  <c r="U626" i="1"/>
  <c r="T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X623" i="1"/>
  <c r="AH623" i="1" s="1"/>
  <c r="W623" i="1"/>
  <c r="AG623" i="1" s="1"/>
  <c r="V623" i="1"/>
  <c r="AA623" i="1" s="1"/>
  <c r="U623" i="1"/>
  <c r="Z623" i="1" s="1"/>
  <c r="T623" i="1"/>
  <c r="X622" i="1"/>
  <c r="W622" i="1"/>
  <c r="V622" i="1"/>
  <c r="U622" i="1"/>
  <c r="T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AE619" i="1"/>
  <c r="Y619" i="1"/>
  <c r="X619" i="1"/>
  <c r="AH619" i="1" s="1"/>
  <c r="W619" i="1"/>
  <c r="AG619" i="1" s="1"/>
  <c r="V619" i="1"/>
  <c r="AF619" i="1" s="1"/>
  <c r="U619" i="1"/>
  <c r="T619" i="1"/>
  <c r="AD619" i="1" s="1"/>
  <c r="X618" i="1"/>
  <c r="W618" i="1"/>
  <c r="V618" i="1"/>
  <c r="AH618" i="1" s="1"/>
  <c r="U618" i="1"/>
  <c r="T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X616" i="1"/>
  <c r="W616" i="1"/>
  <c r="V616" i="1"/>
  <c r="U616" i="1"/>
  <c r="T616" i="1"/>
  <c r="X615" i="1"/>
  <c r="AH615" i="1" s="1"/>
  <c r="W615" i="1"/>
  <c r="AG615" i="1" s="1"/>
  <c r="V615" i="1"/>
  <c r="AF615" i="1" s="1"/>
  <c r="U615" i="1"/>
  <c r="Z615" i="1" s="1"/>
  <c r="T615" i="1"/>
  <c r="Y615" i="1" s="1"/>
  <c r="X614" i="1"/>
  <c r="W614" i="1"/>
  <c r="V614" i="1"/>
  <c r="U614" i="1"/>
  <c r="T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X612" i="1"/>
  <c r="W612" i="1"/>
  <c r="V612" i="1"/>
  <c r="U612" i="1"/>
  <c r="T612" i="1"/>
  <c r="X611" i="1"/>
  <c r="W611" i="1"/>
  <c r="V611" i="1"/>
  <c r="U611" i="1"/>
  <c r="T611" i="1"/>
  <c r="AE611" i="1" s="1"/>
  <c r="X610" i="1"/>
  <c r="W610" i="1"/>
  <c r="V610" i="1"/>
  <c r="U610" i="1"/>
  <c r="T610" i="1"/>
  <c r="X609" i="1"/>
  <c r="W609" i="1"/>
  <c r="V609" i="1"/>
  <c r="U609" i="1"/>
  <c r="T609" i="1"/>
  <c r="X608" i="1"/>
  <c r="W608" i="1"/>
  <c r="V608" i="1"/>
  <c r="U608" i="1"/>
  <c r="T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X602" i="1"/>
  <c r="W602" i="1"/>
  <c r="V602" i="1"/>
  <c r="U602" i="1"/>
  <c r="T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X600" i="1"/>
  <c r="W600" i="1"/>
  <c r="V600" i="1"/>
  <c r="U600" i="1"/>
  <c r="T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X595" i="1"/>
  <c r="AH595" i="1" s="1"/>
  <c r="W595" i="1"/>
  <c r="AG595" i="1" s="1"/>
  <c r="V595" i="1"/>
  <c r="AF595" i="1" s="1"/>
  <c r="U595" i="1"/>
  <c r="AE595" i="1" s="1"/>
  <c r="T595" i="1"/>
  <c r="AD595" i="1" s="1"/>
  <c r="AD594" i="1"/>
  <c r="X594" i="1"/>
  <c r="W594" i="1"/>
  <c r="V594" i="1"/>
  <c r="AF594" i="1" s="1"/>
  <c r="U594" i="1"/>
  <c r="Y594" i="1" s="1"/>
  <c r="T594" i="1"/>
  <c r="X593" i="1"/>
  <c r="W593" i="1"/>
  <c r="V593" i="1"/>
  <c r="U593" i="1"/>
  <c r="T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X591" i="1"/>
  <c r="W591" i="1"/>
  <c r="V591" i="1"/>
  <c r="U591" i="1"/>
  <c r="T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X587" i="1"/>
  <c r="W587" i="1"/>
  <c r="V587" i="1"/>
  <c r="U587" i="1"/>
  <c r="T587" i="1"/>
  <c r="X586" i="1"/>
  <c r="W586" i="1"/>
  <c r="V586" i="1"/>
  <c r="U586" i="1"/>
  <c r="T586" i="1"/>
  <c r="X585" i="1"/>
  <c r="W585" i="1"/>
  <c r="V585" i="1"/>
  <c r="U585" i="1"/>
  <c r="T585" i="1"/>
  <c r="X584" i="1"/>
  <c r="W584" i="1"/>
  <c r="V584" i="1"/>
  <c r="U584" i="1"/>
  <c r="T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X582" i="1"/>
  <c r="W582" i="1"/>
  <c r="V582" i="1"/>
  <c r="U582" i="1"/>
  <c r="T582" i="1"/>
  <c r="X581" i="1"/>
  <c r="W581" i="1"/>
  <c r="V581" i="1"/>
  <c r="U581" i="1"/>
  <c r="T581" i="1"/>
  <c r="X580" i="1"/>
  <c r="W580" i="1"/>
  <c r="V580" i="1"/>
  <c r="U580" i="1"/>
  <c r="T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X578" i="1"/>
  <c r="W578" i="1"/>
  <c r="V578" i="1"/>
  <c r="U578" i="1"/>
  <c r="T578" i="1"/>
  <c r="X577" i="1"/>
  <c r="W577" i="1"/>
  <c r="V577" i="1"/>
  <c r="U577" i="1"/>
  <c r="T577" i="1"/>
  <c r="X576" i="1"/>
  <c r="W576" i="1"/>
  <c r="V576" i="1"/>
  <c r="U576" i="1"/>
  <c r="T576" i="1"/>
  <c r="X575" i="1"/>
  <c r="W575" i="1"/>
  <c r="V575" i="1"/>
  <c r="U575" i="1"/>
  <c r="T575" i="1"/>
  <c r="X574" i="1"/>
  <c r="W574" i="1"/>
  <c r="V574" i="1"/>
  <c r="U574" i="1"/>
  <c r="T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X572" i="1"/>
  <c r="W572" i="1"/>
  <c r="V572" i="1"/>
  <c r="U572" i="1"/>
  <c r="T572" i="1"/>
  <c r="Y572" i="1" s="1"/>
  <c r="X571" i="1"/>
  <c r="W571" i="1"/>
  <c r="V571" i="1"/>
  <c r="U571" i="1"/>
  <c r="T571" i="1"/>
  <c r="X570" i="1"/>
  <c r="AC570" i="1" s="1"/>
  <c r="W570" i="1"/>
  <c r="AG570" i="1" s="1"/>
  <c r="V570" i="1"/>
  <c r="AF570" i="1" s="1"/>
  <c r="U570" i="1"/>
  <c r="AH570" i="1" s="1"/>
  <c r="T570" i="1"/>
  <c r="AD570" i="1" s="1"/>
  <c r="X569" i="1"/>
  <c r="W569" i="1"/>
  <c r="V569" i="1"/>
  <c r="U569" i="1"/>
  <c r="T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X566" i="1"/>
  <c r="W566" i="1"/>
  <c r="V566" i="1"/>
  <c r="U566" i="1"/>
  <c r="T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X563" i="1"/>
  <c r="W563" i="1"/>
  <c r="V563" i="1"/>
  <c r="U563" i="1"/>
  <c r="T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X559" i="1"/>
  <c r="W559" i="1"/>
  <c r="V559" i="1"/>
  <c r="U559" i="1"/>
  <c r="T559" i="1"/>
  <c r="X558" i="1"/>
  <c r="W558" i="1"/>
  <c r="V558" i="1"/>
  <c r="U558" i="1"/>
  <c r="T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X556" i="1"/>
  <c r="W556" i="1"/>
  <c r="V556" i="1"/>
  <c r="U556" i="1"/>
  <c r="T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X553" i="1"/>
  <c r="W553" i="1"/>
  <c r="V553" i="1"/>
  <c r="U553" i="1"/>
  <c r="T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X551" i="1"/>
  <c r="W551" i="1"/>
  <c r="V551" i="1"/>
  <c r="U551" i="1"/>
  <c r="T551" i="1"/>
  <c r="X550" i="1"/>
  <c r="W550" i="1"/>
  <c r="V550" i="1"/>
  <c r="U550" i="1"/>
  <c r="T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X548" i="1"/>
  <c r="W548" i="1"/>
  <c r="V548" i="1"/>
  <c r="U548" i="1"/>
  <c r="T548" i="1"/>
  <c r="X547" i="1"/>
  <c r="W547" i="1"/>
  <c r="V547" i="1"/>
  <c r="U547" i="1"/>
  <c r="T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X545" i="1"/>
  <c r="W545" i="1"/>
  <c r="V545" i="1"/>
  <c r="U545" i="1"/>
  <c r="T545" i="1"/>
  <c r="X544" i="1"/>
  <c r="W544" i="1"/>
  <c r="V544" i="1"/>
  <c r="U544" i="1"/>
  <c r="T544" i="1"/>
  <c r="X543" i="1"/>
  <c r="W543" i="1"/>
  <c r="V543" i="1"/>
  <c r="U543" i="1"/>
  <c r="T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X541" i="1"/>
  <c r="W541" i="1"/>
  <c r="V541" i="1"/>
  <c r="U541" i="1"/>
  <c r="T541" i="1"/>
  <c r="X540" i="1"/>
  <c r="W540" i="1"/>
  <c r="V540" i="1"/>
  <c r="U540" i="1"/>
  <c r="T540" i="1"/>
  <c r="X539" i="1"/>
  <c r="W539" i="1"/>
  <c r="V539" i="1"/>
  <c r="U539" i="1"/>
  <c r="T539" i="1"/>
  <c r="X538" i="1"/>
  <c r="W538" i="1"/>
  <c r="V538" i="1"/>
  <c r="U538" i="1"/>
  <c r="T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X533" i="1"/>
  <c r="W533" i="1"/>
  <c r="V533" i="1"/>
  <c r="U533" i="1"/>
  <c r="T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X531" i="1"/>
  <c r="W531" i="1"/>
  <c r="V531" i="1"/>
  <c r="U531" i="1"/>
  <c r="T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X517" i="1"/>
  <c r="W517" i="1"/>
  <c r="V517" i="1"/>
  <c r="U517" i="1"/>
  <c r="T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X514" i="1"/>
  <c r="W514" i="1"/>
  <c r="V514" i="1"/>
  <c r="U514" i="1"/>
  <c r="T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X512" i="1"/>
  <c r="W512" i="1"/>
  <c r="V512" i="1"/>
  <c r="U512" i="1"/>
  <c r="T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X510" i="1"/>
  <c r="W510" i="1"/>
  <c r="V510" i="1"/>
  <c r="U510" i="1"/>
  <c r="T510" i="1"/>
  <c r="X509" i="1"/>
  <c r="W509" i="1"/>
  <c r="V509" i="1"/>
  <c r="U509" i="1"/>
  <c r="T509" i="1"/>
  <c r="X508" i="1"/>
  <c r="W508" i="1"/>
  <c r="V508" i="1"/>
  <c r="U508" i="1"/>
  <c r="T508" i="1"/>
  <c r="X507" i="1"/>
  <c r="W507" i="1"/>
  <c r="V507" i="1"/>
  <c r="U507" i="1"/>
  <c r="T507" i="1"/>
  <c r="X506" i="1"/>
  <c r="W506" i="1"/>
  <c r="V506" i="1"/>
  <c r="U506" i="1"/>
  <c r="T506" i="1"/>
  <c r="X505" i="1"/>
  <c r="W505" i="1"/>
  <c r="V505" i="1"/>
  <c r="U505" i="1"/>
  <c r="T505" i="1"/>
  <c r="X504" i="1"/>
  <c r="W504" i="1"/>
  <c r="V504" i="1"/>
  <c r="U504" i="1"/>
  <c r="T504" i="1"/>
  <c r="X503" i="1"/>
  <c r="W503" i="1"/>
  <c r="V503" i="1"/>
  <c r="U503" i="1"/>
  <c r="T503" i="1"/>
  <c r="X502" i="1"/>
  <c r="W502" i="1"/>
  <c r="V502" i="1"/>
  <c r="U502" i="1"/>
  <c r="T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X500" i="1"/>
  <c r="W500" i="1"/>
  <c r="V500" i="1"/>
  <c r="U500" i="1"/>
  <c r="T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X497" i="1"/>
  <c r="W497" i="1"/>
  <c r="V497" i="1"/>
  <c r="U497" i="1"/>
  <c r="T497" i="1"/>
  <c r="X496" i="1"/>
  <c r="W496" i="1"/>
  <c r="V496" i="1"/>
  <c r="U496" i="1"/>
  <c r="T496" i="1"/>
  <c r="X495" i="1"/>
  <c r="W495" i="1"/>
  <c r="V495" i="1"/>
  <c r="U495" i="1"/>
  <c r="T495" i="1"/>
  <c r="X494" i="1"/>
  <c r="W494" i="1"/>
  <c r="V494" i="1"/>
  <c r="U494" i="1"/>
  <c r="T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X488" i="1"/>
  <c r="W488" i="1"/>
  <c r="V488" i="1"/>
  <c r="U488" i="1"/>
  <c r="T488" i="1"/>
  <c r="X487" i="1"/>
  <c r="W487" i="1"/>
  <c r="V487" i="1"/>
  <c r="U487" i="1"/>
  <c r="T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X485" i="1"/>
  <c r="W485" i="1"/>
  <c r="V485" i="1"/>
  <c r="U485" i="1"/>
  <c r="T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X483" i="1"/>
  <c r="W483" i="1"/>
  <c r="V483" i="1"/>
  <c r="U483" i="1"/>
  <c r="T483" i="1"/>
  <c r="X482" i="1"/>
  <c r="W482" i="1"/>
  <c r="V482" i="1"/>
  <c r="U482" i="1"/>
  <c r="T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X479" i="1"/>
  <c r="W479" i="1"/>
  <c r="V479" i="1"/>
  <c r="U479" i="1"/>
  <c r="T479" i="1"/>
  <c r="X478" i="1"/>
  <c r="W478" i="1"/>
  <c r="V478" i="1"/>
  <c r="U478" i="1"/>
  <c r="T478" i="1"/>
  <c r="X477" i="1"/>
  <c r="W477" i="1"/>
  <c r="V477" i="1"/>
  <c r="U477" i="1"/>
  <c r="T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X475" i="1"/>
  <c r="W475" i="1"/>
  <c r="V475" i="1"/>
  <c r="U475" i="1"/>
  <c r="T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X473" i="1"/>
  <c r="AH473" i="1" s="1"/>
  <c r="W473" i="1"/>
  <c r="V473" i="1"/>
  <c r="U473" i="1"/>
  <c r="Z473" i="1" s="1"/>
  <c r="T473" i="1"/>
  <c r="X472" i="1"/>
  <c r="W472" i="1"/>
  <c r="V472" i="1"/>
  <c r="U472" i="1"/>
  <c r="T472" i="1"/>
  <c r="X471" i="1"/>
  <c r="W471" i="1"/>
  <c r="V471" i="1"/>
  <c r="U471" i="1"/>
  <c r="T471" i="1"/>
  <c r="X470" i="1"/>
  <c r="W470" i="1"/>
  <c r="V470" i="1"/>
  <c r="U470" i="1"/>
  <c r="T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X468" i="1"/>
  <c r="W468" i="1"/>
  <c r="V468" i="1"/>
  <c r="U468" i="1"/>
  <c r="T468" i="1"/>
  <c r="X467" i="1"/>
  <c r="W467" i="1"/>
  <c r="V467" i="1"/>
  <c r="U467" i="1"/>
  <c r="T467" i="1"/>
  <c r="X466" i="1"/>
  <c r="W466" i="1"/>
  <c r="V466" i="1"/>
  <c r="U466" i="1"/>
  <c r="T466" i="1"/>
  <c r="X465" i="1"/>
  <c r="W465" i="1"/>
  <c r="V465" i="1"/>
  <c r="U465" i="1"/>
  <c r="T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X463" i="1"/>
  <c r="W463" i="1"/>
  <c r="V463" i="1"/>
  <c r="U463" i="1"/>
  <c r="T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X459" i="1"/>
  <c r="W459" i="1"/>
  <c r="V459" i="1"/>
  <c r="U459" i="1"/>
  <c r="AE459" i="1" s="1"/>
  <c r="T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X453" i="1"/>
  <c r="W453" i="1"/>
  <c r="V453" i="1"/>
  <c r="U453" i="1"/>
  <c r="T453" i="1"/>
  <c r="X452" i="1"/>
  <c r="W452" i="1"/>
  <c r="V452" i="1"/>
  <c r="U452" i="1"/>
  <c r="T452" i="1"/>
  <c r="X451" i="1"/>
  <c r="W451" i="1"/>
  <c r="V451" i="1"/>
  <c r="U451" i="1"/>
  <c r="T451" i="1"/>
  <c r="X450" i="1"/>
  <c r="W450" i="1"/>
  <c r="V450" i="1"/>
  <c r="U450" i="1"/>
  <c r="T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X443" i="1"/>
  <c r="W443" i="1"/>
  <c r="V443" i="1"/>
  <c r="U443" i="1"/>
  <c r="T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X441" i="1"/>
  <c r="W441" i="1"/>
  <c r="V441" i="1"/>
  <c r="U441" i="1"/>
  <c r="T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X439" i="1"/>
  <c r="W439" i="1"/>
  <c r="V439" i="1"/>
  <c r="U439" i="1"/>
  <c r="T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X437" i="1"/>
  <c r="W437" i="1"/>
  <c r="V437" i="1"/>
  <c r="U437" i="1"/>
  <c r="T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X430" i="1"/>
  <c r="W430" i="1"/>
  <c r="V430" i="1"/>
  <c r="U430" i="1"/>
  <c r="T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X428" i="1"/>
  <c r="W428" i="1"/>
  <c r="V428" i="1"/>
  <c r="U428" i="1"/>
  <c r="T428" i="1"/>
  <c r="X427" i="1"/>
  <c r="W427" i="1"/>
  <c r="V427" i="1"/>
  <c r="U427" i="1"/>
  <c r="T427" i="1"/>
  <c r="X426" i="1"/>
  <c r="W426" i="1"/>
  <c r="V426" i="1"/>
  <c r="U426" i="1"/>
  <c r="T426" i="1"/>
  <c r="X425" i="1"/>
  <c r="W425" i="1"/>
  <c r="V425" i="1"/>
  <c r="U425" i="1"/>
  <c r="T425" i="1"/>
  <c r="X424" i="1"/>
  <c r="W424" i="1"/>
  <c r="V424" i="1"/>
  <c r="U424" i="1"/>
  <c r="T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X421" i="1"/>
  <c r="W421" i="1"/>
  <c r="V421" i="1"/>
  <c r="U421" i="1"/>
  <c r="T421" i="1"/>
  <c r="X420" i="1"/>
  <c r="W420" i="1"/>
  <c r="V420" i="1"/>
  <c r="U420" i="1"/>
  <c r="T420" i="1"/>
  <c r="X419" i="1"/>
  <c r="W419" i="1"/>
  <c r="V419" i="1"/>
  <c r="U419" i="1"/>
  <c r="T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X417" i="1"/>
  <c r="W417" i="1"/>
  <c r="V417" i="1"/>
  <c r="U417" i="1"/>
  <c r="T417" i="1"/>
  <c r="X416" i="1"/>
  <c r="W416" i="1"/>
  <c r="V416" i="1"/>
  <c r="U416" i="1"/>
  <c r="T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X406" i="1"/>
  <c r="W406" i="1"/>
  <c r="V406" i="1"/>
  <c r="U406" i="1"/>
  <c r="T406" i="1"/>
  <c r="X405" i="1"/>
  <c r="W405" i="1"/>
  <c r="V405" i="1"/>
  <c r="U405" i="1"/>
  <c r="T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X396" i="1"/>
  <c r="W396" i="1"/>
  <c r="V396" i="1"/>
  <c r="U396" i="1"/>
  <c r="T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X389" i="1"/>
  <c r="W389" i="1"/>
  <c r="V389" i="1"/>
  <c r="U389" i="1"/>
  <c r="T389" i="1"/>
  <c r="X388" i="1"/>
  <c r="W388" i="1"/>
  <c r="V388" i="1"/>
  <c r="U388" i="1"/>
  <c r="T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X385" i="1"/>
  <c r="W385" i="1"/>
  <c r="V385" i="1"/>
  <c r="U385" i="1"/>
  <c r="T385" i="1"/>
  <c r="X384" i="1"/>
  <c r="W384" i="1"/>
  <c r="V384" i="1"/>
  <c r="U384" i="1"/>
  <c r="T384" i="1"/>
  <c r="X383" i="1"/>
  <c r="W383" i="1"/>
  <c r="V383" i="1"/>
  <c r="U383" i="1"/>
  <c r="T383" i="1"/>
  <c r="X382" i="1"/>
  <c r="W382" i="1"/>
  <c r="V382" i="1"/>
  <c r="U382" i="1"/>
  <c r="T382" i="1"/>
  <c r="X381" i="1"/>
  <c r="W381" i="1"/>
  <c r="V381" i="1"/>
  <c r="U381" i="1"/>
  <c r="T381" i="1"/>
  <c r="X380" i="1"/>
  <c r="W380" i="1"/>
  <c r="V380" i="1"/>
  <c r="U380" i="1"/>
  <c r="T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X378" i="1"/>
  <c r="W378" i="1"/>
  <c r="V378" i="1"/>
  <c r="U378" i="1"/>
  <c r="T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X375" i="1"/>
  <c r="W375" i="1"/>
  <c r="V375" i="1"/>
  <c r="U375" i="1"/>
  <c r="T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X371" i="1"/>
  <c r="W371" i="1"/>
  <c r="V371" i="1"/>
  <c r="U371" i="1"/>
  <c r="T371" i="1"/>
  <c r="X370" i="1"/>
  <c r="W370" i="1"/>
  <c r="V370" i="1"/>
  <c r="U370" i="1"/>
  <c r="T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X368" i="1"/>
  <c r="W368" i="1"/>
  <c r="V368" i="1"/>
  <c r="U368" i="1"/>
  <c r="T368" i="1"/>
  <c r="X367" i="1"/>
  <c r="W367" i="1"/>
  <c r="V367" i="1"/>
  <c r="U367" i="1"/>
  <c r="T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X363" i="1"/>
  <c r="W363" i="1"/>
  <c r="V363" i="1"/>
  <c r="U363" i="1"/>
  <c r="T363" i="1"/>
  <c r="X362" i="1"/>
  <c r="W362" i="1"/>
  <c r="V362" i="1"/>
  <c r="U362" i="1"/>
  <c r="T362" i="1"/>
  <c r="X361" i="1"/>
  <c r="W361" i="1"/>
  <c r="V361" i="1"/>
  <c r="U361" i="1"/>
  <c r="T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X358" i="1"/>
  <c r="W358" i="1"/>
  <c r="V358" i="1"/>
  <c r="U358" i="1"/>
  <c r="T358" i="1"/>
  <c r="X357" i="1"/>
  <c r="W357" i="1"/>
  <c r="V357" i="1"/>
  <c r="U357" i="1"/>
  <c r="T357" i="1"/>
  <c r="X356" i="1"/>
  <c r="W356" i="1"/>
  <c r="V356" i="1"/>
  <c r="U356" i="1"/>
  <c r="T356" i="1"/>
  <c r="X355" i="1"/>
  <c r="W355" i="1"/>
  <c r="V355" i="1"/>
  <c r="U355" i="1"/>
  <c r="T355" i="1"/>
  <c r="X354" i="1"/>
  <c r="W354" i="1"/>
  <c r="V354" i="1"/>
  <c r="U354" i="1"/>
  <c r="T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X350" i="1"/>
  <c r="W350" i="1"/>
  <c r="V350" i="1"/>
  <c r="U350" i="1"/>
  <c r="T350" i="1"/>
  <c r="X349" i="1"/>
  <c r="W349" i="1"/>
  <c r="V349" i="1"/>
  <c r="U349" i="1"/>
  <c r="T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X342" i="1"/>
  <c r="W342" i="1"/>
  <c r="V342" i="1"/>
  <c r="U342" i="1"/>
  <c r="T342" i="1"/>
  <c r="X341" i="1"/>
  <c r="W341" i="1"/>
  <c r="V341" i="1"/>
  <c r="U341" i="1"/>
  <c r="T341" i="1"/>
  <c r="X340" i="1"/>
  <c r="W340" i="1"/>
  <c r="V340" i="1"/>
  <c r="U340" i="1"/>
  <c r="T340" i="1"/>
  <c r="X339" i="1"/>
  <c r="W339" i="1"/>
  <c r="V339" i="1"/>
  <c r="U339" i="1"/>
  <c r="T339" i="1"/>
  <c r="X338" i="1"/>
  <c r="W338" i="1"/>
  <c r="V338" i="1"/>
  <c r="U338" i="1"/>
  <c r="T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X335" i="1"/>
  <c r="W335" i="1"/>
  <c r="V335" i="1"/>
  <c r="U335" i="1"/>
  <c r="T335" i="1"/>
  <c r="X334" i="1"/>
  <c r="W334" i="1"/>
  <c r="V334" i="1"/>
  <c r="U334" i="1"/>
  <c r="T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X332" i="1"/>
  <c r="W332" i="1"/>
  <c r="V332" i="1"/>
  <c r="U332" i="1"/>
  <c r="T332" i="1"/>
  <c r="X331" i="1"/>
  <c r="W331" i="1"/>
  <c r="V331" i="1"/>
  <c r="U331" i="1"/>
  <c r="T331" i="1"/>
  <c r="X330" i="1"/>
  <c r="W330" i="1"/>
  <c r="V330" i="1"/>
  <c r="U330" i="1"/>
  <c r="T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X328" i="1"/>
  <c r="W328" i="1"/>
  <c r="V328" i="1"/>
  <c r="U328" i="1"/>
  <c r="T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X323" i="1"/>
  <c r="W323" i="1"/>
  <c r="V323" i="1"/>
  <c r="U323" i="1"/>
  <c r="T323" i="1"/>
  <c r="X322" i="1"/>
  <c r="W322" i="1"/>
  <c r="V322" i="1"/>
  <c r="U322" i="1"/>
  <c r="T322" i="1"/>
  <c r="X321" i="1"/>
  <c r="W321" i="1"/>
  <c r="V321" i="1"/>
  <c r="U321" i="1"/>
  <c r="T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X315" i="1"/>
  <c r="W315" i="1"/>
  <c r="V315" i="1"/>
  <c r="U315" i="1"/>
  <c r="T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X313" i="1"/>
  <c r="W313" i="1"/>
  <c r="V313" i="1"/>
  <c r="U313" i="1"/>
  <c r="T313" i="1"/>
  <c r="X312" i="1"/>
  <c r="W312" i="1"/>
  <c r="V312" i="1"/>
  <c r="U312" i="1"/>
  <c r="T312" i="1"/>
  <c r="X311" i="1"/>
  <c r="W311" i="1"/>
  <c r="V311" i="1"/>
  <c r="U311" i="1"/>
  <c r="T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X308" i="1"/>
  <c r="W308" i="1"/>
  <c r="V308" i="1"/>
  <c r="U308" i="1"/>
  <c r="T308" i="1"/>
  <c r="X307" i="1"/>
  <c r="W307" i="1"/>
  <c r="V307" i="1"/>
  <c r="U307" i="1"/>
  <c r="T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X305" i="1"/>
  <c r="W305" i="1"/>
  <c r="V305" i="1"/>
  <c r="U305" i="1"/>
  <c r="T305" i="1"/>
  <c r="X304" i="1"/>
  <c r="W304" i="1"/>
  <c r="V304" i="1"/>
  <c r="U304" i="1"/>
  <c r="T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X301" i="1"/>
  <c r="W301" i="1"/>
  <c r="V301" i="1"/>
  <c r="U301" i="1"/>
  <c r="T301" i="1"/>
  <c r="X300" i="1"/>
  <c r="W300" i="1"/>
  <c r="V300" i="1"/>
  <c r="U300" i="1"/>
  <c r="T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X297" i="1"/>
  <c r="W297" i="1"/>
  <c r="V297" i="1"/>
  <c r="U297" i="1"/>
  <c r="T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X292" i="1"/>
  <c r="W292" i="1"/>
  <c r="V292" i="1"/>
  <c r="U292" i="1"/>
  <c r="T292" i="1"/>
  <c r="X291" i="1"/>
  <c r="W291" i="1"/>
  <c r="V291" i="1"/>
  <c r="U291" i="1"/>
  <c r="T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X289" i="1"/>
  <c r="W289" i="1"/>
  <c r="V289" i="1"/>
  <c r="U289" i="1"/>
  <c r="T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X287" i="1"/>
  <c r="W287" i="1"/>
  <c r="V287" i="1"/>
  <c r="U287" i="1"/>
  <c r="T287" i="1"/>
  <c r="X286" i="1"/>
  <c r="W286" i="1"/>
  <c r="V286" i="1"/>
  <c r="U286" i="1"/>
  <c r="T286" i="1"/>
  <c r="X285" i="1"/>
  <c r="W285" i="1"/>
  <c r="V285" i="1"/>
  <c r="U285" i="1"/>
  <c r="T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X283" i="1"/>
  <c r="W283" i="1"/>
  <c r="V283" i="1"/>
  <c r="U283" i="1"/>
  <c r="T283" i="1"/>
  <c r="X282" i="1"/>
  <c r="W282" i="1"/>
  <c r="V282" i="1"/>
  <c r="U282" i="1"/>
  <c r="T282" i="1"/>
  <c r="X281" i="1"/>
  <c r="W281" i="1"/>
  <c r="V281" i="1"/>
  <c r="U281" i="1"/>
  <c r="T281" i="1"/>
  <c r="X280" i="1"/>
  <c r="W280" i="1"/>
  <c r="V280" i="1"/>
  <c r="U280" i="1"/>
  <c r="T280" i="1"/>
  <c r="X279" i="1"/>
  <c r="W279" i="1"/>
  <c r="V279" i="1"/>
  <c r="U279" i="1"/>
  <c r="T279" i="1"/>
  <c r="X278" i="1"/>
  <c r="W278" i="1"/>
  <c r="V278" i="1"/>
  <c r="U278" i="1"/>
  <c r="T278" i="1"/>
  <c r="X277" i="1"/>
  <c r="W277" i="1"/>
  <c r="V277" i="1"/>
  <c r="U277" i="1"/>
  <c r="T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X275" i="1"/>
  <c r="W275" i="1"/>
  <c r="V275" i="1"/>
  <c r="U275" i="1"/>
  <c r="T275" i="1"/>
  <c r="X274" i="1"/>
  <c r="W274" i="1"/>
  <c r="V274" i="1"/>
  <c r="U274" i="1"/>
  <c r="T274" i="1"/>
  <c r="X273" i="1"/>
  <c r="W273" i="1"/>
  <c r="V273" i="1"/>
  <c r="U273" i="1"/>
  <c r="T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X271" i="1"/>
  <c r="W271" i="1"/>
  <c r="V271" i="1"/>
  <c r="U271" i="1"/>
  <c r="T271" i="1"/>
  <c r="X270" i="1"/>
  <c r="W270" i="1"/>
  <c r="V270" i="1"/>
  <c r="U270" i="1"/>
  <c r="T270" i="1"/>
  <c r="X269" i="1"/>
  <c r="W269" i="1"/>
  <c r="V269" i="1"/>
  <c r="U269" i="1"/>
  <c r="T269" i="1"/>
  <c r="X268" i="1"/>
  <c r="W268" i="1"/>
  <c r="V268" i="1"/>
  <c r="U268" i="1"/>
  <c r="T268" i="1"/>
  <c r="X267" i="1"/>
  <c r="W267" i="1"/>
  <c r="V267" i="1"/>
  <c r="U267" i="1"/>
  <c r="T267" i="1"/>
  <c r="X266" i="1"/>
  <c r="W266" i="1"/>
  <c r="V266" i="1"/>
  <c r="U266" i="1"/>
  <c r="T266" i="1"/>
  <c r="X265" i="1"/>
  <c r="W265" i="1"/>
  <c r="V265" i="1"/>
  <c r="U265" i="1"/>
  <c r="T265" i="1"/>
  <c r="X264" i="1"/>
  <c r="W264" i="1"/>
  <c r="V264" i="1"/>
  <c r="U264" i="1"/>
  <c r="T264" i="1"/>
  <c r="X263" i="1"/>
  <c r="W263" i="1"/>
  <c r="V263" i="1"/>
  <c r="U263" i="1"/>
  <c r="T263" i="1"/>
  <c r="X262" i="1"/>
  <c r="W262" i="1"/>
  <c r="V262" i="1"/>
  <c r="U262" i="1"/>
  <c r="T262" i="1"/>
  <c r="X261" i="1"/>
  <c r="W261" i="1"/>
  <c r="V261" i="1"/>
  <c r="U261" i="1"/>
  <c r="T261" i="1"/>
  <c r="X260" i="1"/>
  <c r="W260" i="1"/>
  <c r="V260" i="1"/>
  <c r="U260" i="1"/>
  <c r="T260" i="1"/>
  <c r="X259" i="1"/>
  <c r="W259" i="1"/>
  <c r="V259" i="1"/>
  <c r="U259" i="1"/>
  <c r="T259" i="1"/>
  <c r="X258" i="1"/>
  <c r="W258" i="1"/>
  <c r="V258" i="1"/>
  <c r="U258" i="1"/>
  <c r="T258" i="1"/>
  <c r="X257" i="1"/>
  <c r="W257" i="1"/>
  <c r="V257" i="1"/>
  <c r="U257" i="1"/>
  <c r="T257" i="1"/>
  <c r="X256" i="1"/>
  <c r="W256" i="1"/>
  <c r="V256" i="1"/>
  <c r="U256" i="1"/>
  <c r="T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X251" i="1"/>
  <c r="W251" i="1"/>
  <c r="V251" i="1"/>
  <c r="U251" i="1"/>
  <c r="T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X248" i="1"/>
  <c r="W248" i="1"/>
  <c r="V248" i="1"/>
  <c r="U248" i="1"/>
  <c r="T248" i="1"/>
  <c r="X247" i="1"/>
  <c r="W247" i="1"/>
  <c r="V247" i="1"/>
  <c r="U247" i="1"/>
  <c r="T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X244" i="1"/>
  <c r="W244" i="1"/>
  <c r="V244" i="1"/>
  <c r="U244" i="1"/>
  <c r="T244" i="1"/>
  <c r="X243" i="1"/>
  <c r="W243" i="1"/>
  <c r="V243" i="1"/>
  <c r="U243" i="1"/>
  <c r="T243" i="1"/>
  <c r="X242" i="1"/>
  <c r="W242" i="1"/>
  <c r="V242" i="1"/>
  <c r="U242" i="1"/>
  <c r="T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X240" i="1"/>
  <c r="W240" i="1"/>
  <c r="V240" i="1"/>
  <c r="U240" i="1"/>
  <c r="T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X238" i="1"/>
  <c r="W238" i="1"/>
  <c r="V238" i="1"/>
  <c r="U238" i="1"/>
  <c r="T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X235" i="1"/>
  <c r="W235" i="1"/>
  <c r="V235" i="1"/>
  <c r="U235" i="1"/>
  <c r="T235" i="1"/>
  <c r="X234" i="1"/>
  <c r="W234" i="1"/>
  <c r="V234" i="1"/>
  <c r="U234" i="1"/>
  <c r="T234" i="1"/>
  <c r="X233" i="1"/>
  <c r="W233" i="1"/>
  <c r="V233" i="1"/>
  <c r="U233" i="1"/>
  <c r="T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X231" i="1"/>
  <c r="W231" i="1"/>
  <c r="V231" i="1"/>
  <c r="U231" i="1"/>
  <c r="T231" i="1"/>
  <c r="X230" i="1"/>
  <c r="W230" i="1"/>
  <c r="V230" i="1"/>
  <c r="U230" i="1"/>
  <c r="T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X228" i="1"/>
  <c r="W228" i="1"/>
  <c r="V228" i="1"/>
  <c r="U228" i="1"/>
  <c r="T228" i="1"/>
  <c r="X227" i="1"/>
  <c r="W227" i="1"/>
  <c r="V227" i="1"/>
  <c r="U227" i="1"/>
  <c r="T227" i="1"/>
  <c r="X226" i="1"/>
  <c r="W226" i="1"/>
  <c r="V226" i="1"/>
  <c r="U226" i="1"/>
  <c r="T226" i="1"/>
  <c r="X225" i="1"/>
  <c r="W225" i="1"/>
  <c r="V225" i="1"/>
  <c r="U225" i="1"/>
  <c r="T225" i="1"/>
  <c r="X224" i="1"/>
  <c r="W224" i="1"/>
  <c r="V224" i="1"/>
  <c r="U224" i="1"/>
  <c r="T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X222" i="1"/>
  <c r="W222" i="1"/>
  <c r="V222" i="1"/>
  <c r="U222" i="1"/>
  <c r="T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X220" i="1"/>
  <c r="W220" i="1"/>
  <c r="V220" i="1"/>
  <c r="U220" i="1"/>
  <c r="T220" i="1"/>
  <c r="X219" i="1"/>
  <c r="W219" i="1"/>
  <c r="V219" i="1"/>
  <c r="U219" i="1"/>
  <c r="T219" i="1"/>
  <c r="X218" i="1"/>
  <c r="W218" i="1"/>
  <c r="V218" i="1"/>
  <c r="U218" i="1"/>
  <c r="T218" i="1"/>
  <c r="X217" i="1"/>
  <c r="W217" i="1"/>
  <c r="V217" i="1"/>
  <c r="U217" i="1"/>
  <c r="T217" i="1"/>
  <c r="X216" i="1"/>
  <c r="W216" i="1"/>
  <c r="V216" i="1"/>
  <c r="U216" i="1"/>
  <c r="T216" i="1"/>
  <c r="X215" i="1"/>
  <c r="W215" i="1"/>
  <c r="V215" i="1"/>
  <c r="U215" i="1"/>
  <c r="T215" i="1"/>
  <c r="X214" i="1"/>
  <c r="W214" i="1"/>
  <c r="V214" i="1"/>
  <c r="U214" i="1"/>
  <c r="T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X212" i="1"/>
  <c r="W212" i="1"/>
  <c r="V212" i="1"/>
  <c r="U212" i="1"/>
  <c r="T212" i="1"/>
  <c r="X211" i="1"/>
  <c r="W211" i="1"/>
  <c r="V211" i="1"/>
  <c r="U211" i="1"/>
  <c r="T211" i="1"/>
  <c r="X210" i="1"/>
  <c r="W210" i="1"/>
  <c r="V210" i="1"/>
  <c r="U210" i="1"/>
  <c r="T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X208" i="1"/>
  <c r="W208" i="1"/>
  <c r="V208" i="1"/>
  <c r="U208" i="1"/>
  <c r="T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X206" i="1"/>
  <c r="W206" i="1"/>
  <c r="V206" i="1"/>
  <c r="U206" i="1"/>
  <c r="T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X204" i="1"/>
  <c r="W204" i="1"/>
  <c r="V204" i="1"/>
  <c r="U204" i="1"/>
  <c r="T204" i="1"/>
  <c r="X203" i="1"/>
  <c r="W203" i="1"/>
  <c r="V203" i="1"/>
  <c r="U203" i="1"/>
  <c r="T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X201" i="1"/>
  <c r="W201" i="1"/>
  <c r="V201" i="1"/>
  <c r="U201" i="1"/>
  <c r="T201" i="1"/>
  <c r="X200" i="1"/>
  <c r="W200" i="1"/>
  <c r="V200" i="1"/>
  <c r="U200" i="1"/>
  <c r="T200" i="1"/>
  <c r="X199" i="1"/>
  <c r="W199" i="1"/>
  <c r="V199" i="1"/>
  <c r="U199" i="1"/>
  <c r="T199" i="1"/>
  <c r="X198" i="1"/>
  <c r="W198" i="1"/>
  <c r="V198" i="1"/>
  <c r="U198" i="1"/>
  <c r="T198" i="1"/>
  <c r="X197" i="1"/>
  <c r="W197" i="1"/>
  <c r="V197" i="1"/>
  <c r="U197" i="1"/>
  <c r="T197" i="1"/>
  <c r="X196" i="1"/>
  <c r="W196" i="1"/>
  <c r="V196" i="1"/>
  <c r="U196" i="1"/>
  <c r="T196" i="1"/>
  <c r="X195" i="1"/>
  <c r="W195" i="1"/>
  <c r="V195" i="1"/>
  <c r="U195" i="1"/>
  <c r="T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X191" i="1"/>
  <c r="W191" i="1"/>
  <c r="V191" i="1"/>
  <c r="U191" i="1"/>
  <c r="T191" i="1"/>
  <c r="X190" i="1"/>
  <c r="W190" i="1"/>
  <c r="V190" i="1"/>
  <c r="U190" i="1"/>
  <c r="T190" i="1"/>
  <c r="X189" i="1"/>
  <c r="W189" i="1"/>
  <c r="V189" i="1"/>
  <c r="U189" i="1"/>
  <c r="T189" i="1"/>
  <c r="X188" i="1"/>
  <c r="W188" i="1"/>
  <c r="V188" i="1"/>
  <c r="U188" i="1"/>
  <c r="T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X186" i="1"/>
  <c r="W186" i="1"/>
  <c r="V186" i="1"/>
  <c r="U186" i="1"/>
  <c r="T186" i="1"/>
  <c r="X185" i="1"/>
  <c r="W185" i="1"/>
  <c r="V185" i="1"/>
  <c r="U185" i="1"/>
  <c r="T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X181" i="1"/>
  <c r="W181" i="1"/>
  <c r="V181" i="1"/>
  <c r="U181" i="1"/>
  <c r="T181" i="1"/>
  <c r="X180" i="1"/>
  <c r="W180" i="1"/>
  <c r="V180" i="1"/>
  <c r="U180" i="1"/>
  <c r="T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X178" i="1"/>
  <c r="W178" i="1"/>
  <c r="V178" i="1"/>
  <c r="U178" i="1"/>
  <c r="T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X176" i="1"/>
  <c r="W176" i="1"/>
  <c r="V176" i="1"/>
  <c r="U176" i="1"/>
  <c r="T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X171" i="1"/>
  <c r="W171" i="1"/>
  <c r="V171" i="1"/>
  <c r="U171" i="1"/>
  <c r="T171" i="1"/>
  <c r="X170" i="1"/>
  <c r="W170" i="1"/>
  <c r="V170" i="1"/>
  <c r="U170" i="1"/>
  <c r="T170" i="1"/>
  <c r="X169" i="1"/>
  <c r="W169" i="1"/>
  <c r="V169" i="1"/>
  <c r="U169" i="1"/>
  <c r="T169" i="1"/>
  <c r="X168" i="1"/>
  <c r="W168" i="1"/>
  <c r="V168" i="1"/>
  <c r="U168" i="1"/>
  <c r="T168" i="1"/>
  <c r="X167" i="1"/>
  <c r="W167" i="1"/>
  <c r="V167" i="1"/>
  <c r="U167" i="1"/>
  <c r="T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X165" i="1"/>
  <c r="W165" i="1"/>
  <c r="V165" i="1"/>
  <c r="U165" i="1"/>
  <c r="T165" i="1"/>
  <c r="X164" i="1"/>
  <c r="W164" i="1"/>
  <c r="V164" i="1"/>
  <c r="U164" i="1"/>
  <c r="T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X159" i="1"/>
  <c r="W159" i="1"/>
  <c r="V159" i="1"/>
  <c r="U159" i="1"/>
  <c r="T159" i="1"/>
  <c r="X158" i="1"/>
  <c r="W158" i="1"/>
  <c r="V158" i="1"/>
  <c r="U158" i="1"/>
  <c r="T158" i="1"/>
  <c r="X157" i="1"/>
  <c r="W157" i="1"/>
  <c r="V157" i="1"/>
  <c r="U157" i="1"/>
  <c r="T157" i="1"/>
  <c r="X156" i="1"/>
  <c r="W156" i="1"/>
  <c r="V156" i="1"/>
  <c r="U156" i="1"/>
  <c r="T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X148" i="1"/>
  <c r="W148" i="1"/>
  <c r="V148" i="1"/>
  <c r="U148" i="1"/>
  <c r="T148" i="1"/>
  <c r="X147" i="1"/>
  <c r="W147" i="1"/>
  <c r="V147" i="1"/>
  <c r="U147" i="1"/>
  <c r="T147" i="1"/>
  <c r="X146" i="1"/>
  <c r="W146" i="1"/>
  <c r="V146" i="1"/>
  <c r="U146" i="1"/>
  <c r="T146" i="1"/>
  <c r="X145" i="1"/>
  <c r="W145" i="1"/>
  <c r="V145" i="1"/>
  <c r="U145" i="1"/>
  <c r="T145" i="1"/>
  <c r="X144" i="1"/>
  <c r="W144" i="1"/>
  <c r="V144" i="1"/>
  <c r="U144" i="1"/>
  <c r="T144" i="1"/>
  <c r="X143" i="1"/>
  <c r="W143" i="1"/>
  <c r="V143" i="1"/>
  <c r="U143" i="1"/>
  <c r="T143" i="1"/>
  <c r="X142" i="1"/>
  <c r="W142" i="1"/>
  <c r="V142" i="1"/>
  <c r="U142" i="1"/>
  <c r="T142" i="1"/>
  <c r="X141" i="1"/>
  <c r="W141" i="1"/>
  <c r="V141" i="1"/>
  <c r="U141" i="1"/>
  <c r="T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X139" i="1"/>
  <c r="W139" i="1"/>
  <c r="V139" i="1"/>
  <c r="U139" i="1"/>
  <c r="T139" i="1"/>
  <c r="X138" i="1"/>
  <c r="W138" i="1"/>
  <c r="V138" i="1"/>
  <c r="U138" i="1"/>
  <c r="T138" i="1"/>
  <c r="X137" i="1"/>
  <c r="W137" i="1"/>
  <c r="V137" i="1"/>
  <c r="U137" i="1"/>
  <c r="T137" i="1"/>
  <c r="X136" i="1"/>
  <c r="W136" i="1"/>
  <c r="V136" i="1"/>
  <c r="U136" i="1"/>
  <c r="T136" i="1"/>
  <c r="X135" i="1"/>
  <c r="W135" i="1"/>
  <c r="V135" i="1"/>
  <c r="U135" i="1"/>
  <c r="T135" i="1"/>
  <c r="X134" i="1"/>
  <c r="W134" i="1"/>
  <c r="V134" i="1"/>
  <c r="U134" i="1"/>
  <c r="T134" i="1"/>
  <c r="X133" i="1"/>
  <c r="W133" i="1"/>
  <c r="V133" i="1"/>
  <c r="U133" i="1"/>
  <c r="T133" i="1"/>
  <c r="X132" i="1"/>
  <c r="W132" i="1"/>
  <c r="V132" i="1"/>
  <c r="U132" i="1"/>
  <c r="T132" i="1"/>
  <c r="X131" i="1"/>
  <c r="W131" i="1"/>
  <c r="V131" i="1"/>
  <c r="U131" i="1"/>
  <c r="T131" i="1"/>
  <c r="X130" i="1"/>
  <c r="W130" i="1"/>
  <c r="V130" i="1"/>
  <c r="U130" i="1"/>
  <c r="T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X127" i="1"/>
  <c r="W127" i="1"/>
  <c r="V127" i="1"/>
  <c r="U127" i="1"/>
  <c r="T127" i="1"/>
  <c r="X126" i="1"/>
  <c r="W126" i="1"/>
  <c r="V126" i="1"/>
  <c r="U126" i="1"/>
  <c r="T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X124" i="1"/>
  <c r="W124" i="1"/>
  <c r="V124" i="1"/>
  <c r="U124" i="1"/>
  <c r="T124" i="1"/>
  <c r="X123" i="1"/>
  <c r="W123" i="1"/>
  <c r="V123" i="1"/>
  <c r="U123" i="1"/>
  <c r="T123" i="1"/>
  <c r="X122" i="1"/>
  <c r="W122" i="1"/>
  <c r="V122" i="1"/>
  <c r="U122" i="1"/>
  <c r="T122" i="1"/>
  <c r="X121" i="1"/>
  <c r="W121" i="1"/>
  <c r="V121" i="1"/>
  <c r="U121" i="1"/>
  <c r="T121" i="1"/>
  <c r="X120" i="1"/>
  <c r="W120" i="1"/>
  <c r="V120" i="1"/>
  <c r="U120" i="1"/>
  <c r="T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X106" i="1"/>
  <c r="W106" i="1"/>
  <c r="V106" i="1"/>
  <c r="U106" i="1"/>
  <c r="T106" i="1"/>
  <c r="X105" i="1"/>
  <c r="W105" i="1"/>
  <c r="V105" i="1"/>
  <c r="U105" i="1"/>
  <c r="T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X103" i="1"/>
  <c r="W103" i="1"/>
  <c r="V103" i="1"/>
  <c r="U103" i="1"/>
  <c r="T103" i="1"/>
  <c r="X102" i="1"/>
  <c r="W102" i="1"/>
  <c r="V102" i="1"/>
  <c r="U102" i="1"/>
  <c r="T102" i="1"/>
  <c r="X101" i="1"/>
  <c r="W101" i="1"/>
  <c r="V101" i="1"/>
  <c r="U101" i="1"/>
  <c r="T101" i="1"/>
  <c r="X100" i="1"/>
  <c r="W100" i="1"/>
  <c r="V100" i="1"/>
  <c r="U100" i="1"/>
  <c r="T100" i="1"/>
  <c r="X99" i="1"/>
  <c r="W99" i="1"/>
  <c r="V99" i="1"/>
  <c r="U99" i="1"/>
  <c r="T99" i="1"/>
  <c r="X98" i="1"/>
  <c r="W98" i="1"/>
  <c r="V98" i="1"/>
  <c r="U98" i="1"/>
  <c r="T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X96" i="1"/>
  <c r="W96" i="1"/>
  <c r="V96" i="1"/>
  <c r="U96" i="1"/>
  <c r="T96" i="1"/>
  <c r="X95" i="1"/>
  <c r="W95" i="1"/>
  <c r="V95" i="1"/>
  <c r="U95" i="1"/>
  <c r="T95" i="1"/>
  <c r="X94" i="1"/>
  <c r="W94" i="1"/>
  <c r="V94" i="1"/>
  <c r="U94" i="1"/>
  <c r="T94" i="1"/>
  <c r="X93" i="1"/>
  <c r="W93" i="1"/>
  <c r="V93" i="1"/>
  <c r="U93" i="1"/>
  <c r="T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X89" i="1"/>
  <c r="W89" i="1"/>
  <c r="V89" i="1"/>
  <c r="U89" i="1"/>
  <c r="T89" i="1"/>
  <c r="X88" i="1"/>
  <c r="W88" i="1"/>
  <c r="V88" i="1"/>
  <c r="U88" i="1"/>
  <c r="T88" i="1"/>
  <c r="X87" i="1"/>
  <c r="W87" i="1"/>
  <c r="V87" i="1"/>
  <c r="U87" i="1"/>
  <c r="T87" i="1"/>
  <c r="X86" i="1"/>
  <c r="W86" i="1"/>
  <c r="V86" i="1"/>
  <c r="U86" i="1"/>
  <c r="T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X84" i="1"/>
  <c r="W84" i="1"/>
  <c r="V84" i="1"/>
  <c r="U84" i="1"/>
  <c r="T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X79" i="1"/>
  <c r="W79" i="1"/>
  <c r="V79" i="1"/>
  <c r="U79" i="1"/>
  <c r="T79" i="1"/>
  <c r="X78" i="1"/>
  <c r="W78" i="1"/>
  <c r="V78" i="1"/>
  <c r="U78" i="1"/>
  <c r="T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X75" i="1"/>
  <c r="W75" i="1"/>
  <c r="V75" i="1"/>
  <c r="U75" i="1"/>
  <c r="T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X69" i="1"/>
  <c r="W69" i="1"/>
  <c r="V69" i="1"/>
  <c r="U69" i="1"/>
  <c r="T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X59" i="1"/>
  <c r="W59" i="1"/>
  <c r="V59" i="1"/>
  <c r="U59" i="1"/>
  <c r="T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X57" i="1"/>
  <c r="W57" i="1"/>
  <c r="V57" i="1"/>
  <c r="U57" i="1"/>
  <c r="T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X53" i="1"/>
  <c r="W53" i="1"/>
  <c r="V53" i="1"/>
  <c r="U53" i="1"/>
  <c r="T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X50" i="1"/>
  <c r="W50" i="1"/>
  <c r="V50" i="1"/>
  <c r="U50" i="1"/>
  <c r="T50" i="1"/>
  <c r="AE49" i="1"/>
  <c r="AD49" i="1"/>
  <c r="AA49" i="1"/>
  <c r="Z49" i="1"/>
  <c r="Y49" i="1"/>
  <c r="X49" i="1"/>
  <c r="AC49" i="1" s="1"/>
  <c r="W49" i="1"/>
  <c r="AB49" i="1" s="1"/>
  <c r="V49" i="1"/>
  <c r="AF49" i="1" s="1"/>
  <c r="U49" i="1"/>
  <c r="T49" i="1"/>
  <c r="X48" i="1"/>
  <c r="W48" i="1"/>
  <c r="V48" i="1"/>
  <c r="U48" i="1"/>
  <c r="T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X44" i="1"/>
  <c r="W44" i="1"/>
  <c r="V44" i="1"/>
  <c r="U44" i="1"/>
  <c r="T44" i="1"/>
  <c r="X43" i="1"/>
  <c r="W43" i="1"/>
  <c r="V43" i="1"/>
  <c r="U43" i="1"/>
  <c r="T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X40" i="1"/>
  <c r="W40" i="1"/>
  <c r="V40" i="1"/>
  <c r="U40" i="1"/>
  <c r="T40" i="1"/>
  <c r="X39" i="1"/>
  <c r="W39" i="1"/>
  <c r="V39" i="1"/>
  <c r="U39" i="1"/>
  <c r="T39" i="1"/>
  <c r="X38" i="1"/>
  <c r="W38" i="1"/>
  <c r="V38" i="1"/>
  <c r="U38" i="1"/>
  <c r="T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X36" i="1"/>
  <c r="W36" i="1"/>
  <c r="V36" i="1"/>
  <c r="U36" i="1"/>
  <c r="T36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X30" i="1"/>
  <c r="W30" i="1"/>
  <c r="V30" i="1"/>
  <c r="U30" i="1"/>
  <c r="T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X28" i="1"/>
  <c r="W28" i="1"/>
  <c r="V28" i="1"/>
  <c r="U28" i="1"/>
  <c r="T28" i="1"/>
  <c r="X27" i="1"/>
  <c r="W27" i="1"/>
  <c r="V27" i="1"/>
  <c r="U27" i="1"/>
  <c r="T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X25" i="1"/>
  <c r="W25" i="1"/>
  <c r="V25" i="1"/>
  <c r="U25" i="1"/>
  <c r="T25" i="1"/>
  <c r="X24" i="1"/>
  <c r="W24" i="1"/>
  <c r="V24" i="1"/>
  <c r="U24" i="1"/>
  <c r="T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X22" i="1"/>
  <c r="W22" i="1"/>
  <c r="V22" i="1"/>
  <c r="U22" i="1"/>
  <c r="T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X19" i="1"/>
  <c r="W19" i="1"/>
  <c r="V19" i="1"/>
  <c r="U19" i="1"/>
  <c r="T19" i="1"/>
  <c r="X18" i="1"/>
  <c r="W18" i="1"/>
  <c r="V18" i="1"/>
  <c r="U18" i="1"/>
  <c r="T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X15" i="1"/>
  <c r="W15" i="1"/>
  <c r="V15" i="1"/>
  <c r="U15" i="1"/>
  <c r="T15" i="1"/>
  <c r="X14" i="1"/>
  <c r="W14" i="1"/>
  <c r="V14" i="1"/>
  <c r="U14" i="1"/>
  <c r="T14" i="1"/>
  <c r="X13" i="1"/>
  <c r="W13" i="1"/>
  <c r="V13" i="1"/>
  <c r="U13" i="1"/>
  <c r="T13" i="1"/>
  <c r="X12" i="1"/>
  <c r="W12" i="1"/>
  <c r="V12" i="1"/>
  <c r="U12" i="1"/>
  <c r="T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X8" i="1"/>
  <c r="W8" i="1"/>
  <c r="V8" i="1"/>
  <c r="U8" i="1"/>
  <c r="T8" i="1"/>
  <c r="X7" i="1"/>
  <c r="W7" i="1"/>
  <c r="V7" i="1"/>
  <c r="U7" i="1"/>
  <c r="T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T35" i="1"/>
  <c r="U35" i="1"/>
  <c r="V35" i="1"/>
  <c r="W35" i="1"/>
  <c r="X35" i="1"/>
  <c r="AH687" i="1" l="1"/>
  <c r="AB679" i="1"/>
  <c r="AC680" i="1"/>
  <c r="AD679" i="1"/>
  <c r="AE680" i="1"/>
  <c r="AE679" i="1"/>
  <c r="AF680" i="1"/>
  <c r="Y687" i="1"/>
  <c r="AD687" i="1"/>
  <c r="AE687" i="1"/>
  <c r="Y680" i="1"/>
  <c r="Y677" i="1"/>
  <c r="Z677" i="1"/>
  <c r="AA677" i="1"/>
  <c r="AC677" i="1"/>
  <c r="AD677" i="1"/>
  <c r="AF677" i="1"/>
  <c r="AG664" i="1"/>
  <c r="AE664" i="1"/>
  <c r="AH664" i="1"/>
  <c r="Y664" i="1"/>
  <c r="Z664" i="1"/>
  <c r="AA664" i="1"/>
  <c r="AD664" i="1"/>
  <c r="AF664" i="1"/>
  <c r="AC664" i="1"/>
  <c r="Y656" i="1"/>
  <c r="Z656" i="1"/>
  <c r="AA656" i="1"/>
  <c r="AB656" i="1"/>
  <c r="AC656" i="1"/>
  <c r="AD656" i="1"/>
  <c r="AD651" i="1"/>
  <c r="AE651" i="1"/>
  <c r="Y651" i="1"/>
  <c r="AB650" i="1"/>
  <c r="AC650" i="1"/>
  <c r="AD650" i="1"/>
  <c r="Y650" i="1"/>
  <c r="AH649" i="1"/>
  <c r="Z649" i="1"/>
  <c r="AA649" i="1"/>
  <c r="AB649" i="1"/>
  <c r="AC649" i="1"/>
  <c r="AD649" i="1"/>
  <c r="AE649" i="1"/>
  <c r="AF649" i="1"/>
  <c r="Y649" i="1"/>
  <c r="AG649" i="1"/>
  <c r="Z629" i="1"/>
  <c r="AA629" i="1"/>
  <c r="Y629" i="1"/>
  <c r="AD629" i="1"/>
  <c r="AB623" i="1"/>
  <c r="AC623" i="1"/>
  <c r="AD623" i="1"/>
  <c r="AE623" i="1"/>
  <c r="AF623" i="1"/>
  <c r="Y623" i="1"/>
  <c r="Z622" i="1"/>
  <c r="AG622" i="1"/>
  <c r="AA622" i="1"/>
  <c r="AB622" i="1"/>
  <c r="AC622" i="1"/>
  <c r="AD622" i="1"/>
  <c r="AE622" i="1"/>
  <c r="AF622" i="1"/>
  <c r="AH622" i="1"/>
  <c r="Y622" i="1"/>
  <c r="Z619" i="1"/>
  <c r="AA619" i="1"/>
  <c r="AB619" i="1"/>
  <c r="AC619" i="1"/>
  <c r="AG618" i="1"/>
  <c r="AE618" i="1"/>
  <c r="AD618" i="1"/>
  <c r="AF618" i="1"/>
  <c r="AA618" i="1"/>
  <c r="Y618" i="1"/>
  <c r="Z618" i="1"/>
  <c r="AB618" i="1"/>
  <c r="AC618" i="1"/>
  <c r="AH616" i="1"/>
  <c r="AF616" i="1"/>
  <c r="AG616" i="1"/>
  <c r="AE616" i="1"/>
  <c r="AC616" i="1"/>
  <c r="Z616" i="1"/>
  <c r="AA616" i="1"/>
  <c r="AB616" i="1"/>
  <c r="Y616" i="1"/>
  <c r="AD616" i="1"/>
  <c r="AA615" i="1"/>
  <c r="AB615" i="1"/>
  <c r="AC615" i="1"/>
  <c r="AD615" i="1"/>
  <c r="AE615" i="1"/>
  <c r="AF612" i="1"/>
  <c r="AH612" i="1"/>
  <c r="AE612" i="1"/>
  <c r="AG612" i="1"/>
  <c r="Y612" i="1"/>
  <c r="Z612" i="1"/>
  <c r="AA612" i="1"/>
  <c r="AB612" i="1"/>
  <c r="AC612" i="1"/>
  <c r="AD612" i="1"/>
  <c r="Z610" i="1"/>
  <c r="AG610" i="1"/>
  <c r="AH610" i="1"/>
  <c r="AA610" i="1"/>
  <c r="AB610" i="1"/>
  <c r="AC610" i="1"/>
  <c r="AD610" i="1"/>
  <c r="AF610" i="1"/>
  <c r="AE610" i="1"/>
  <c r="Y610" i="1"/>
  <c r="Y595" i="1"/>
  <c r="Z595" i="1"/>
  <c r="AA595" i="1"/>
  <c r="AB595" i="1"/>
  <c r="AC595" i="1"/>
  <c r="AC594" i="1"/>
  <c r="AE594" i="1"/>
  <c r="AG594" i="1"/>
  <c r="AH594" i="1"/>
  <c r="Z594" i="1"/>
  <c r="AB594" i="1"/>
  <c r="AA594" i="1"/>
  <c r="AG582" i="1"/>
  <c r="AA582" i="1"/>
  <c r="AB582" i="1"/>
  <c r="AC582" i="1"/>
  <c r="AH582" i="1"/>
  <c r="AD582" i="1"/>
  <c r="AE582" i="1"/>
  <c r="AF582" i="1"/>
  <c r="Z582" i="1"/>
  <c r="Y582" i="1"/>
  <c r="Y570" i="1"/>
  <c r="Z570" i="1"/>
  <c r="AA570" i="1"/>
  <c r="AB570" i="1"/>
  <c r="AE570" i="1"/>
  <c r="AF508" i="1"/>
  <c r="AE586" i="1"/>
  <c r="AA473" i="1"/>
  <c r="AA584" i="1"/>
  <c r="AG636" i="1"/>
  <c r="AE388" i="1"/>
  <c r="AD514" i="1"/>
  <c r="AF551" i="1"/>
  <c r="AB586" i="1"/>
  <c r="AE509" i="1"/>
  <c r="AG574" i="1"/>
  <c r="AC509" i="1"/>
  <c r="AC584" i="1"/>
  <c r="Y627" i="1"/>
  <c r="AF585" i="1"/>
  <c r="Z500" i="1"/>
  <c r="AC585" i="1"/>
  <c r="AF636" i="1"/>
  <c r="AE508" i="1"/>
  <c r="AB580" i="1"/>
  <c r="AD483" i="1"/>
  <c r="Z584" i="1"/>
  <c r="AF385" i="1"/>
  <c r="Z508" i="1"/>
  <c r="AH584" i="1"/>
  <c r="AG508" i="1"/>
  <c r="AD585" i="1"/>
  <c r="Z611" i="1"/>
  <c r="AE473" i="1"/>
  <c r="AC508" i="1"/>
  <c r="AE585" i="1"/>
  <c r="AF611" i="1"/>
  <c r="AA508" i="1"/>
  <c r="AG611" i="1"/>
  <c r="AD421" i="1"/>
  <c r="AB473" i="1"/>
  <c r="AB508" i="1"/>
  <c r="AH514" i="1"/>
  <c r="AH551" i="1"/>
  <c r="AB585" i="1"/>
  <c r="AH611" i="1"/>
  <c r="AA611" i="1"/>
  <c r="Y473" i="1"/>
  <c r="Y509" i="1"/>
  <c r="AB551" i="1"/>
  <c r="AD611" i="1"/>
  <c r="AC551" i="1"/>
  <c r="AF572" i="1"/>
  <c r="AD586" i="1"/>
  <c r="AB593" i="1"/>
  <c r="AF459" i="1"/>
  <c r="AE475" i="1"/>
  <c r="AH479" i="1"/>
  <c r="AF509" i="1"/>
  <c r="AG551" i="1"/>
  <c r="AA572" i="1"/>
  <c r="AE581" i="1"/>
  <c r="AF586" i="1"/>
  <c r="AG509" i="1"/>
  <c r="AD584" i="1"/>
  <c r="AD636" i="1"/>
  <c r="Y584" i="1"/>
  <c r="AH509" i="1"/>
  <c r="AH586" i="1"/>
  <c r="Y472" i="1"/>
  <c r="AF504" i="1"/>
  <c r="AD556" i="1"/>
  <c r="AB584" i="1"/>
  <c r="AD566" i="1"/>
  <c r="AF566" i="1"/>
  <c r="AE566" i="1"/>
  <c r="AG566" i="1"/>
  <c r="AC566" i="1"/>
  <c r="Z566" i="1"/>
  <c r="AA566" i="1"/>
  <c r="AH566" i="1"/>
  <c r="Y566" i="1"/>
  <c r="AB566" i="1"/>
  <c r="AC559" i="1"/>
  <c r="AG559" i="1"/>
  <c r="AH559" i="1"/>
  <c r="AF559" i="1"/>
  <c r="Y559" i="1"/>
  <c r="AD559" i="1"/>
  <c r="AB559" i="1"/>
  <c r="AE559" i="1"/>
  <c r="Z559" i="1"/>
  <c r="AA559" i="1"/>
  <c r="Y558" i="1"/>
  <c r="AC558" i="1"/>
  <c r="AA558" i="1"/>
  <c r="AF558" i="1"/>
  <c r="AE558" i="1"/>
  <c r="AB558" i="1"/>
  <c r="AG558" i="1"/>
  <c r="AH558" i="1"/>
  <c r="Z558" i="1"/>
  <c r="AD558" i="1"/>
  <c r="Y556" i="1"/>
  <c r="Z556" i="1"/>
  <c r="AA556" i="1"/>
  <c r="AC556" i="1"/>
  <c r="AE556" i="1"/>
  <c r="AG556" i="1"/>
  <c r="AB556" i="1"/>
  <c r="AH556" i="1"/>
  <c r="AF556" i="1"/>
  <c r="Y611" i="1"/>
  <c r="AB611" i="1"/>
  <c r="AC611" i="1"/>
  <c r="Y551" i="1"/>
  <c r="Z551" i="1"/>
  <c r="AA551" i="1"/>
  <c r="AD551" i="1"/>
  <c r="AE551" i="1"/>
  <c r="AH550" i="1"/>
  <c r="AC550" i="1"/>
  <c r="AG550" i="1"/>
  <c r="AF550" i="1"/>
  <c r="Y550" i="1"/>
  <c r="Z550" i="1"/>
  <c r="AA550" i="1"/>
  <c r="AB550" i="1"/>
  <c r="AD550" i="1"/>
  <c r="AE550" i="1"/>
  <c r="AH517" i="1"/>
  <c r="AB517" i="1"/>
  <c r="AC517" i="1"/>
  <c r="Y517" i="1"/>
  <c r="Z517" i="1"/>
  <c r="AA517" i="1"/>
  <c r="AD517" i="1"/>
  <c r="AE517" i="1"/>
  <c r="AF517" i="1"/>
  <c r="AG517" i="1"/>
  <c r="AB514" i="1"/>
  <c r="AF514" i="1"/>
  <c r="AC514" i="1"/>
  <c r="Y514" i="1"/>
  <c r="AE514" i="1"/>
  <c r="Z514" i="1"/>
  <c r="AA514" i="1"/>
  <c r="AG514" i="1"/>
  <c r="AH508" i="1"/>
  <c r="Y508" i="1"/>
  <c r="AD508" i="1"/>
  <c r="AH636" i="1"/>
  <c r="Y636" i="1"/>
  <c r="AA636" i="1"/>
  <c r="Z636" i="1"/>
  <c r="AB636" i="1"/>
  <c r="AE636" i="1"/>
  <c r="AG586" i="1"/>
  <c r="Z586" i="1"/>
  <c r="Y586" i="1"/>
  <c r="AA586" i="1"/>
  <c r="AC586" i="1"/>
  <c r="AG585" i="1"/>
  <c r="AH585" i="1"/>
  <c r="Y585" i="1"/>
  <c r="Z585" i="1"/>
  <c r="AA585" i="1"/>
  <c r="AF584" i="1"/>
  <c r="AE584" i="1"/>
  <c r="AG584" i="1"/>
  <c r="AE506" i="1"/>
  <c r="AG506" i="1"/>
  <c r="AH506" i="1"/>
  <c r="AF506" i="1"/>
  <c r="Y506" i="1"/>
  <c r="Z506" i="1"/>
  <c r="AA506" i="1"/>
  <c r="AB506" i="1"/>
  <c r="AC506" i="1"/>
  <c r="AD506" i="1"/>
  <c r="Z509" i="1"/>
  <c r="AA509" i="1"/>
  <c r="AB509" i="1"/>
  <c r="AD509" i="1"/>
  <c r="AF505" i="1"/>
  <c r="AH505" i="1"/>
  <c r="Y505" i="1"/>
  <c r="Z505" i="1"/>
  <c r="AD505" i="1"/>
  <c r="AE505" i="1"/>
  <c r="AA505" i="1"/>
  <c r="AG505" i="1"/>
  <c r="AB505" i="1"/>
  <c r="AC505" i="1"/>
  <c r="AG483" i="1"/>
  <c r="AE483" i="1"/>
  <c r="AF483" i="1"/>
  <c r="Y483" i="1"/>
  <c r="AH483" i="1"/>
  <c r="Z483" i="1"/>
  <c r="AA483" i="1"/>
  <c r="AB483" i="1"/>
  <c r="AC483" i="1"/>
  <c r="AE331" i="1"/>
  <c r="Y437" i="1"/>
  <c r="AE472" i="1"/>
  <c r="AF475" i="1"/>
  <c r="AE482" i="1"/>
  <c r="AF500" i="1"/>
  <c r="AG504" i="1"/>
  <c r="AC572" i="1"/>
  <c r="AG475" i="1"/>
  <c r="AA482" i="1"/>
  <c r="AG500" i="1"/>
  <c r="AH504" i="1"/>
  <c r="AH475" i="1"/>
  <c r="AG482" i="1"/>
  <c r="Z504" i="1"/>
  <c r="Z572" i="1"/>
  <c r="Y356" i="1"/>
  <c r="AF482" i="1"/>
  <c r="AE502" i="1"/>
  <c r="AH507" i="1"/>
  <c r="AG658" i="1"/>
  <c r="AH307" i="1"/>
  <c r="AF574" i="1"/>
  <c r="AE421" i="1"/>
  <c r="AF478" i="1"/>
  <c r="AB571" i="1"/>
  <c r="AG593" i="1"/>
  <c r="AH503" i="1"/>
  <c r="Z453" i="1"/>
  <c r="AG453" i="1"/>
  <c r="AD473" i="1"/>
  <c r="AE231" i="1"/>
  <c r="Z580" i="1"/>
  <c r="AD176" i="1"/>
  <c r="AC453" i="1"/>
  <c r="AF473" i="1"/>
  <c r="AD475" i="1"/>
  <c r="AD479" i="1"/>
  <c r="AG479" i="1"/>
  <c r="AF479" i="1"/>
  <c r="Y479" i="1"/>
  <c r="AA479" i="1"/>
  <c r="AE479" i="1"/>
  <c r="AB479" i="1"/>
  <c r="AC479" i="1"/>
  <c r="Z479" i="1"/>
  <c r="AC473" i="1"/>
  <c r="AG473" i="1"/>
  <c r="Y475" i="1"/>
  <c r="AA475" i="1"/>
  <c r="AB475" i="1"/>
  <c r="Z475" i="1"/>
  <c r="AC475" i="1"/>
  <c r="AC472" i="1"/>
  <c r="AH472" i="1"/>
  <c r="AD472" i="1"/>
  <c r="Z472" i="1"/>
  <c r="AF472" i="1"/>
  <c r="AG472" i="1"/>
  <c r="AA472" i="1"/>
  <c r="AB472" i="1"/>
  <c r="AB468" i="1"/>
  <c r="AC468" i="1"/>
  <c r="AA468" i="1"/>
  <c r="AD468" i="1"/>
  <c r="AE468" i="1"/>
  <c r="AF468" i="1"/>
  <c r="AG468" i="1"/>
  <c r="AH468" i="1"/>
  <c r="Y468" i="1"/>
  <c r="Z468" i="1"/>
  <c r="AD465" i="1"/>
  <c r="AH465" i="1"/>
  <c r="AA465" i="1"/>
  <c r="AF465" i="1"/>
  <c r="AG465" i="1"/>
  <c r="Y465" i="1"/>
  <c r="Z465" i="1"/>
  <c r="AB465" i="1"/>
  <c r="AC465" i="1"/>
  <c r="AE465" i="1"/>
  <c r="AF485" i="1"/>
  <c r="AF502" i="1"/>
  <c r="AD581" i="1"/>
  <c r="AE627" i="1"/>
  <c r="AB420" i="1"/>
  <c r="AG502" i="1"/>
  <c r="AB463" i="1"/>
  <c r="AC502" i="1"/>
  <c r="AB627" i="1"/>
  <c r="AH641" i="1"/>
  <c r="AH463" i="1"/>
  <c r="AA502" i="1"/>
  <c r="Y574" i="1"/>
  <c r="AG581" i="1"/>
  <c r="AC627" i="1"/>
  <c r="AE389" i="1"/>
  <c r="AD502" i="1"/>
  <c r="AA577" i="1"/>
  <c r="AA421" i="1"/>
  <c r="AC437" i="1"/>
  <c r="AE478" i="1"/>
  <c r="AG384" i="1"/>
  <c r="AG421" i="1"/>
  <c r="AD482" i="1"/>
  <c r="AH502" i="1"/>
  <c r="AB574" i="1"/>
  <c r="AC421" i="1"/>
  <c r="AG478" i="1"/>
  <c r="AH574" i="1"/>
  <c r="Y421" i="1"/>
  <c r="AE503" i="1"/>
  <c r="AA553" i="1"/>
  <c r="AA571" i="1"/>
  <c r="AB421" i="1"/>
  <c r="AF503" i="1"/>
  <c r="AG571" i="1"/>
  <c r="AF593" i="1"/>
  <c r="AE238" i="1"/>
  <c r="AH482" i="1"/>
  <c r="AH571" i="1"/>
  <c r="AF421" i="1"/>
  <c r="AD459" i="1"/>
  <c r="Y482" i="1"/>
  <c r="AE531" i="1"/>
  <c r="Z385" i="1"/>
  <c r="AF450" i="1"/>
  <c r="Z482" i="1"/>
  <c r="Z211" i="1"/>
  <c r="AD240" i="1"/>
  <c r="Y504" i="1"/>
  <c r="AB572" i="1"/>
  <c r="AA450" i="1"/>
  <c r="AB453" i="1"/>
  <c r="AG459" i="1"/>
  <c r="AH531" i="1"/>
  <c r="AD572" i="1"/>
  <c r="AE572" i="1"/>
  <c r="AG572" i="1"/>
  <c r="AH572" i="1"/>
  <c r="AC571" i="1"/>
  <c r="AD571" i="1"/>
  <c r="AE571" i="1"/>
  <c r="AF571" i="1"/>
  <c r="Y571" i="1"/>
  <c r="Z571" i="1"/>
  <c r="AH453" i="1"/>
  <c r="Y453" i="1"/>
  <c r="AA453" i="1"/>
  <c r="AD453" i="1"/>
  <c r="AE453" i="1"/>
  <c r="AF453" i="1"/>
  <c r="Z452" i="1"/>
  <c r="AC452" i="1"/>
  <c r="Y452" i="1"/>
  <c r="AF452" i="1"/>
  <c r="AD452" i="1"/>
  <c r="AA452" i="1"/>
  <c r="AB452" i="1"/>
  <c r="AE452" i="1"/>
  <c r="AG452" i="1"/>
  <c r="AH452" i="1"/>
  <c r="Z574" i="1"/>
  <c r="AA574" i="1"/>
  <c r="AC574" i="1"/>
  <c r="AD574" i="1"/>
  <c r="AE574" i="1"/>
  <c r="AB504" i="1"/>
  <c r="AA504" i="1"/>
  <c r="AC504" i="1"/>
  <c r="AD504" i="1"/>
  <c r="AE504" i="1"/>
  <c r="Z503" i="1"/>
  <c r="Y503" i="1"/>
  <c r="AA503" i="1"/>
  <c r="AB503" i="1"/>
  <c r="AD503" i="1"/>
  <c r="AC503" i="1"/>
  <c r="AG503" i="1"/>
  <c r="Y502" i="1"/>
  <c r="Z502" i="1"/>
  <c r="AB502" i="1"/>
  <c r="AA451" i="1"/>
  <c r="AF451" i="1"/>
  <c r="AG451" i="1"/>
  <c r="AC451" i="1"/>
  <c r="AH451" i="1"/>
  <c r="Y451" i="1"/>
  <c r="Z451" i="1"/>
  <c r="AB451" i="1"/>
  <c r="AD451" i="1"/>
  <c r="AE451" i="1"/>
  <c r="AG439" i="1"/>
  <c r="AB439" i="1"/>
  <c r="AC439" i="1"/>
  <c r="AD439" i="1"/>
  <c r="Z439" i="1"/>
  <c r="AH439" i="1"/>
  <c r="AF439" i="1"/>
  <c r="Y439" i="1"/>
  <c r="AE439" i="1"/>
  <c r="AA439" i="1"/>
  <c r="AB482" i="1"/>
  <c r="AC482" i="1"/>
  <c r="AF417" i="1"/>
  <c r="AG417" i="1"/>
  <c r="AH417" i="1"/>
  <c r="Y417" i="1"/>
  <c r="Z417" i="1"/>
  <c r="AD417" i="1"/>
  <c r="AA417" i="1"/>
  <c r="AE417" i="1"/>
  <c r="AB417" i="1"/>
  <c r="AC417" i="1"/>
  <c r="AD627" i="1"/>
  <c r="AF627" i="1"/>
  <c r="AG627" i="1"/>
  <c r="AH627" i="1"/>
  <c r="Z627" i="1"/>
  <c r="AA627" i="1"/>
  <c r="AD396" i="1"/>
  <c r="AB396" i="1"/>
  <c r="AE396" i="1"/>
  <c r="AC396" i="1"/>
  <c r="AF396" i="1"/>
  <c r="AG396" i="1"/>
  <c r="AH396" i="1"/>
  <c r="Y396" i="1"/>
  <c r="Z396" i="1"/>
  <c r="AA396" i="1"/>
  <c r="AH421" i="1"/>
  <c r="Z421" i="1"/>
  <c r="AH381" i="1"/>
  <c r="Z381" i="1"/>
  <c r="AC381" i="1"/>
  <c r="Y381" i="1"/>
  <c r="AD381" i="1"/>
  <c r="AE381" i="1"/>
  <c r="AG381" i="1"/>
  <c r="AF381" i="1"/>
  <c r="AB381" i="1"/>
  <c r="AA381" i="1"/>
  <c r="AH322" i="1"/>
  <c r="Y378" i="1"/>
  <c r="Y500" i="1"/>
  <c r="AB577" i="1"/>
  <c r="AH581" i="1"/>
  <c r="AC641" i="1"/>
  <c r="AF384" i="1"/>
  <c r="AG388" i="1"/>
  <c r="AA437" i="1"/>
  <c r="AC463" i="1"/>
  <c r="AE500" i="1"/>
  <c r="AD507" i="1"/>
  <c r="AC577" i="1"/>
  <c r="AB581" i="1"/>
  <c r="AB240" i="1"/>
  <c r="AH388" i="1"/>
  <c r="AF507" i="1"/>
  <c r="AC581" i="1"/>
  <c r="AG641" i="1"/>
  <c r="AD332" i="1"/>
  <c r="AA388" i="1"/>
  <c r="AH485" i="1"/>
  <c r="AA507" i="1"/>
  <c r="Z658" i="1"/>
  <c r="AD323" i="1"/>
  <c r="AA478" i="1"/>
  <c r="Z485" i="1"/>
  <c r="AH500" i="1"/>
  <c r="AG507" i="1"/>
  <c r="AF658" i="1"/>
  <c r="AA323" i="1"/>
  <c r="AB356" i="1"/>
  <c r="AF389" i="1"/>
  <c r="AA420" i="1"/>
  <c r="AE450" i="1"/>
  <c r="AC478" i="1"/>
  <c r="AG485" i="1"/>
  <c r="AA500" i="1"/>
  <c r="AF580" i="1"/>
  <c r="Z593" i="1"/>
  <c r="AH658" i="1"/>
  <c r="AH217" i="1"/>
  <c r="AD385" i="1"/>
  <c r="AB389" i="1"/>
  <c r="AE420" i="1"/>
  <c r="Z459" i="1"/>
  <c r="AC485" i="1"/>
  <c r="AD553" i="1"/>
  <c r="Y235" i="1"/>
  <c r="AC323" i="1"/>
  <c r="AE334" i="1"/>
  <c r="AA385" i="1"/>
  <c r="AC389" i="1"/>
  <c r="AF420" i="1"/>
  <c r="AG450" i="1"/>
  <c r="AH478" i="1"/>
  <c r="Y485" i="1"/>
  <c r="Z553" i="1"/>
  <c r="AA580" i="1"/>
  <c r="AA389" i="1"/>
  <c r="AH450" i="1"/>
  <c r="AB485" i="1"/>
  <c r="AH593" i="1"/>
  <c r="Y354" i="1"/>
  <c r="AB385" i="1"/>
  <c r="AG389" i="1"/>
  <c r="AC420" i="1"/>
  <c r="Z450" i="1"/>
  <c r="AH459" i="1"/>
  <c r="AB553" i="1"/>
  <c r="AC580" i="1"/>
  <c r="AA593" i="1"/>
  <c r="AE315" i="1"/>
  <c r="AH385" i="1"/>
  <c r="AH389" i="1"/>
  <c r="AA459" i="1"/>
  <c r="Y463" i="1"/>
  <c r="Y531" i="1"/>
  <c r="AH553" i="1"/>
  <c r="Y580" i="1"/>
  <c r="Y385" i="1"/>
  <c r="AB450" i="1"/>
  <c r="Z463" i="1"/>
  <c r="AD593" i="1"/>
  <c r="AC256" i="1"/>
  <c r="AD405" i="1"/>
  <c r="AC450" i="1"/>
  <c r="AF463" i="1"/>
  <c r="AF531" i="1"/>
  <c r="AF577" i="1"/>
  <c r="Z581" i="1"/>
  <c r="AE593" i="1"/>
  <c r="AG238" i="1"/>
  <c r="AC385" i="1"/>
  <c r="AF388" i="1"/>
  <c r="AG463" i="1"/>
  <c r="AG531" i="1"/>
  <c r="Z577" i="1"/>
  <c r="AA581" i="1"/>
  <c r="AB641" i="1"/>
  <c r="AD641" i="1"/>
  <c r="AE641" i="1"/>
  <c r="AF641" i="1"/>
  <c r="Z641" i="1"/>
  <c r="AA641" i="1"/>
  <c r="AD420" i="1"/>
  <c r="AG420" i="1"/>
  <c r="AH420" i="1"/>
  <c r="Y420" i="1"/>
  <c r="Z420" i="1"/>
  <c r="Y389" i="1"/>
  <c r="Z389" i="1"/>
  <c r="AD389" i="1"/>
  <c r="Y388" i="1"/>
  <c r="Z388" i="1"/>
  <c r="AB388" i="1"/>
  <c r="AC388" i="1"/>
  <c r="AD388" i="1"/>
  <c r="AE380" i="1"/>
  <c r="Z380" i="1"/>
  <c r="AG380" i="1"/>
  <c r="AH380" i="1"/>
  <c r="AA380" i="1"/>
  <c r="AD380" i="1"/>
  <c r="AB380" i="1"/>
  <c r="AC380" i="1"/>
  <c r="AF380" i="1"/>
  <c r="Y380" i="1"/>
  <c r="AE378" i="1"/>
  <c r="AF378" i="1"/>
  <c r="AG378" i="1"/>
  <c r="AH378" i="1"/>
  <c r="Z378" i="1"/>
  <c r="AB378" i="1"/>
  <c r="AC378" i="1"/>
  <c r="AD378" i="1"/>
  <c r="AA378" i="1"/>
  <c r="Y507" i="1"/>
  <c r="Z507" i="1"/>
  <c r="AB507" i="1"/>
  <c r="AC507" i="1"/>
  <c r="AE507" i="1"/>
  <c r="AE385" i="1"/>
  <c r="AG385" i="1"/>
  <c r="AC553" i="1"/>
  <c r="AE553" i="1"/>
  <c r="AF553" i="1"/>
  <c r="AG553" i="1"/>
  <c r="Y553" i="1"/>
  <c r="AA463" i="1"/>
  <c r="AD463" i="1"/>
  <c r="AE463" i="1"/>
  <c r="AF370" i="1"/>
  <c r="AD370" i="1"/>
  <c r="AB370" i="1"/>
  <c r="AE370" i="1"/>
  <c r="AA370" i="1"/>
  <c r="AG370" i="1"/>
  <c r="AH370" i="1"/>
  <c r="Y370" i="1"/>
  <c r="Z370" i="1"/>
  <c r="AC370" i="1"/>
  <c r="Z531" i="1"/>
  <c r="AA531" i="1"/>
  <c r="AB531" i="1"/>
  <c r="AC531" i="1"/>
  <c r="AD531" i="1"/>
  <c r="Y355" i="1"/>
  <c r="AG355" i="1"/>
  <c r="AH355" i="1"/>
  <c r="Z355" i="1"/>
  <c r="AA355" i="1"/>
  <c r="AB355" i="1"/>
  <c r="AC355" i="1"/>
  <c r="AD355" i="1"/>
  <c r="AE355" i="1"/>
  <c r="AF355" i="1"/>
  <c r="AA658" i="1"/>
  <c r="AB658" i="1"/>
  <c r="AD658" i="1"/>
  <c r="AC658" i="1"/>
  <c r="AE658" i="1"/>
  <c r="Y658" i="1"/>
  <c r="AF581" i="1"/>
  <c r="Y581" i="1"/>
  <c r="AD580" i="1"/>
  <c r="AE580" i="1"/>
  <c r="AG580" i="1"/>
  <c r="AH580" i="1"/>
  <c r="AB500" i="1"/>
  <c r="AC500" i="1"/>
  <c r="AD500" i="1"/>
  <c r="AG577" i="1"/>
  <c r="AH577" i="1"/>
  <c r="Y577" i="1"/>
  <c r="AD577" i="1"/>
  <c r="AE577" i="1"/>
  <c r="AA485" i="1"/>
  <c r="AD485" i="1"/>
  <c r="AE485" i="1"/>
  <c r="Y459" i="1"/>
  <c r="AB459" i="1"/>
  <c r="AC459" i="1"/>
  <c r="AH354" i="1"/>
  <c r="AA354" i="1"/>
  <c r="AF354" i="1"/>
  <c r="AE354" i="1"/>
  <c r="AG354" i="1"/>
  <c r="Z354" i="1"/>
  <c r="AB354" i="1"/>
  <c r="AC354" i="1"/>
  <c r="AD354" i="1"/>
  <c r="Y593" i="1"/>
  <c r="AC593" i="1"/>
  <c r="Y450" i="1"/>
  <c r="AD450" i="1"/>
  <c r="AB350" i="1"/>
  <c r="Z350" i="1"/>
  <c r="AA350" i="1"/>
  <c r="AG350" i="1"/>
  <c r="AH350" i="1"/>
  <c r="AC350" i="1"/>
  <c r="AE350" i="1"/>
  <c r="AF350" i="1"/>
  <c r="AD350" i="1"/>
  <c r="Y350" i="1"/>
  <c r="Y349" i="1"/>
  <c r="AH349" i="1"/>
  <c r="AG349" i="1"/>
  <c r="Z349" i="1"/>
  <c r="AA349" i="1"/>
  <c r="AB349" i="1"/>
  <c r="AC349" i="1"/>
  <c r="AD349" i="1"/>
  <c r="AE349" i="1"/>
  <c r="AF349" i="1"/>
  <c r="AF217" i="1"/>
  <c r="AH356" i="1"/>
  <c r="AE375" i="1"/>
  <c r="AD437" i="1"/>
  <c r="AH297" i="1"/>
  <c r="AA375" i="1"/>
  <c r="AF437" i="1"/>
  <c r="AD226" i="1"/>
  <c r="AA235" i="1"/>
  <c r="AB283" i="1"/>
  <c r="AF375" i="1"/>
  <c r="AD478" i="1"/>
  <c r="AG226" i="1"/>
  <c r="AH375" i="1"/>
  <c r="Y256" i="1"/>
  <c r="AB323" i="1"/>
  <c r="AH235" i="1"/>
  <c r="AB256" i="1"/>
  <c r="AH301" i="1"/>
  <c r="AF285" i="1"/>
  <c r="AB332" i="1"/>
  <c r="AE437" i="1"/>
  <c r="Z233" i="1"/>
  <c r="AF334" i="1"/>
  <c r="AE384" i="1"/>
  <c r="AF263" i="1"/>
  <c r="AA384" i="1"/>
  <c r="AB437" i="1"/>
  <c r="AF315" i="1"/>
  <c r="AA361" i="1"/>
  <c r="AB384" i="1"/>
  <c r="AH437" i="1"/>
  <c r="AE240" i="1"/>
  <c r="AH384" i="1"/>
  <c r="AE405" i="1"/>
  <c r="AC211" i="1"/>
  <c r="AF240" i="1"/>
  <c r="AA263" i="1"/>
  <c r="Y267" i="1"/>
  <c r="AF356" i="1"/>
  <c r="AE362" i="1"/>
  <c r="AC384" i="1"/>
  <c r="AH405" i="1"/>
  <c r="Z437" i="1"/>
  <c r="AG437" i="1"/>
  <c r="Y405" i="1"/>
  <c r="Z405" i="1"/>
  <c r="AA405" i="1"/>
  <c r="AB405" i="1"/>
  <c r="AC405" i="1"/>
  <c r="AF405" i="1"/>
  <c r="AG405" i="1"/>
  <c r="Y384" i="1"/>
  <c r="Z384" i="1"/>
  <c r="AD384" i="1"/>
  <c r="AE335" i="1"/>
  <c r="AF335" i="1"/>
  <c r="AH335" i="1"/>
  <c r="Y335" i="1"/>
  <c r="AG335" i="1"/>
  <c r="Z335" i="1"/>
  <c r="AA335" i="1"/>
  <c r="AB335" i="1"/>
  <c r="AC335" i="1"/>
  <c r="AD335" i="1"/>
  <c r="Y478" i="1"/>
  <c r="Z478" i="1"/>
  <c r="AB478" i="1"/>
  <c r="AC334" i="1"/>
  <c r="AA334" i="1"/>
  <c r="AD334" i="1"/>
  <c r="Y334" i="1"/>
  <c r="Z334" i="1"/>
  <c r="AB334" i="1"/>
  <c r="AG334" i="1"/>
  <c r="AH334" i="1"/>
  <c r="AH331" i="1"/>
  <c r="AD331" i="1"/>
  <c r="AF331" i="1"/>
  <c r="AG331" i="1"/>
  <c r="Z331" i="1"/>
  <c r="AB331" i="1"/>
  <c r="AC331" i="1"/>
  <c r="Y331" i="1"/>
  <c r="AA331" i="1"/>
  <c r="AD330" i="1"/>
  <c r="AG330" i="1"/>
  <c r="AH330" i="1"/>
  <c r="AC330" i="1"/>
  <c r="AF330" i="1"/>
  <c r="AE330" i="1"/>
  <c r="AB330" i="1"/>
  <c r="Z330" i="1"/>
  <c r="Y330" i="1"/>
  <c r="AA330" i="1"/>
  <c r="AD322" i="1"/>
  <c r="AF322" i="1"/>
  <c r="AG322" i="1"/>
  <c r="AC322" i="1"/>
  <c r="Y322" i="1"/>
  <c r="Z322" i="1"/>
  <c r="AA322" i="1"/>
  <c r="AB322" i="1"/>
  <c r="AE322" i="1"/>
  <c r="AF308" i="1"/>
  <c r="AG308" i="1"/>
  <c r="AH308" i="1"/>
  <c r="Y308" i="1"/>
  <c r="Z308" i="1"/>
  <c r="AA308" i="1"/>
  <c r="AC308" i="1"/>
  <c r="AD308" i="1"/>
  <c r="AE308" i="1"/>
  <c r="AB308" i="1"/>
  <c r="AF235" i="1"/>
  <c r="AH240" i="1"/>
  <c r="AD263" i="1"/>
  <c r="AG283" i="1"/>
  <c r="AC297" i="1"/>
  <c r="AD315" i="1"/>
  <c r="Z375" i="1"/>
  <c r="AH602" i="1"/>
  <c r="AD211" i="1"/>
  <c r="AB235" i="1"/>
  <c r="Z240" i="1"/>
  <c r="Z256" i="1"/>
  <c r="AB260" i="1"/>
  <c r="AE263" i="1"/>
  <c r="AH283" i="1"/>
  <c r="Z315" i="1"/>
  <c r="AC240" i="1"/>
  <c r="Z273" i="1"/>
  <c r="AB375" i="1"/>
  <c r="AH96" i="1"/>
  <c r="AF156" i="1"/>
  <c r="AA211" i="1"/>
  <c r="AG263" i="1"/>
  <c r="AC283" i="1"/>
  <c r="AE285" i="1"/>
  <c r="AG315" i="1"/>
  <c r="AC375" i="1"/>
  <c r="Z53" i="1"/>
  <c r="AB211" i="1"/>
  <c r="AC235" i="1"/>
  <c r="AH263" i="1"/>
  <c r="Z285" i="1"/>
  <c r="AD301" i="1"/>
  <c r="AC315" i="1"/>
  <c r="AD361" i="1"/>
  <c r="AD235" i="1"/>
  <c r="AG240" i="1"/>
  <c r="AA186" i="1"/>
  <c r="AE211" i="1"/>
  <c r="AG235" i="1"/>
  <c r="AB238" i="1"/>
  <c r="AE267" i="1"/>
  <c r="AG285" i="1"/>
  <c r="AF301" i="1"/>
  <c r="AH315" i="1"/>
  <c r="AF267" i="1"/>
  <c r="Z274" i="1"/>
  <c r="AH285" i="1"/>
  <c r="AE323" i="1"/>
  <c r="AG361" i="1"/>
  <c r="AE106" i="1"/>
  <c r="Y208" i="1"/>
  <c r="AC285" i="1"/>
  <c r="AG356" i="1"/>
  <c r="AH361" i="1"/>
  <c r="AH267" i="1"/>
  <c r="AB361" i="1"/>
  <c r="Z217" i="1"/>
  <c r="AD256" i="1"/>
  <c r="AA267" i="1"/>
  <c r="AE332" i="1"/>
  <c r="Z362" i="1"/>
  <c r="Y375" i="1"/>
  <c r="AF543" i="1"/>
  <c r="AG576" i="1"/>
  <c r="AB267" i="1"/>
  <c r="AD297" i="1"/>
  <c r="AA332" i="1"/>
  <c r="AF362" i="1"/>
  <c r="Z267" i="1"/>
  <c r="AG217" i="1"/>
  <c r="AF256" i="1"/>
  <c r="AG267" i="1"/>
  <c r="Y283" i="1"/>
  <c r="AE297" i="1"/>
  <c r="AG332" i="1"/>
  <c r="AG362" i="1"/>
  <c r="AE79" i="1"/>
  <c r="AA196" i="1"/>
  <c r="AC217" i="1"/>
  <c r="AA240" i="1"/>
  <c r="Z283" i="1"/>
  <c r="AF297" i="1"/>
  <c r="AH332" i="1"/>
  <c r="AH362" i="1"/>
  <c r="AG375" i="1"/>
  <c r="AD375" i="1"/>
  <c r="AA356" i="1"/>
  <c r="Z356" i="1"/>
  <c r="AD356" i="1"/>
  <c r="AC356" i="1"/>
  <c r="AE356" i="1"/>
  <c r="AE307" i="1"/>
  <c r="AA307" i="1"/>
  <c r="Y307" i="1"/>
  <c r="Z307" i="1"/>
  <c r="AC307" i="1"/>
  <c r="AD307" i="1"/>
  <c r="AF307" i="1"/>
  <c r="AG307" i="1"/>
  <c r="AB307" i="1"/>
  <c r="AF332" i="1"/>
  <c r="Y332" i="1"/>
  <c r="Z332" i="1"/>
  <c r="AC332" i="1"/>
  <c r="Y315" i="1"/>
  <c r="AA315" i="1"/>
  <c r="AB315" i="1"/>
  <c r="AC361" i="1"/>
  <c r="AE361" i="1"/>
  <c r="AF361" i="1"/>
  <c r="Y361" i="1"/>
  <c r="Z361" i="1"/>
  <c r="Y304" i="1"/>
  <c r="AF304" i="1"/>
  <c r="AG304" i="1"/>
  <c r="AH304" i="1"/>
  <c r="Z304" i="1"/>
  <c r="AA304" i="1"/>
  <c r="AB304" i="1"/>
  <c r="AC304" i="1"/>
  <c r="AD304" i="1"/>
  <c r="AE304" i="1"/>
  <c r="Y301" i="1"/>
  <c r="Z301" i="1"/>
  <c r="AA301" i="1"/>
  <c r="AB301" i="1"/>
  <c r="AC301" i="1"/>
  <c r="AE301" i="1"/>
  <c r="AG301" i="1"/>
  <c r="Y297" i="1"/>
  <c r="Z297" i="1"/>
  <c r="AA297" i="1"/>
  <c r="AB297" i="1"/>
  <c r="AG297" i="1"/>
  <c r="AC292" i="1"/>
  <c r="AG292" i="1"/>
  <c r="AH292" i="1"/>
  <c r="Y292" i="1"/>
  <c r="Z292" i="1"/>
  <c r="AA292" i="1"/>
  <c r="AB292" i="1"/>
  <c r="AD292" i="1"/>
  <c r="AE292" i="1"/>
  <c r="AF292" i="1"/>
  <c r="Y285" i="1"/>
  <c r="AA285" i="1"/>
  <c r="AB285" i="1"/>
  <c r="AD285" i="1"/>
  <c r="AE282" i="1"/>
  <c r="AF282" i="1"/>
  <c r="AG282" i="1"/>
  <c r="AH282" i="1"/>
  <c r="Y282" i="1"/>
  <c r="Z282" i="1"/>
  <c r="AA282" i="1"/>
  <c r="AB282" i="1"/>
  <c r="AC282" i="1"/>
  <c r="AD282" i="1"/>
  <c r="Y362" i="1"/>
  <c r="AA362" i="1"/>
  <c r="AB362" i="1"/>
  <c r="AC362" i="1"/>
  <c r="AD362" i="1"/>
  <c r="AA283" i="1"/>
  <c r="AD283" i="1"/>
  <c r="AE283" i="1"/>
  <c r="AF283" i="1"/>
  <c r="AF281" i="1"/>
  <c r="AG281" i="1"/>
  <c r="Y281" i="1"/>
  <c r="AE281" i="1"/>
  <c r="AH281" i="1"/>
  <c r="Z281" i="1"/>
  <c r="AA281" i="1"/>
  <c r="AB281" i="1"/>
  <c r="AC281" i="1"/>
  <c r="AD281" i="1"/>
  <c r="AE269" i="1"/>
  <c r="AF269" i="1"/>
  <c r="AG269" i="1"/>
  <c r="AH269" i="1"/>
  <c r="AB269" i="1"/>
  <c r="Y269" i="1"/>
  <c r="Z269" i="1"/>
  <c r="AA269" i="1"/>
  <c r="AC269" i="1"/>
  <c r="AD269" i="1"/>
  <c r="AF323" i="1"/>
  <c r="AG323" i="1"/>
  <c r="AH323" i="1"/>
  <c r="Y323" i="1"/>
  <c r="Z323" i="1"/>
  <c r="AE268" i="1"/>
  <c r="AF268" i="1"/>
  <c r="Y268" i="1"/>
  <c r="AH268" i="1"/>
  <c r="Z268" i="1"/>
  <c r="AC268" i="1"/>
  <c r="AG268" i="1"/>
  <c r="AD268" i="1"/>
  <c r="AA268" i="1"/>
  <c r="AB268" i="1"/>
  <c r="AC267" i="1"/>
  <c r="AD267" i="1"/>
  <c r="Y263" i="1"/>
  <c r="Z263" i="1"/>
  <c r="AB263" i="1"/>
  <c r="AC263" i="1"/>
  <c r="AD260" i="1"/>
  <c r="Y260" i="1"/>
  <c r="AC260" i="1"/>
  <c r="AG260" i="1"/>
  <c r="AE260" i="1"/>
  <c r="AF260" i="1"/>
  <c r="AA260" i="1"/>
  <c r="Z260" i="1"/>
  <c r="AH260" i="1"/>
  <c r="AE256" i="1"/>
  <c r="AG256" i="1"/>
  <c r="AH256" i="1"/>
  <c r="AA256" i="1"/>
  <c r="Y240" i="1"/>
  <c r="Y238" i="1"/>
  <c r="Z238" i="1"/>
  <c r="AF238" i="1"/>
  <c r="AC238" i="1"/>
  <c r="AH238" i="1"/>
  <c r="AA238" i="1"/>
  <c r="AD238" i="1"/>
  <c r="AE235" i="1"/>
  <c r="Z235" i="1"/>
  <c r="AH233" i="1"/>
  <c r="AC233" i="1"/>
  <c r="AA233" i="1"/>
  <c r="AF233" i="1"/>
  <c r="AG233" i="1"/>
  <c r="AB233" i="1"/>
  <c r="Y233" i="1"/>
  <c r="AD233" i="1"/>
  <c r="AE233" i="1"/>
  <c r="AD231" i="1"/>
  <c r="AC231" i="1"/>
  <c r="AF231" i="1"/>
  <c r="AG231" i="1"/>
  <c r="AH231" i="1"/>
  <c r="Y231" i="1"/>
  <c r="Z231" i="1"/>
  <c r="AA231" i="1"/>
  <c r="AB231" i="1"/>
  <c r="AC230" i="1"/>
  <c r="AF230" i="1"/>
  <c r="AE230" i="1"/>
  <c r="AA230" i="1"/>
  <c r="AD230" i="1"/>
  <c r="AB230" i="1"/>
  <c r="AG230" i="1"/>
  <c r="AH230" i="1"/>
  <c r="Y230" i="1"/>
  <c r="Z230" i="1"/>
  <c r="AC228" i="1"/>
  <c r="AA228" i="1"/>
  <c r="AB228" i="1"/>
  <c r="AH228" i="1"/>
  <c r="AD228" i="1"/>
  <c r="AE228" i="1"/>
  <c r="AG228" i="1"/>
  <c r="AF228" i="1"/>
  <c r="Y228" i="1"/>
  <c r="Z228" i="1"/>
  <c r="AF227" i="1"/>
  <c r="AH227" i="1"/>
  <c r="AG227" i="1"/>
  <c r="AB227" i="1"/>
  <c r="AC227" i="1"/>
  <c r="AD227" i="1"/>
  <c r="AE227" i="1"/>
  <c r="AA227" i="1"/>
  <c r="Y227" i="1"/>
  <c r="Z227" i="1"/>
  <c r="AE226" i="1"/>
  <c r="AF226" i="1"/>
  <c r="AC226" i="1"/>
  <c r="AH226" i="1"/>
  <c r="Y226" i="1"/>
  <c r="Z226" i="1"/>
  <c r="AA226" i="1"/>
  <c r="AB226" i="1"/>
  <c r="AB225" i="1"/>
  <c r="AG225" i="1"/>
  <c r="AH225" i="1"/>
  <c r="Y225" i="1"/>
  <c r="AA225" i="1"/>
  <c r="AC225" i="1"/>
  <c r="Z225" i="1"/>
  <c r="AD225" i="1"/>
  <c r="AE225" i="1"/>
  <c r="AF225" i="1"/>
  <c r="Y222" i="1"/>
  <c r="Z222" i="1"/>
  <c r="AC222" i="1"/>
  <c r="AB222" i="1"/>
  <c r="AD222" i="1"/>
  <c r="AE222" i="1"/>
  <c r="AH222" i="1"/>
  <c r="AA222" i="1"/>
  <c r="AG222" i="1"/>
  <c r="AF222" i="1"/>
  <c r="AE219" i="1"/>
  <c r="AG219" i="1"/>
  <c r="AA219" i="1"/>
  <c r="AF219" i="1"/>
  <c r="AB219" i="1"/>
  <c r="AC219" i="1"/>
  <c r="AH219" i="1"/>
  <c r="Y219" i="1"/>
  <c r="Z219" i="1"/>
  <c r="AD219" i="1"/>
  <c r="AF216" i="1"/>
  <c r="AG216" i="1"/>
  <c r="AA216" i="1"/>
  <c r="Y216" i="1"/>
  <c r="AE216" i="1"/>
  <c r="AH216" i="1"/>
  <c r="AD216" i="1"/>
  <c r="Y217" i="1"/>
  <c r="AA217" i="1"/>
  <c r="AB217" i="1"/>
  <c r="AD217" i="1"/>
  <c r="AE217" i="1"/>
  <c r="Z216" i="1"/>
  <c r="AB216" i="1"/>
  <c r="AC216" i="1"/>
  <c r="AF211" i="1"/>
  <c r="AG211" i="1"/>
  <c r="AH211" i="1"/>
  <c r="Y211" i="1"/>
  <c r="AD210" i="1"/>
  <c r="Z210" i="1"/>
  <c r="AB210" i="1"/>
  <c r="AE210" i="1"/>
  <c r="AF210" i="1"/>
  <c r="AG210" i="1"/>
  <c r="AC210" i="1"/>
  <c r="AH210" i="1"/>
  <c r="Y210" i="1"/>
  <c r="AA210" i="1"/>
  <c r="AG204" i="1"/>
  <c r="AB204" i="1"/>
  <c r="AH204" i="1"/>
  <c r="Y204" i="1"/>
  <c r="Z204" i="1"/>
  <c r="AA204" i="1"/>
  <c r="AC204" i="1"/>
  <c r="AD204" i="1"/>
  <c r="AE204" i="1"/>
  <c r="AF204" i="1"/>
  <c r="AF203" i="1"/>
  <c r="AA203" i="1"/>
  <c r="AG203" i="1"/>
  <c r="AH203" i="1"/>
  <c r="Y203" i="1"/>
  <c r="Z203" i="1"/>
  <c r="AD203" i="1"/>
  <c r="AE203" i="1"/>
  <c r="AC203" i="1"/>
  <c r="AB203" i="1"/>
  <c r="AG197" i="1"/>
  <c r="AB197" i="1"/>
  <c r="AF197" i="1"/>
  <c r="AH197" i="1"/>
  <c r="Y197" i="1"/>
  <c r="Z197" i="1"/>
  <c r="AA197" i="1"/>
  <c r="AC197" i="1"/>
  <c r="AD197" i="1"/>
  <c r="AE197" i="1"/>
  <c r="AG191" i="1"/>
  <c r="AF191" i="1"/>
  <c r="AH191" i="1"/>
  <c r="Y191" i="1"/>
  <c r="AA191" i="1"/>
  <c r="AC191" i="1"/>
  <c r="AB191" i="1"/>
  <c r="AD191" i="1"/>
  <c r="Z191" i="1"/>
  <c r="AE191" i="1"/>
  <c r="AD103" i="1"/>
  <c r="Y133" i="1"/>
  <c r="AH143" i="1"/>
  <c r="AB280" i="1"/>
  <c r="Y190" i="1"/>
  <c r="AF190" i="1"/>
  <c r="AD274" i="1"/>
  <c r="Z190" i="1"/>
  <c r="AF243" i="1"/>
  <c r="AH190" i="1"/>
  <c r="AH186" i="1"/>
  <c r="AD102" i="1"/>
  <c r="Y143" i="1"/>
  <c r="AA167" i="1"/>
  <c r="AA143" i="1"/>
  <c r="AB338" i="1"/>
  <c r="AF79" i="1"/>
  <c r="AG143" i="1"/>
  <c r="AG167" i="1"/>
  <c r="AA190" i="1"/>
  <c r="AB190" i="1"/>
  <c r="AC190" i="1"/>
  <c r="AD190" i="1"/>
  <c r="AE190" i="1"/>
  <c r="AG190" i="1"/>
  <c r="AC189" i="1"/>
  <c r="Y189" i="1"/>
  <c r="AG189" i="1"/>
  <c r="AB189" i="1"/>
  <c r="Z189" i="1"/>
  <c r="AA189" i="1"/>
  <c r="AD189" i="1"/>
  <c r="AE189" i="1"/>
  <c r="AF189" i="1"/>
  <c r="AH189" i="1"/>
  <c r="Z186" i="1"/>
  <c r="AB186" i="1"/>
  <c r="AE186" i="1"/>
  <c r="AF186" i="1"/>
  <c r="Y186" i="1"/>
  <c r="AC186" i="1"/>
  <c r="AD186" i="1"/>
  <c r="AG186" i="1"/>
  <c r="AE185" i="1"/>
  <c r="Z185" i="1"/>
  <c r="AB185" i="1"/>
  <c r="Y185" i="1"/>
  <c r="AC185" i="1"/>
  <c r="AD185" i="1"/>
  <c r="AG185" i="1"/>
  <c r="AA185" i="1"/>
  <c r="AH185" i="1"/>
  <c r="AF185" i="1"/>
  <c r="AF176" i="1"/>
  <c r="AE176" i="1"/>
  <c r="AH176" i="1"/>
  <c r="AC176" i="1"/>
  <c r="AG176" i="1"/>
  <c r="Y176" i="1"/>
  <c r="Z176" i="1"/>
  <c r="AA176" i="1"/>
  <c r="AB176" i="1"/>
  <c r="AG170" i="1"/>
  <c r="AH170" i="1"/>
  <c r="AE170" i="1"/>
  <c r="AF170" i="1"/>
  <c r="AD170" i="1"/>
  <c r="AB170" i="1"/>
  <c r="Y170" i="1"/>
  <c r="Z170" i="1"/>
  <c r="AA170" i="1"/>
  <c r="AC170" i="1"/>
  <c r="AD169" i="1"/>
  <c r="AH169" i="1"/>
  <c r="AA169" i="1"/>
  <c r="AE169" i="1"/>
  <c r="AF169" i="1"/>
  <c r="AG169" i="1"/>
  <c r="Y169" i="1"/>
  <c r="Z169" i="1"/>
  <c r="AB169" i="1"/>
  <c r="AC169" i="1"/>
  <c r="AH167" i="1"/>
  <c r="AE167" i="1"/>
  <c r="AF167" i="1"/>
  <c r="AC167" i="1"/>
  <c r="Y167" i="1"/>
  <c r="Z167" i="1"/>
  <c r="AB167" i="1"/>
  <c r="AD167" i="1"/>
  <c r="AF165" i="1"/>
  <c r="AG165" i="1"/>
  <c r="AH165" i="1"/>
  <c r="Y165" i="1"/>
  <c r="Z165" i="1"/>
  <c r="AA165" i="1"/>
  <c r="AB165" i="1"/>
  <c r="AC165" i="1"/>
  <c r="AD165" i="1"/>
  <c r="AE165" i="1"/>
  <c r="AF159" i="1"/>
  <c r="AE159" i="1"/>
  <c r="AH159" i="1"/>
  <c r="Y159" i="1"/>
  <c r="AB159" i="1"/>
  <c r="AG159" i="1"/>
  <c r="AD159" i="1"/>
  <c r="Z159" i="1"/>
  <c r="AA159" i="1"/>
  <c r="AC159" i="1"/>
  <c r="AG156" i="1"/>
  <c r="Z156" i="1"/>
  <c r="Y156" i="1"/>
  <c r="AA156" i="1"/>
  <c r="AB156" i="1"/>
  <c r="AC156" i="1"/>
  <c r="AD156" i="1"/>
  <c r="AE156" i="1"/>
  <c r="AH156" i="1"/>
  <c r="AD145" i="1"/>
  <c r="AF145" i="1"/>
  <c r="AE145" i="1"/>
  <c r="Z145" i="1"/>
  <c r="AG145" i="1"/>
  <c r="AH145" i="1"/>
  <c r="Y145" i="1"/>
  <c r="AA145" i="1"/>
  <c r="AB145" i="1"/>
  <c r="AC145" i="1"/>
  <c r="AB143" i="1"/>
  <c r="Z143" i="1"/>
  <c r="AC143" i="1"/>
  <c r="AE143" i="1"/>
  <c r="AF143" i="1"/>
  <c r="AD143" i="1"/>
  <c r="Y142" i="1"/>
  <c r="Z142" i="1"/>
  <c r="AG142" i="1"/>
  <c r="AH142" i="1"/>
  <c r="AF142" i="1"/>
  <c r="AA142" i="1"/>
  <c r="AB142" i="1"/>
  <c r="AC142" i="1"/>
  <c r="AD142" i="1"/>
  <c r="AE142" i="1"/>
  <c r="AE134" i="1"/>
  <c r="AH134" i="1"/>
  <c r="AG134" i="1"/>
  <c r="Y134" i="1"/>
  <c r="Z134" i="1"/>
  <c r="AA134" i="1"/>
  <c r="AB134" i="1"/>
  <c r="AC134" i="1"/>
  <c r="AD134" i="1"/>
  <c r="AF134" i="1"/>
  <c r="AE133" i="1"/>
  <c r="Y575" i="1"/>
  <c r="AC626" i="1"/>
  <c r="AC127" i="1"/>
  <c r="AA262" i="1"/>
  <c r="AH274" i="1"/>
  <c r="AE103" i="1"/>
  <c r="AH103" i="1"/>
  <c r="AG133" i="1"/>
  <c r="AE244" i="1"/>
  <c r="Y103" i="1"/>
  <c r="AH133" i="1"/>
  <c r="AE274" i="1"/>
  <c r="AG419" i="1"/>
  <c r="AG538" i="1"/>
  <c r="Z133" i="1"/>
  <c r="AA441" i="1"/>
  <c r="AA133" i="1"/>
  <c r="AA264" i="1"/>
  <c r="AB279" i="1"/>
  <c r="Z441" i="1"/>
  <c r="AD78" i="1"/>
  <c r="AB133" i="1"/>
  <c r="AD171" i="1"/>
  <c r="AH279" i="1"/>
  <c r="AD338" i="1"/>
  <c r="AD341" i="1"/>
  <c r="Y247" i="1"/>
  <c r="AE259" i="1"/>
  <c r="Y280" i="1"/>
  <c r="AG441" i="1"/>
  <c r="AD543" i="1"/>
  <c r="AF576" i="1"/>
  <c r="AG178" i="1"/>
  <c r="AA259" i="1"/>
  <c r="AD106" i="1"/>
  <c r="AH79" i="1"/>
  <c r="AC341" i="1"/>
  <c r="AC443" i="1"/>
  <c r="Z79" i="1"/>
  <c r="AD88" i="1"/>
  <c r="AG273" i="1"/>
  <c r="AB277" i="1"/>
  <c r="AB443" i="1"/>
  <c r="AE602" i="1"/>
  <c r="AA79" i="1"/>
  <c r="AE195" i="1"/>
  <c r="AC286" i="1"/>
  <c r="AF339" i="1"/>
  <c r="AB79" i="1"/>
  <c r="AD188" i="1"/>
  <c r="AC133" i="1"/>
  <c r="AD133" i="1"/>
  <c r="AF133" i="1"/>
  <c r="AF132" i="1"/>
  <c r="AG132" i="1"/>
  <c r="AH132" i="1"/>
  <c r="Y132" i="1"/>
  <c r="Z132" i="1"/>
  <c r="AA132" i="1"/>
  <c r="AB132" i="1"/>
  <c r="AC132" i="1"/>
  <c r="AD132" i="1"/>
  <c r="AE132" i="1"/>
  <c r="AB106" i="1"/>
  <c r="AH106" i="1"/>
  <c r="Z106" i="1"/>
  <c r="AG106" i="1"/>
  <c r="AF106" i="1"/>
  <c r="Y106" i="1"/>
  <c r="AA106" i="1"/>
  <c r="AC106" i="1"/>
  <c r="AF103" i="1"/>
  <c r="AG103" i="1"/>
  <c r="AF102" i="1"/>
  <c r="AE102" i="1"/>
  <c r="AG102" i="1"/>
  <c r="AH102" i="1"/>
  <c r="Z103" i="1"/>
  <c r="AA103" i="1"/>
  <c r="AB103" i="1"/>
  <c r="AC103" i="1"/>
  <c r="Y102" i="1"/>
  <c r="Z102" i="1"/>
  <c r="AA102" i="1"/>
  <c r="AB102" i="1"/>
  <c r="AC102" i="1"/>
  <c r="AG101" i="1"/>
  <c r="AA101" i="1"/>
  <c r="AH101" i="1"/>
  <c r="AF101" i="1"/>
  <c r="Z101" i="1"/>
  <c r="AB101" i="1"/>
  <c r="Y101" i="1"/>
  <c r="AC101" i="1"/>
  <c r="AD101" i="1"/>
  <c r="AE101" i="1"/>
  <c r="AG100" i="1"/>
  <c r="AB100" i="1"/>
  <c r="AH100" i="1"/>
  <c r="Y100" i="1"/>
  <c r="Z100" i="1"/>
  <c r="AA100" i="1"/>
  <c r="AC100" i="1"/>
  <c r="AD100" i="1"/>
  <c r="AE100" i="1"/>
  <c r="AF100" i="1"/>
  <c r="AF93" i="1"/>
  <c r="Y93" i="1"/>
  <c r="Z93" i="1"/>
  <c r="AH93" i="1"/>
  <c r="AB93" i="1"/>
  <c r="AD93" i="1"/>
  <c r="AE93" i="1"/>
  <c r="AA93" i="1"/>
  <c r="AG93" i="1"/>
  <c r="AC93" i="1"/>
  <c r="AB88" i="1"/>
  <c r="AH88" i="1"/>
  <c r="AA88" i="1"/>
  <c r="AC88" i="1"/>
  <c r="AE88" i="1"/>
  <c r="AF88" i="1"/>
  <c r="AG88" i="1"/>
  <c r="Y88" i="1"/>
  <c r="Z88" i="1"/>
  <c r="AH87" i="1"/>
  <c r="AD87" i="1"/>
  <c r="AA87" i="1"/>
  <c r="AG87" i="1"/>
  <c r="Y87" i="1"/>
  <c r="AB87" i="1"/>
  <c r="AE87" i="1"/>
  <c r="Z87" i="1"/>
  <c r="AC87" i="1"/>
  <c r="AF87" i="1"/>
  <c r="AC86" i="1"/>
  <c r="AF86" i="1"/>
  <c r="AG86" i="1"/>
  <c r="AH86" i="1"/>
  <c r="Y86" i="1"/>
  <c r="Z86" i="1"/>
  <c r="AA86" i="1"/>
  <c r="AB86" i="1"/>
  <c r="AD86" i="1"/>
  <c r="AE86" i="1"/>
  <c r="AF84" i="1"/>
  <c r="AG84" i="1"/>
  <c r="AH84" i="1"/>
  <c r="Z84" i="1"/>
  <c r="AC84" i="1"/>
  <c r="AB84" i="1"/>
  <c r="Y84" i="1"/>
  <c r="AA84" i="1"/>
  <c r="AD84" i="1"/>
  <c r="AE84" i="1"/>
  <c r="Y79" i="1"/>
  <c r="AC79" i="1"/>
  <c r="AD79" i="1"/>
  <c r="AG79" i="1"/>
  <c r="AF78" i="1"/>
  <c r="AG78" i="1"/>
  <c r="AH78" i="1"/>
  <c r="AC78" i="1"/>
  <c r="Y78" i="1"/>
  <c r="Z78" i="1"/>
  <c r="AA78" i="1"/>
  <c r="AB78" i="1"/>
  <c r="AE78" i="1"/>
  <c r="AA75" i="1"/>
  <c r="AC75" i="1"/>
  <c r="AB75" i="1"/>
  <c r="AF75" i="1"/>
  <c r="AE75" i="1"/>
  <c r="AG75" i="1"/>
  <c r="Z75" i="1"/>
  <c r="AH75" i="1"/>
  <c r="Y75" i="1"/>
  <c r="AD75" i="1"/>
  <c r="Y59" i="1"/>
  <c r="AH59" i="1"/>
  <c r="AG59" i="1"/>
  <c r="AF59" i="1"/>
  <c r="Z59" i="1"/>
  <c r="AA59" i="1"/>
  <c r="AB59" i="1"/>
  <c r="AC59" i="1"/>
  <c r="AD59" i="1"/>
  <c r="AE59" i="1"/>
  <c r="AH247" i="1"/>
  <c r="AC188" i="1"/>
  <c r="Z195" i="1"/>
  <c r="AE208" i="1"/>
  <c r="AG259" i="1"/>
  <c r="Y264" i="1"/>
  <c r="AE339" i="1"/>
  <c r="Y441" i="1"/>
  <c r="AF575" i="1"/>
  <c r="AH575" i="1"/>
  <c r="AF195" i="1"/>
  <c r="AD208" i="1"/>
  <c r="AH259" i="1"/>
  <c r="AD273" i="1"/>
  <c r="Y279" i="1"/>
  <c r="Y339" i="1"/>
  <c r="AH341" i="1"/>
  <c r="AF538" i="1"/>
  <c r="AG575" i="1"/>
  <c r="AA341" i="1"/>
  <c r="AH441" i="1"/>
  <c r="Y94" i="1"/>
  <c r="AG195" i="1"/>
  <c r="AH208" i="1"/>
  <c r="Y243" i="1"/>
  <c r="AD275" i="1"/>
  <c r="Z279" i="1"/>
  <c r="AG339" i="1"/>
  <c r="AF443" i="1"/>
  <c r="AC575" i="1"/>
  <c r="AA626" i="1"/>
  <c r="AE94" i="1"/>
  <c r="AH195" i="1"/>
  <c r="AC208" i="1"/>
  <c r="AA243" i="1"/>
  <c r="AF273" i="1"/>
  <c r="AA275" i="1"/>
  <c r="AA279" i="1"/>
  <c r="AH339" i="1"/>
  <c r="Y543" i="1"/>
  <c r="AD576" i="1"/>
  <c r="AF259" i="1"/>
  <c r="AE576" i="1"/>
  <c r="AG243" i="1"/>
  <c r="AC275" i="1"/>
  <c r="Z416" i="1"/>
  <c r="AH273" i="1"/>
  <c r="AC94" i="1"/>
  <c r="AF171" i="1"/>
  <c r="Y178" i="1"/>
  <c r="AH243" i="1"/>
  <c r="Y275" i="1"/>
  <c r="Y277" i="1"/>
  <c r="AF279" i="1"/>
  <c r="AF416" i="1"/>
  <c r="AH443" i="1"/>
  <c r="AG543" i="1"/>
  <c r="AC576" i="1"/>
  <c r="Z94" i="1"/>
  <c r="AG171" i="1"/>
  <c r="AE178" i="1"/>
  <c r="AG196" i="1"/>
  <c r="AB243" i="1"/>
  <c r="AE273" i="1"/>
  <c r="Z277" i="1"/>
  <c r="AG279" i="1"/>
  <c r="AD419" i="1"/>
  <c r="AH543" i="1"/>
  <c r="AH576" i="1"/>
  <c r="Z171" i="1"/>
  <c r="AC171" i="1"/>
  <c r="AF178" i="1"/>
  <c r="AH244" i="1"/>
  <c r="Z262" i="1"/>
  <c r="Y274" i="1"/>
  <c r="AD277" i="1"/>
  <c r="Y406" i="1"/>
  <c r="AE419" i="1"/>
  <c r="AG443" i="1"/>
  <c r="Z406" i="1"/>
  <c r="AF419" i="1"/>
  <c r="AF602" i="1"/>
  <c r="AB171" i="1"/>
  <c r="AE171" i="1"/>
  <c r="AH178" i="1"/>
  <c r="Z196" i="1"/>
  <c r="AF244" i="1"/>
  <c r="AA274" i="1"/>
  <c r="AD626" i="1"/>
  <c r="Z280" i="1"/>
  <c r="Y341" i="1"/>
  <c r="AE127" i="1"/>
  <c r="AH171" i="1"/>
  <c r="Z178" i="1"/>
  <c r="AG244" i="1"/>
  <c r="AH262" i="1"/>
  <c r="AB274" i="1"/>
  <c r="AE277" i="1"/>
  <c r="AA280" i="1"/>
  <c r="AG286" i="1"/>
  <c r="AA338" i="1"/>
  <c r="Z341" i="1"/>
  <c r="AF371" i="1"/>
  <c r="AB406" i="1"/>
  <c r="AH419" i="1"/>
  <c r="AD441" i="1"/>
  <c r="AA602" i="1"/>
  <c r="AE626" i="1"/>
  <c r="AC277" i="1"/>
  <c r="AF127" i="1"/>
  <c r="AF157" i="1"/>
  <c r="AC244" i="1"/>
  <c r="Z247" i="1"/>
  <c r="Z264" i="1"/>
  <c r="AC274" i="1"/>
  <c r="AE280" i="1"/>
  <c r="AA286" i="1"/>
  <c r="AG338" i="1"/>
  <c r="AF341" i="1"/>
  <c r="AE441" i="1"/>
  <c r="AG602" i="1"/>
  <c r="AF626" i="1"/>
  <c r="AB195" i="1"/>
  <c r="AH127" i="1"/>
  <c r="AA247" i="1"/>
  <c r="Z259" i="1"/>
  <c r="AH280" i="1"/>
  <c r="AH338" i="1"/>
  <c r="AG341" i="1"/>
  <c r="AF441" i="1"/>
  <c r="Y419" i="1"/>
  <c r="Z419" i="1"/>
  <c r="AA419" i="1"/>
  <c r="AB419" i="1"/>
  <c r="AC419" i="1"/>
  <c r="Y273" i="1"/>
  <c r="AA273" i="1"/>
  <c r="AB273" i="1"/>
  <c r="AC273" i="1"/>
  <c r="AF277" i="1"/>
  <c r="AG277" i="1"/>
  <c r="AH277" i="1"/>
  <c r="AA277" i="1"/>
  <c r="AB247" i="1"/>
  <c r="AC247" i="1"/>
  <c r="AD247" i="1"/>
  <c r="AF247" i="1"/>
  <c r="AE247" i="1"/>
  <c r="AG247" i="1"/>
  <c r="Z127" i="1"/>
  <c r="AA127" i="1"/>
  <c r="AB127" i="1"/>
  <c r="Y127" i="1"/>
  <c r="AD127" i="1"/>
  <c r="AG127" i="1"/>
  <c r="AA178" i="1"/>
  <c r="AB178" i="1"/>
  <c r="AC178" i="1"/>
  <c r="AD178" i="1"/>
  <c r="AC280" i="1"/>
  <c r="AD280" i="1"/>
  <c r="AF280" i="1"/>
  <c r="AG280" i="1"/>
  <c r="Y602" i="1"/>
  <c r="Z602" i="1"/>
  <c r="AB602" i="1"/>
  <c r="AC602" i="1"/>
  <c r="AD602" i="1"/>
  <c r="AC259" i="1"/>
  <c r="AD259" i="1"/>
  <c r="AB259" i="1"/>
  <c r="Y259" i="1"/>
  <c r="Y244" i="1"/>
  <c r="Z244" i="1"/>
  <c r="AA244" i="1"/>
  <c r="AB244" i="1"/>
  <c r="AD244" i="1"/>
  <c r="Y171" i="1"/>
  <c r="AA171" i="1"/>
  <c r="Z208" i="1"/>
  <c r="AA208" i="1"/>
  <c r="AB208" i="1"/>
  <c r="AF208" i="1"/>
  <c r="AG208" i="1"/>
  <c r="AE275" i="1"/>
  <c r="AF275" i="1"/>
  <c r="AG275" i="1"/>
  <c r="AH275" i="1"/>
  <c r="Z275" i="1"/>
  <c r="AB275" i="1"/>
  <c r="AB341" i="1"/>
  <c r="AE341" i="1"/>
  <c r="Z339" i="1"/>
  <c r="AA339" i="1"/>
  <c r="AB339" i="1"/>
  <c r="AC339" i="1"/>
  <c r="AD339" i="1"/>
  <c r="Y443" i="1"/>
  <c r="Z443" i="1"/>
  <c r="AA443" i="1"/>
  <c r="AD443" i="1"/>
  <c r="AE443" i="1"/>
  <c r="Z575" i="1"/>
  <c r="AA575" i="1"/>
  <c r="AB575" i="1"/>
  <c r="AD575" i="1"/>
  <c r="AE575" i="1"/>
  <c r="AB441" i="1"/>
  <c r="AC441" i="1"/>
  <c r="AC279" i="1"/>
  <c r="AD279" i="1"/>
  <c r="AE279" i="1"/>
  <c r="AC243" i="1"/>
  <c r="AD243" i="1"/>
  <c r="AE243" i="1"/>
  <c r="Z243" i="1"/>
  <c r="AC195" i="1"/>
  <c r="Y195" i="1"/>
  <c r="AA195" i="1"/>
  <c r="AD195" i="1"/>
  <c r="AF274" i="1"/>
  <c r="AG274" i="1"/>
  <c r="AB264" i="1"/>
  <c r="AC264" i="1"/>
  <c r="AD264" i="1"/>
  <c r="AE264" i="1"/>
  <c r="AF264" i="1"/>
  <c r="AG264" i="1"/>
  <c r="AH264" i="1"/>
  <c r="Y576" i="1"/>
  <c r="Z576" i="1"/>
  <c r="AA576" i="1"/>
  <c r="AB576" i="1"/>
  <c r="AA543" i="1"/>
  <c r="AB543" i="1"/>
  <c r="Z543" i="1"/>
  <c r="AC543" i="1"/>
  <c r="AE543" i="1"/>
  <c r="AG626" i="1"/>
  <c r="AH626" i="1"/>
  <c r="Y626" i="1"/>
  <c r="Z626" i="1"/>
  <c r="AB626" i="1"/>
  <c r="AD57" i="1"/>
  <c r="AG57" i="1"/>
  <c r="Y57" i="1"/>
  <c r="AB57" i="1"/>
  <c r="AH57" i="1"/>
  <c r="Z57" i="1"/>
  <c r="AC57" i="1"/>
  <c r="AA57" i="1"/>
  <c r="AE57" i="1"/>
  <c r="AF57" i="1"/>
  <c r="AH53" i="1"/>
  <c r="AG53" i="1"/>
  <c r="AF53" i="1"/>
  <c r="AD53" i="1"/>
  <c r="AE53" i="1"/>
  <c r="AC53" i="1"/>
  <c r="Y53" i="1"/>
  <c r="AB53" i="1"/>
  <c r="AA53" i="1"/>
  <c r="Z157" i="1"/>
  <c r="AE371" i="1"/>
  <c r="AF406" i="1"/>
  <c r="AB416" i="1"/>
  <c r="AH563" i="1"/>
  <c r="AG157" i="1"/>
  <c r="AC338" i="1"/>
  <c r="AG371" i="1"/>
  <c r="AH406" i="1"/>
  <c r="AE416" i="1"/>
  <c r="AC416" i="1"/>
  <c r="AH157" i="1"/>
  <c r="AD196" i="1"/>
  <c r="AH321" i="1"/>
  <c r="AE338" i="1"/>
  <c r="AH371" i="1"/>
  <c r="AE196" i="1"/>
  <c r="AE538" i="1"/>
  <c r="AD94" i="1"/>
  <c r="AG406" i="1"/>
  <c r="AB538" i="1"/>
  <c r="AC196" i="1"/>
  <c r="AH538" i="1"/>
  <c r="AD96" i="1"/>
  <c r="Y196" i="1"/>
  <c r="AF286" i="1"/>
  <c r="AC538" i="1"/>
  <c r="AD262" i="1"/>
  <c r="AE286" i="1"/>
  <c r="AF94" i="1"/>
  <c r="AG96" i="1"/>
  <c r="AB196" i="1"/>
  <c r="AF262" i="1"/>
  <c r="AF96" i="1"/>
  <c r="AG94" i="1"/>
  <c r="AF196" i="1"/>
  <c r="AG262" i="1"/>
  <c r="AH286" i="1"/>
  <c r="AF338" i="1"/>
  <c r="AH94" i="1"/>
  <c r="AC262" i="1"/>
  <c r="AB286" i="1"/>
  <c r="AD416" i="1"/>
  <c r="AB94" i="1"/>
  <c r="Y157" i="1"/>
  <c r="AB262" i="1"/>
  <c r="AD265" i="1"/>
  <c r="AD286" i="1"/>
  <c r="AG321" i="1"/>
  <c r="Y338" i="1"/>
  <c r="AD371" i="1"/>
  <c r="AA406" i="1"/>
  <c r="Y96" i="1"/>
  <c r="Z96" i="1"/>
  <c r="AA96" i="1"/>
  <c r="AB96" i="1"/>
  <c r="AE96" i="1"/>
  <c r="AC96" i="1"/>
  <c r="AG416" i="1"/>
  <c r="AH416" i="1"/>
  <c r="Y416" i="1"/>
  <c r="AA416" i="1"/>
  <c r="Z338" i="1"/>
  <c r="AA157" i="1"/>
  <c r="AB157" i="1"/>
  <c r="AC157" i="1"/>
  <c r="AD157" i="1"/>
  <c r="AE157" i="1"/>
  <c r="AH196" i="1"/>
  <c r="AE262" i="1"/>
  <c r="Y262" i="1"/>
  <c r="Y371" i="1"/>
  <c r="Z371" i="1"/>
  <c r="AA371" i="1"/>
  <c r="AB371" i="1"/>
  <c r="AC371" i="1"/>
  <c r="Y538" i="1"/>
  <c r="Z538" i="1"/>
  <c r="AA538" i="1"/>
  <c r="AD538" i="1"/>
  <c r="Y286" i="1"/>
  <c r="Z286" i="1"/>
  <c r="AA94" i="1"/>
  <c r="AC406" i="1"/>
  <c r="AD406" i="1"/>
  <c r="AE406" i="1"/>
  <c r="AH50" i="1"/>
  <c r="AG50" i="1"/>
  <c r="AB50" i="1"/>
  <c r="Y50" i="1"/>
  <c r="Z50" i="1"/>
  <c r="AA50" i="1"/>
  <c r="AC50" i="1"/>
  <c r="AD50" i="1"/>
  <c r="AE50" i="1"/>
  <c r="AF50" i="1"/>
  <c r="AE342" i="1"/>
  <c r="Z126" i="1"/>
  <c r="AB321" i="1"/>
  <c r="AG188" i="1"/>
  <c r="AD321" i="1"/>
  <c r="AF563" i="1"/>
  <c r="AG49" i="1"/>
  <c r="AH49" i="1"/>
  <c r="Y188" i="1"/>
  <c r="AA188" i="1"/>
  <c r="AA321" i="1"/>
  <c r="AF321" i="1"/>
  <c r="AF126" i="1"/>
  <c r="AG126" i="1"/>
  <c r="Z188" i="1"/>
  <c r="AC321" i="1"/>
  <c r="AE126" i="1"/>
  <c r="AH126" i="1"/>
  <c r="AB188" i="1"/>
  <c r="AC206" i="1"/>
  <c r="AH270" i="1"/>
  <c r="Z321" i="1"/>
  <c r="AF383" i="1"/>
  <c r="Z428" i="1"/>
  <c r="AE188" i="1"/>
  <c r="AE321" i="1"/>
  <c r="AD563" i="1"/>
  <c r="AA563" i="1"/>
  <c r="AH188" i="1"/>
  <c r="AG563" i="1"/>
  <c r="Y563" i="1"/>
  <c r="AB563" i="1"/>
  <c r="Z563" i="1"/>
  <c r="AC563" i="1"/>
  <c r="AE563" i="1"/>
  <c r="Y321" i="1"/>
  <c r="AF188" i="1"/>
  <c r="AA126" i="1"/>
  <c r="AB126" i="1"/>
  <c r="AC126" i="1"/>
  <c r="AD126" i="1"/>
  <c r="Y126" i="1"/>
  <c r="AE48" i="1"/>
  <c r="AC48" i="1"/>
  <c r="AB48" i="1"/>
  <c r="AD48" i="1"/>
  <c r="AF48" i="1"/>
  <c r="AG48" i="1"/>
  <c r="AH48" i="1"/>
  <c r="Y48" i="1"/>
  <c r="AA48" i="1"/>
  <c r="Z48" i="1"/>
  <c r="AH35" i="1"/>
  <c r="AA168" i="1"/>
  <c r="AE121" i="1"/>
  <c r="AG121" i="1"/>
  <c r="AD539" i="1"/>
  <c r="Z466" i="1"/>
  <c r="AF512" i="1"/>
  <c r="AG35" i="1"/>
  <c r="AD7" i="1"/>
  <c r="AG136" i="1"/>
  <c r="AE477" i="1"/>
  <c r="AB488" i="1"/>
  <c r="AA35" i="1"/>
  <c r="AF181" i="1"/>
  <c r="AC215" i="1"/>
  <c r="AC539" i="1"/>
  <c r="AA657" i="1"/>
  <c r="AF218" i="1"/>
  <c r="Z265" i="1"/>
  <c r="AC300" i="1"/>
  <c r="AD121" i="1"/>
  <c r="AA661" i="1"/>
  <c r="AF206" i="1"/>
  <c r="AE578" i="1"/>
  <c r="AB270" i="1"/>
  <c r="AG467" i="1"/>
  <c r="AC271" i="1"/>
  <c r="AB424" i="1"/>
  <c r="AG122" i="1"/>
  <c r="AD300" i="1"/>
  <c r="AE120" i="1"/>
  <c r="AG234" i="1"/>
  <c r="AA342" i="1"/>
  <c r="Z141" i="1"/>
  <c r="AA148" i="1"/>
  <c r="AG146" i="1"/>
  <c r="Z146" i="1"/>
  <c r="AG305" i="1"/>
  <c r="AD251" i="1"/>
  <c r="AB251" i="1"/>
  <c r="Y168" i="1"/>
  <c r="AE311" i="1"/>
  <c r="AG311" i="1"/>
  <c r="AE340" i="1"/>
  <c r="AB139" i="1"/>
  <c r="AC139" i="1"/>
  <c r="AG147" i="1"/>
  <c r="AB271" i="1"/>
  <c r="Y291" i="1"/>
  <c r="AG383" i="1"/>
  <c r="Y95" i="1"/>
  <c r="AE135" i="1"/>
  <c r="AG135" i="1"/>
  <c r="AE540" i="1"/>
  <c r="AE541" i="1"/>
  <c r="AD136" i="1"/>
  <c r="AF147" i="1"/>
  <c r="Z180" i="1"/>
  <c r="AF214" i="1"/>
  <c r="AA251" i="1"/>
  <c r="AH291" i="1"/>
  <c r="AB305" i="1"/>
  <c r="AF311" i="1"/>
  <c r="Y382" i="1"/>
  <c r="AG89" i="1"/>
  <c r="AD158" i="1"/>
  <c r="AD164" i="1"/>
  <c r="AG214" i="1"/>
  <c r="AC340" i="1"/>
  <c r="AF426" i="1"/>
  <c r="AB44" i="1"/>
  <c r="AE164" i="1"/>
  <c r="AH214" i="1"/>
  <c r="AC311" i="1"/>
  <c r="Y340" i="1"/>
  <c r="AH488" i="1"/>
  <c r="Y311" i="1"/>
  <c r="AF39" i="1"/>
  <c r="AA121" i="1"/>
  <c r="AH136" i="1"/>
  <c r="AH139" i="1"/>
  <c r="AD311" i="1"/>
  <c r="AG363" i="1"/>
  <c r="AD148" i="1"/>
  <c r="AA215" i="1"/>
  <c r="AF271" i="1"/>
  <c r="AD383" i="1"/>
  <c r="AC639" i="1"/>
  <c r="AF141" i="1"/>
  <c r="Y218" i="1"/>
  <c r="Z271" i="1"/>
  <c r="AD510" i="1"/>
  <c r="Z661" i="1"/>
  <c r="AE218" i="1"/>
  <c r="AD278" i="1"/>
  <c r="AD312" i="1"/>
  <c r="AD609" i="1"/>
  <c r="AD645" i="1"/>
  <c r="AH137" i="1"/>
  <c r="AE168" i="1"/>
  <c r="AH271" i="1"/>
  <c r="AH383" i="1"/>
  <c r="AH428" i="1"/>
  <c r="AH467" i="1"/>
  <c r="AF541" i="1"/>
  <c r="AF614" i="1"/>
  <c r="AD138" i="1"/>
  <c r="AF168" i="1"/>
  <c r="AD212" i="1"/>
  <c r="AF234" i="1"/>
  <c r="AF248" i="1"/>
  <c r="AA271" i="1"/>
  <c r="AE383" i="1"/>
  <c r="AB425" i="1"/>
  <c r="Y512" i="1"/>
  <c r="AA578" i="1"/>
  <c r="AE25" i="1"/>
  <c r="Y135" i="1"/>
  <c r="Z212" i="1"/>
  <c r="AB234" i="1"/>
  <c r="AH265" i="1"/>
  <c r="AH300" i="1"/>
  <c r="Z425" i="1"/>
  <c r="AB541" i="1"/>
  <c r="AB578" i="1"/>
  <c r="AB614" i="1"/>
  <c r="AE654" i="1"/>
  <c r="AC234" i="1"/>
  <c r="AC541" i="1"/>
  <c r="AC578" i="1"/>
  <c r="AD38" i="1"/>
  <c r="AH120" i="1"/>
  <c r="AG212" i="1"/>
  <c r="AD234" i="1"/>
  <c r="AF251" i="1"/>
  <c r="AD266" i="1"/>
  <c r="Z291" i="1"/>
  <c r="AC512" i="1"/>
  <c r="AE95" i="1"/>
  <c r="Y139" i="1"/>
  <c r="AC146" i="1"/>
  <c r="AH251" i="1"/>
  <c r="AE270" i="1"/>
  <c r="AB291" i="1"/>
  <c r="AF305" i="1"/>
  <c r="Z311" i="1"/>
  <c r="AA340" i="1"/>
  <c r="AB533" i="1"/>
  <c r="AF120" i="1"/>
  <c r="Z640" i="1"/>
  <c r="Z148" i="1"/>
  <c r="AG95" i="1"/>
  <c r="Y39" i="1"/>
  <c r="AD44" i="1"/>
  <c r="AH95" i="1"/>
  <c r="AC120" i="1"/>
  <c r="Y123" i="1"/>
  <c r="AC135" i="1"/>
  <c r="AE138" i="1"/>
  <c r="AG148" i="1"/>
  <c r="AF158" i="1"/>
  <c r="AF164" i="1"/>
  <c r="AE180" i="1"/>
  <c r="AH212" i="1"/>
  <c r="AB218" i="1"/>
  <c r="AC251" i="1"/>
  <c r="AA266" i="1"/>
  <c r="AE271" i="1"/>
  <c r="Y300" i="1"/>
  <c r="AH311" i="1"/>
  <c r="AF340" i="1"/>
  <c r="Z382" i="1"/>
  <c r="AG425" i="1"/>
  <c r="AA428" i="1"/>
  <c r="AE510" i="1"/>
  <c r="AE645" i="1"/>
  <c r="AF138" i="1"/>
  <c r="AC148" i="1"/>
  <c r="AG158" i="1"/>
  <c r="AG164" i="1"/>
  <c r="AA180" i="1"/>
  <c r="Y212" i="1"/>
  <c r="AH218" i="1"/>
  <c r="AB266" i="1"/>
  <c r="AG340" i="1"/>
  <c r="AF382" i="1"/>
  <c r="AH425" i="1"/>
  <c r="AF510" i="1"/>
  <c r="AA540" i="1"/>
  <c r="AF645" i="1"/>
  <c r="AB212" i="1"/>
  <c r="Y121" i="1"/>
  <c r="AB135" i="1"/>
  <c r="AG138" i="1"/>
  <c r="Y148" i="1"/>
  <c r="AH158" i="1"/>
  <c r="AH164" i="1"/>
  <c r="AD168" i="1"/>
  <c r="AB180" i="1"/>
  <c r="AG199" i="1"/>
  <c r="AC212" i="1"/>
  <c r="AC218" i="1"/>
  <c r="AC266" i="1"/>
  <c r="Z270" i="1"/>
  <c r="AD291" i="1"/>
  <c r="AF300" i="1"/>
  <c r="AE312" i="1"/>
  <c r="Z342" i="1"/>
  <c r="AG382" i="1"/>
  <c r="AG510" i="1"/>
  <c r="AB540" i="1"/>
  <c r="AD578" i="1"/>
  <c r="AG645" i="1"/>
  <c r="AF135" i="1"/>
  <c r="AG257" i="1"/>
  <c r="AE266" i="1"/>
  <c r="Z591" i="1"/>
  <c r="AH138" i="1"/>
  <c r="AF146" i="1"/>
  <c r="AH180" i="1"/>
  <c r="AD218" i="1"/>
  <c r="AF266" i="1"/>
  <c r="AF270" i="1"/>
  <c r="AA312" i="1"/>
  <c r="AH382" i="1"/>
  <c r="AH510" i="1"/>
  <c r="AC540" i="1"/>
  <c r="AE634" i="1"/>
  <c r="AC645" i="1"/>
  <c r="AB148" i="1"/>
  <c r="AG168" i="1"/>
  <c r="AC180" i="1"/>
  <c r="Y214" i="1"/>
  <c r="Y234" i="1"/>
  <c r="AG270" i="1"/>
  <c r="AA291" i="1"/>
  <c r="AG312" i="1"/>
  <c r="AG342" i="1"/>
  <c r="AA382" i="1"/>
  <c r="AD430" i="1"/>
  <c r="AH512" i="1"/>
  <c r="Y540" i="1"/>
  <c r="AD545" i="1"/>
  <c r="AC614" i="1"/>
  <c r="Y645" i="1"/>
  <c r="AE136" i="1"/>
  <c r="AD139" i="1"/>
  <c r="AC168" i="1"/>
  <c r="AH181" i="1"/>
  <c r="AE214" i="1"/>
  <c r="AE234" i="1"/>
  <c r="Z300" i="1"/>
  <c r="AD305" i="1"/>
  <c r="AH312" i="1"/>
  <c r="AH342" i="1"/>
  <c r="AB367" i="1"/>
  <c r="AD382" i="1"/>
  <c r="AA512" i="1"/>
  <c r="Z540" i="1"/>
  <c r="AD637" i="1"/>
  <c r="AA645" i="1"/>
  <c r="AE425" i="1"/>
  <c r="AH141" i="1"/>
  <c r="AA218" i="1"/>
  <c r="AH578" i="1"/>
  <c r="Y36" i="1"/>
  <c r="AE13" i="1"/>
  <c r="AE38" i="1"/>
  <c r="AE105" i="1"/>
  <c r="AF136" i="1"/>
  <c r="AF139" i="1"/>
  <c r="AE148" i="1"/>
  <c r="AE181" i="1"/>
  <c r="AG218" i="1"/>
  <c r="Z220" i="1"/>
  <c r="AG248" i="1"/>
  <c r="AA300" i="1"/>
  <c r="AE305" i="1"/>
  <c r="Y312" i="1"/>
  <c r="AB342" i="1"/>
  <c r="AE382" i="1"/>
  <c r="Y466" i="1"/>
  <c r="AB512" i="1"/>
  <c r="AD540" i="1"/>
  <c r="AB645" i="1"/>
  <c r="AH44" i="1"/>
  <c r="Z218" i="1"/>
  <c r="AE158" i="1"/>
  <c r="AA38" i="1"/>
  <c r="AE248" i="1"/>
  <c r="AE265" i="1"/>
  <c r="AD271" i="1"/>
  <c r="AF312" i="1"/>
  <c r="AH645" i="1"/>
  <c r="Y44" i="1"/>
  <c r="AF148" i="1"/>
  <c r="Z569" i="1"/>
  <c r="AB30" i="1"/>
  <c r="AF13" i="1"/>
  <c r="AD19" i="1"/>
  <c r="AG38" i="1"/>
  <c r="AG181" i="1"/>
  <c r="Z383" i="1"/>
  <c r="AF466" i="1"/>
  <c r="Z512" i="1"/>
  <c r="AB539" i="1"/>
  <c r="AF540" i="1"/>
  <c r="AG654" i="1"/>
  <c r="AB141" i="1"/>
  <c r="AG120" i="1"/>
  <c r="Z609" i="1"/>
  <c r="AE27" i="1"/>
  <c r="AH38" i="1"/>
  <c r="AF121" i="1"/>
  <c r="AA136" i="1"/>
  <c r="AE147" i="1"/>
  <c r="AH168" i="1"/>
  <c r="AC181" i="1"/>
  <c r="AF215" i="1"/>
  <c r="AA234" i="1"/>
  <c r="AB248" i="1"/>
  <c r="Y251" i="1"/>
  <c r="AA265" i="1"/>
  <c r="AC305" i="1"/>
  <c r="AB311" i="1"/>
  <c r="AD340" i="1"/>
  <c r="AA383" i="1"/>
  <c r="Y427" i="1"/>
  <c r="AF494" i="1"/>
  <c r="Z539" i="1"/>
  <c r="AH540" i="1"/>
  <c r="Y608" i="1"/>
  <c r="AC637" i="1"/>
  <c r="AB654" i="1"/>
  <c r="AF95" i="1"/>
  <c r="AF467" i="1"/>
  <c r="AH39" i="1"/>
  <c r="Z164" i="1"/>
  <c r="Z39" i="1"/>
  <c r="AF38" i="1"/>
  <c r="AD137" i="1"/>
  <c r="AG139" i="1"/>
  <c r="AA147" i="1"/>
  <c r="AH248" i="1"/>
  <c r="Z251" i="1"/>
  <c r="AB265" i="1"/>
  <c r="AG271" i="1"/>
  <c r="Z340" i="1"/>
  <c r="AB383" i="1"/>
  <c r="AG488" i="1"/>
  <c r="AD512" i="1"/>
  <c r="AA539" i="1"/>
  <c r="AD541" i="1"/>
  <c r="Z639" i="1"/>
  <c r="AH654" i="1"/>
  <c r="AF678" i="1"/>
  <c r="AG39" i="1"/>
  <c r="AG578" i="1"/>
  <c r="AB495" i="1"/>
  <c r="AE44" i="1"/>
  <c r="AG137" i="1"/>
  <c r="AD141" i="1"/>
  <c r="Y578" i="1"/>
  <c r="AF28" i="1"/>
  <c r="AH215" i="1"/>
  <c r="AF548" i="1"/>
  <c r="Y28" i="1"/>
  <c r="AA44" i="1"/>
  <c r="AB69" i="1"/>
  <c r="AE89" i="1"/>
  <c r="AD95" i="1"/>
  <c r="AD120" i="1"/>
  <c r="AD135" i="1"/>
  <c r="AA137" i="1"/>
  <c r="Y141" i="1"/>
  <c r="AH147" i="1"/>
  <c r="AF198" i="1"/>
  <c r="AG201" i="1"/>
  <c r="AA206" i="1"/>
  <c r="AG215" i="1"/>
  <c r="AH234" i="1"/>
  <c r="AG251" i="1"/>
  <c r="AC265" i="1"/>
  <c r="Y271" i="1"/>
  <c r="AC383" i="1"/>
  <c r="AC424" i="1"/>
  <c r="AH539" i="1"/>
  <c r="AA541" i="1"/>
  <c r="Z578" i="1"/>
  <c r="AB600" i="1"/>
  <c r="AG541" i="1"/>
  <c r="AH541" i="1"/>
  <c r="Y541" i="1"/>
  <c r="Z541" i="1"/>
  <c r="AG540" i="1"/>
  <c r="AE539" i="1"/>
  <c r="AF539" i="1"/>
  <c r="AG539" i="1"/>
  <c r="Y539" i="1"/>
  <c r="Z645" i="1"/>
  <c r="Y654" i="1"/>
  <c r="Z654" i="1"/>
  <c r="AA654" i="1"/>
  <c r="AC654" i="1"/>
  <c r="AD654" i="1"/>
  <c r="AF654" i="1"/>
  <c r="Y120" i="1"/>
  <c r="Z120" i="1"/>
  <c r="AA120" i="1"/>
  <c r="AB120" i="1"/>
  <c r="AH266" i="1"/>
  <c r="AG266" i="1"/>
  <c r="Y266" i="1"/>
  <c r="Z266" i="1"/>
  <c r="Z234" i="1"/>
  <c r="AC342" i="1"/>
  <c r="AD342" i="1"/>
  <c r="AF342" i="1"/>
  <c r="Y342" i="1"/>
  <c r="Y138" i="1"/>
  <c r="Z138" i="1"/>
  <c r="AA138" i="1"/>
  <c r="AB138" i="1"/>
  <c r="AC138" i="1"/>
  <c r="AA141" i="1"/>
  <c r="AC141" i="1"/>
  <c r="AE141" i="1"/>
  <c r="AG141" i="1"/>
  <c r="Y158" i="1"/>
  <c r="Z158" i="1"/>
  <c r="AA158" i="1"/>
  <c r="AB158" i="1"/>
  <c r="AC158" i="1"/>
  <c r="AH148" i="1"/>
  <c r="AH146" i="1"/>
  <c r="Y146" i="1"/>
  <c r="AA146" i="1"/>
  <c r="AB146" i="1"/>
  <c r="AD146" i="1"/>
  <c r="AE146" i="1"/>
  <c r="AH305" i="1"/>
  <c r="Y305" i="1"/>
  <c r="Z305" i="1"/>
  <c r="AA305" i="1"/>
  <c r="Y248" i="1"/>
  <c r="Z248" i="1"/>
  <c r="AA248" i="1"/>
  <c r="AC248" i="1"/>
  <c r="AD248" i="1"/>
  <c r="AE251" i="1"/>
  <c r="Y383" i="1"/>
  <c r="Z168" i="1"/>
  <c r="AB168" i="1"/>
  <c r="Y136" i="1"/>
  <c r="Z136" i="1"/>
  <c r="AB136" i="1"/>
  <c r="AC136" i="1"/>
  <c r="AA311" i="1"/>
  <c r="Y270" i="1"/>
  <c r="AA270" i="1"/>
  <c r="AC270" i="1"/>
  <c r="AD270" i="1"/>
  <c r="AH340" i="1"/>
  <c r="AB340" i="1"/>
  <c r="Y137" i="1"/>
  <c r="Z137" i="1"/>
  <c r="AB137" i="1"/>
  <c r="AC137" i="1"/>
  <c r="AE137" i="1"/>
  <c r="AF137" i="1"/>
  <c r="AD180" i="1"/>
  <c r="AF180" i="1"/>
  <c r="AG180" i="1"/>
  <c r="Y180" i="1"/>
  <c r="Z139" i="1"/>
  <c r="AA139" i="1"/>
  <c r="AE139" i="1"/>
  <c r="AE212" i="1"/>
  <c r="AF212" i="1"/>
  <c r="AA212" i="1"/>
  <c r="Z147" i="1"/>
  <c r="Y147" i="1"/>
  <c r="AC147" i="1"/>
  <c r="AB147" i="1"/>
  <c r="AD147" i="1"/>
  <c r="AE291" i="1"/>
  <c r="AF291" i="1"/>
  <c r="AG291" i="1"/>
  <c r="AC291" i="1"/>
  <c r="AB382" i="1"/>
  <c r="AC382" i="1"/>
  <c r="AB300" i="1"/>
  <c r="AE300" i="1"/>
  <c r="AG300" i="1"/>
  <c r="Y181" i="1"/>
  <c r="Z181" i="1"/>
  <c r="AA181" i="1"/>
  <c r="AB181" i="1"/>
  <c r="AD181" i="1"/>
  <c r="Z312" i="1"/>
  <c r="AB312" i="1"/>
  <c r="AC312" i="1"/>
  <c r="Z95" i="1"/>
  <c r="AA95" i="1"/>
  <c r="AB95" i="1"/>
  <c r="AC95" i="1"/>
  <c r="Z214" i="1"/>
  <c r="AB214" i="1"/>
  <c r="AC214" i="1"/>
  <c r="AA214" i="1"/>
  <c r="AD214" i="1"/>
  <c r="Y164" i="1"/>
  <c r="AA164" i="1"/>
  <c r="AB164" i="1"/>
  <c r="AC164" i="1"/>
  <c r="AH135" i="1"/>
  <c r="Z135" i="1"/>
  <c r="AA135" i="1"/>
  <c r="AF43" i="1"/>
  <c r="AG43" i="1"/>
  <c r="AA43" i="1"/>
  <c r="AH43" i="1"/>
  <c r="Y43" i="1"/>
  <c r="Z43" i="1"/>
  <c r="AB43" i="1"/>
  <c r="AC43" i="1"/>
  <c r="AD43" i="1"/>
  <c r="AE43" i="1"/>
  <c r="AF578" i="1"/>
  <c r="Y510" i="1"/>
  <c r="Z510" i="1"/>
  <c r="AA510" i="1"/>
  <c r="AB510" i="1"/>
  <c r="AC510" i="1"/>
  <c r="AC44" i="1"/>
  <c r="AF44" i="1"/>
  <c r="AG44" i="1"/>
  <c r="Z44" i="1"/>
  <c r="AF40" i="1"/>
  <c r="AG40" i="1"/>
  <c r="AH40" i="1"/>
  <c r="Y40" i="1"/>
  <c r="Z40" i="1"/>
  <c r="AA40" i="1"/>
  <c r="AB40" i="1"/>
  <c r="AC40" i="1"/>
  <c r="AD40" i="1"/>
  <c r="AE40" i="1"/>
  <c r="AA39" i="1"/>
  <c r="AB39" i="1"/>
  <c r="AC39" i="1"/>
  <c r="AD39" i="1"/>
  <c r="AE39" i="1"/>
  <c r="Y38" i="1"/>
  <c r="Z38" i="1"/>
  <c r="AB38" i="1"/>
  <c r="AC38" i="1"/>
  <c r="AH36" i="1"/>
  <c r="AF36" i="1"/>
  <c r="AG36" i="1"/>
  <c r="AC36" i="1"/>
  <c r="Z36" i="1"/>
  <c r="AA36" i="1"/>
  <c r="AB36" i="1"/>
  <c r="AD36" i="1"/>
  <c r="AE36" i="1"/>
  <c r="AE512" i="1"/>
  <c r="AG512" i="1"/>
  <c r="AF265" i="1"/>
  <c r="AG265" i="1"/>
  <c r="Y265" i="1"/>
  <c r="Y215" i="1"/>
  <c r="AB215" i="1"/>
  <c r="Z215" i="1"/>
  <c r="AD215" i="1"/>
  <c r="AE215" i="1"/>
  <c r="AG27" i="1"/>
  <c r="AF27" i="1"/>
  <c r="AA27" i="1"/>
  <c r="AH27" i="1"/>
  <c r="Z27" i="1"/>
  <c r="Y27" i="1"/>
  <c r="AC27" i="1"/>
  <c r="AB27" i="1"/>
  <c r="AD27" i="1"/>
  <c r="AC25" i="1"/>
  <c r="Y25" i="1"/>
  <c r="Z25" i="1"/>
  <c r="AD25" i="1"/>
  <c r="AA25" i="1"/>
  <c r="AB25" i="1"/>
  <c r="AF25" i="1"/>
  <c r="AG25" i="1"/>
  <c r="AH25" i="1"/>
  <c r="AF24" i="1"/>
  <c r="AD24" i="1"/>
  <c r="AC24" i="1"/>
  <c r="AB24" i="1"/>
  <c r="AH24" i="1"/>
  <c r="Y24" i="1"/>
  <c r="AA24" i="1"/>
  <c r="AE24" i="1"/>
  <c r="AG24" i="1"/>
  <c r="Z24" i="1"/>
  <c r="AE22" i="1"/>
  <c r="AH22" i="1"/>
  <c r="Y22" i="1"/>
  <c r="AF22" i="1"/>
  <c r="AG22" i="1"/>
  <c r="Z22" i="1"/>
  <c r="AD22" i="1"/>
  <c r="AA22" i="1"/>
  <c r="AB22" i="1"/>
  <c r="AC22" i="1"/>
  <c r="AE430" i="1"/>
  <c r="AF634" i="1"/>
  <c r="AE657" i="1"/>
  <c r="Z28" i="1"/>
  <c r="AC122" i="1"/>
  <c r="AB368" i="1"/>
  <c r="AA427" i="1"/>
  <c r="AF657" i="1"/>
  <c r="AH424" i="1"/>
  <c r="AG634" i="1"/>
  <c r="AH13" i="1"/>
  <c r="AG28" i="1"/>
  <c r="AH122" i="1"/>
  <c r="AC368" i="1"/>
  <c r="Y425" i="1"/>
  <c r="AB427" i="1"/>
  <c r="AB430" i="1"/>
  <c r="AC634" i="1"/>
  <c r="AB657" i="1"/>
  <c r="AA287" i="1"/>
  <c r="AF430" i="1"/>
  <c r="AE35" i="1"/>
  <c r="AG313" i="1"/>
  <c r="AG357" i="1"/>
  <c r="AH427" i="1"/>
  <c r="AH430" i="1"/>
  <c r="AA496" i="1"/>
  <c r="AA637" i="1"/>
  <c r="AD661" i="1"/>
  <c r="AE131" i="1"/>
  <c r="AE487" i="1"/>
  <c r="AA13" i="1"/>
  <c r="AC28" i="1"/>
  <c r="AD35" i="1"/>
  <c r="AG7" i="1"/>
  <c r="AF19" i="1"/>
  <c r="AA28" i="1"/>
  <c r="AD123" i="1"/>
  <c r="AF425" i="1"/>
  <c r="AC427" i="1"/>
  <c r="Y430" i="1"/>
  <c r="AE466" i="1"/>
  <c r="Y477" i="1"/>
  <c r="AB496" i="1"/>
  <c r="AB637" i="1"/>
  <c r="AC657" i="1"/>
  <c r="AH661" i="1"/>
  <c r="AG19" i="1"/>
  <c r="AB28" i="1"/>
  <c r="Z121" i="1"/>
  <c r="AA123" i="1"/>
  <c r="AA220" i="1"/>
  <c r="AG289" i="1"/>
  <c r="AD427" i="1"/>
  <c r="AG430" i="1"/>
  <c r="AC496" i="1"/>
  <c r="AE220" i="1"/>
  <c r="AA257" i="1"/>
  <c r="AB363" i="1"/>
  <c r="AG427" i="1"/>
  <c r="AG466" i="1"/>
  <c r="AF477" i="1"/>
  <c r="AF496" i="1"/>
  <c r="AB548" i="1"/>
  <c r="AE569" i="1"/>
  <c r="AE28" i="1"/>
  <c r="AB121" i="1"/>
  <c r="AB144" i="1"/>
  <c r="Z358" i="1"/>
  <c r="Z363" i="1"/>
  <c r="Y428" i="1"/>
  <c r="AH466" i="1"/>
  <c r="AG471" i="1"/>
  <c r="AG477" i="1"/>
  <c r="AF488" i="1"/>
  <c r="AB544" i="1"/>
  <c r="AC548" i="1"/>
  <c r="AB569" i="1"/>
  <c r="AD639" i="1"/>
  <c r="AH199" i="1"/>
  <c r="AB547" i="1"/>
  <c r="AH19" i="1"/>
  <c r="AD28" i="1"/>
  <c r="AC121" i="1"/>
  <c r="AE123" i="1"/>
  <c r="AH206" i="1"/>
  <c r="AB220" i="1"/>
  <c r="AB328" i="1"/>
  <c r="AA363" i="1"/>
  <c r="AA425" i="1"/>
  <c r="AF428" i="1"/>
  <c r="AC544" i="1"/>
  <c r="AC569" i="1"/>
  <c r="AB587" i="1"/>
  <c r="AC220" i="1"/>
  <c r="AA224" i="1"/>
  <c r="AG587" i="1"/>
  <c r="AC608" i="1"/>
  <c r="AD678" i="1"/>
  <c r="AE470" i="1"/>
  <c r="AH242" i="1"/>
  <c r="AB287" i="1"/>
  <c r="AB124" i="1"/>
  <c r="Z124" i="1"/>
  <c r="Z130" i="1"/>
  <c r="AB206" i="1"/>
  <c r="AD220" i="1"/>
  <c r="AD426" i="1"/>
  <c r="AB428" i="1"/>
  <c r="AD467" i="1"/>
  <c r="AB494" i="1"/>
  <c r="AB497" i="1"/>
  <c r="Z545" i="1"/>
  <c r="AF587" i="1"/>
  <c r="AG639" i="1"/>
  <c r="AE678" i="1"/>
  <c r="Z427" i="1"/>
  <c r="AH28" i="1"/>
  <c r="AE12" i="1"/>
  <c r="AC89" i="1"/>
  <c r="AD98" i="1"/>
  <c r="AC144" i="1"/>
  <c r="AF220" i="1"/>
  <c r="AA258" i="1"/>
  <c r="AA367" i="1"/>
  <c r="AG426" i="1"/>
  <c r="AC428" i="1"/>
  <c r="AE467" i="1"/>
  <c r="AA545" i="1"/>
  <c r="AH587" i="1"/>
  <c r="AA609" i="1"/>
  <c r="Y614" i="1"/>
  <c r="AB639" i="1"/>
  <c r="AG678" i="1"/>
  <c r="AC35" i="1"/>
  <c r="AF89" i="1"/>
  <c r="AH98" i="1"/>
  <c r="AD206" i="1"/>
  <c r="AG424" i="1"/>
  <c r="AE428" i="1"/>
  <c r="AB467" i="1"/>
  <c r="AC545" i="1"/>
  <c r="AB591" i="1"/>
  <c r="AB609" i="1"/>
  <c r="AE639" i="1"/>
  <c r="AH678" i="1"/>
  <c r="AA99" i="1"/>
  <c r="AB122" i="1"/>
  <c r="AG13" i="1"/>
  <c r="AB35" i="1"/>
  <c r="AD13" i="1"/>
  <c r="AB89" i="1"/>
  <c r="AE122" i="1"/>
  <c r="AE206" i="1"/>
  <c r="Z242" i="1"/>
  <c r="AF261" i="1"/>
  <c r="AF424" i="1"/>
  <c r="AH426" i="1"/>
  <c r="AG428" i="1"/>
  <c r="AC467" i="1"/>
  <c r="AA495" i="1"/>
  <c r="AC609" i="1"/>
  <c r="AA614" i="1"/>
  <c r="AD634" i="1"/>
  <c r="AD646" i="1"/>
  <c r="Z678" i="1"/>
  <c r="AH89" i="1"/>
  <c r="Z89" i="1"/>
  <c r="AA89" i="1"/>
  <c r="Y89" i="1"/>
  <c r="AD89" i="1"/>
  <c r="AA466" i="1"/>
  <c r="AB466" i="1"/>
  <c r="AC466" i="1"/>
  <c r="AD466" i="1"/>
  <c r="Y467" i="1"/>
  <c r="Z467" i="1"/>
  <c r="AA467" i="1"/>
  <c r="AH30" i="1"/>
  <c r="AD30" i="1"/>
  <c r="AE30" i="1"/>
  <c r="AF30" i="1"/>
  <c r="AG30" i="1"/>
  <c r="Y30" i="1"/>
  <c r="Z30" i="1"/>
  <c r="AA30" i="1"/>
  <c r="AC30" i="1"/>
  <c r="Y587" i="1"/>
  <c r="Z587" i="1"/>
  <c r="AA587" i="1"/>
  <c r="AC587" i="1"/>
  <c r="AD587" i="1"/>
  <c r="AE587" i="1"/>
  <c r="AA488" i="1"/>
  <c r="Y488" i="1"/>
  <c r="AE488" i="1"/>
  <c r="Z488" i="1"/>
  <c r="AF533" i="1"/>
  <c r="AH533" i="1"/>
  <c r="AD533" i="1"/>
  <c r="AE533" i="1"/>
  <c r="AC533" i="1"/>
  <c r="AG533" i="1"/>
  <c r="Y533" i="1"/>
  <c r="Z533" i="1"/>
  <c r="AA533" i="1"/>
  <c r="AC488" i="1"/>
  <c r="AD488" i="1"/>
  <c r="AD428" i="1"/>
  <c r="Y424" i="1"/>
  <c r="Z424" i="1"/>
  <c r="AA424" i="1"/>
  <c r="AD424" i="1"/>
  <c r="AE424" i="1"/>
  <c r="AC425" i="1"/>
  <c r="AD425" i="1"/>
  <c r="Y426" i="1"/>
  <c r="Z426" i="1"/>
  <c r="AA426" i="1"/>
  <c r="AB426" i="1"/>
  <c r="AC426" i="1"/>
  <c r="AE426" i="1"/>
  <c r="AE427" i="1"/>
  <c r="AF427" i="1"/>
  <c r="Y122" i="1"/>
  <c r="Z122" i="1"/>
  <c r="AA122" i="1"/>
  <c r="AD122" i="1"/>
  <c r="AF122" i="1"/>
  <c r="AG614" i="1"/>
  <c r="AH614" i="1"/>
  <c r="Z614" i="1"/>
  <c r="AD614" i="1"/>
  <c r="AE614" i="1"/>
  <c r="AD657" i="1"/>
  <c r="AG657" i="1"/>
  <c r="AH657" i="1"/>
  <c r="Y657" i="1"/>
  <c r="Z657" i="1"/>
  <c r="AG655" i="1"/>
  <c r="AA655" i="1"/>
  <c r="AB655" i="1"/>
  <c r="AD655" i="1"/>
  <c r="AE655" i="1"/>
  <c r="AF655" i="1"/>
  <c r="AH655" i="1"/>
  <c r="Y655" i="1"/>
  <c r="Z655" i="1"/>
  <c r="AC655" i="1"/>
  <c r="AH121" i="1"/>
  <c r="AH477" i="1"/>
  <c r="AA477" i="1"/>
  <c r="Z477" i="1"/>
  <c r="AB477" i="1"/>
  <c r="AC477" i="1"/>
  <c r="AD477" i="1"/>
  <c r="Y661" i="1"/>
  <c r="AB661" i="1"/>
  <c r="AC661" i="1"/>
  <c r="AE661" i="1"/>
  <c r="AF661" i="1"/>
  <c r="AG661" i="1"/>
  <c r="AF639" i="1"/>
  <c r="AH639" i="1"/>
  <c r="Y639" i="1"/>
  <c r="AA639" i="1"/>
  <c r="AF569" i="1"/>
  <c r="AG569" i="1"/>
  <c r="AH569" i="1"/>
  <c r="Y569" i="1"/>
  <c r="AA569" i="1"/>
  <c r="AD569" i="1"/>
  <c r="Z430" i="1"/>
  <c r="AA430" i="1"/>
  <c r="AC430" i="1"/>
  <c r="Y242" i="1"/>
  <c r="AA242" i="1"/>
  <c r="AG242" i="1"/>
  <c r="AC242" i="1"/>
  <c r="AB242" i="1"/>
  <c r="AE242" i="1"/>
  <c r="AF242" i="1"/>
  <c r="AD242" i="1"/>
  <c r="AH634" i="1"/>
  <c r="Y634" i="1"/>
  <c r="Z634" i="1"/>
  <c r="AA634" i="1"/>
  <c r="AB634" i="1"/>
  <c r="AE637" i="1"/>
  <c r="AF637" i="1"/>
  <c r="AG637" i="1"/>
  <c r="AH637" i="1"/>
  <c r="Y637" i="1"/>
  <c r="Z637" i="1"/>
  <c r="Z19" i="1"/>
  <c r="Y19" i="1"/>
  <c r="AA19" i="1"/>
  <c r="AB19" i="1"/>
  <c r="AC19" i="1"/>
  <c r="AE19" i="1"/>
  <c r="AF18" i="1"/>
  <c r="AG18" i="1"/>
  <c r="AH18" i="1"/>
  <c r="Y18" i="1"/>
  <c r="AA18" i="1"/>
  <c r="AB18" i="1"/>
  <c r="AC18" i="1"/>
  <c r="AD18" i="1"/>
  <c r="Z18" i="1"/>
  <c r="AE18" i="1"/>
  <c r="AH15" i="1"/>
  <c r="Y15" i="1"/>
  <c r="AG15" i="1"/>
  <c r="Z15" i="1"/>
  <c r="AA15" i="1"/>
  <c r="AB15" i="1"/>
  <c r="AC15" i="1"/>
  <c r="AD15" i="1"/>
  <c r="AE15" i="1"/>
  <c r="AF15" i="1"/>
  <c r="AF14" i="1"/>
  <c r="AG14" i="1"/>
  <c r="AH14" i="1"/>
  <c r="Y14" i="1"/>
  <c r="Z14" i="1"/>
  <c r="AA14" i="1"/>
  <c r="AB14" i="1"/>
  <c r="AC14" i="1"/>
  <c r="AD14" i="1"/>
  <c r="AE14" i="1"/>
  <c r="Y13" i="1"/>
  <c r="Z13" i="1"/>
  <c r="AB13" i="1"/>
  <c r="AC13" i="1"/>
  <c r="AF12" i="1"/>
  <c r="AG12" i="1"/>
  <c r="Y12" i="1"/>
  <c r="AH12" i="1"/>
  <c r="AD12" i="1"/>
  <c r="AC12" i="1"/>
  <c r="AB12" i="1"/>
  <c r="Z12" i="1"/>
  <c r="AA12" i="1"/>
  <c r="AA131" i="1"/>
  <c r="AE199" i="1"/>
  <c r="AH278" i="1"/>
  <c r="AF287" i="1"/>
  <c r="AB289" i="1"/>
  <c r="AD357" i="1"/>
  <c r="AD363" i="1"/>
  <c r="AD471" i="1"/>
  <c r="AH494" i="1"/>
  <c r="Y497" i="1"/>
  <c r="AF199" i="1"/>
  <c r="AD258" i="1"/>
  <c r="Z289" i="1"/>
  <c r="AE313" i="1"/>
  <c r="AE357" i="1"/>
  <c r="AE363" i="1"/>
  <c r="Y367" i="1"/>
  <c r="AE471" i="1"/>
  <c r="Y495" i="1"/>
  <c r="Z497" i="1"/>
  <c r="Z258" i="1"/>
  <c r="AA289" i="1"/>
  <c r="AF313" i="1"/>
  <c r="AF357" i="1"/>
  <c r="AF363" i="1"/>
  <c r="Z367" i="1"/>
  <c r="AF471" i="1"/>
  <c r="Z495" i="1"/>
  <c r="AA497" i="1"/>
  <c r="AB545" i="1"/>
  <c r="Y640" i="1"/>
  <c r="AD69" i="1"/>
  <c r="AE124" i="1"/>
  <c r="Z224" i="1"/>
  <c r="AB258" i="1"/>
  <c r="AC289" i="1"/>
  <c r="AH313" i="1"/>
  <c r="AC357" i="1"/>
  <c r="AH471" i="1"/>
  <c r="AC497" i="1"/>
  <c r="AD547" i="1"/>
  <c r="AA640" i="1"/>
  <c r="AE646" i="1"/>
  <c r="Y35" i="1"/>
  <c r="Z7" i="1"/>
  <c r="AG69" i="1"/>
  <c r="AD99" i="1"/>
  <c r="AE200" i="1"/>
  <c r="AG220" i="1"/>
  <c r="AD289" i="1"/>
  <c r="AH357" i="1"/>
  <c r="Y494" i="1"/>
  <c r="AD497" i="1"/>
  <c r="AE547" i="1"/>
  <c r="Z608" i="1"/>
  <c r="AB640" i="1"/>
  <c r="AF646" i="1"/>
  <c r="AF131" i="1"/>
  <c r="AH7" i="1"/>
  <c r="AF69" i="1"/>
  <c r="Z99" i="1"/>
  <c r="AH124" i="1"/>
  <c r="AF200" i="1"/>
  <c r="AB224" i="1"/>
  <c r="AE258" i="1"/>
  <c r="AD261" i="1"/>
  <c r="AD358" i="1"/>
  <c r="AA487" i="1"/>
  <c r="Z494" i="1"/>
  <c r="AG497" i="1"/>
  <c r="AA547" i="1"/>
  <c r="Y591" i="1"/>
  <c r="AA608" i="1"/>
  <c r="AG646" i="1"/>
  <c r="Y124" i="1"/>
  <c r="Y130" i="1"/>
  <c r="AG200" i="1"/>
  <c r="AH258" i="1"/>
  <c r="Y261" i="1"/>
  <c r="AD328" i="1"/>
  <c r="AE358" i="1"/>
  <c r="AE367" i="1"/>
  <c r="AE495" i="1"/>
  <c r="AB608" i="1"/>
  <c r="AC640" i="1"/>
  <c r="AH646" i="1"/>
  <c r="AH200" i="1"/>
  <c r="AC224" i="1"/>
  <c r="AF367" i="1"/>
  <c r="AF487" i="1"/>
  <c r="AF495" i="1"/>
  <c r="AC547" i="1"/>
  <c r="AA591" i="1"/>
  <c r="AF600" i="1"/>
  <c r="Z646" i="1"/>
  <c r="AD130" i="1"/>
  <c r="Z144" i="1"/>
  <c r="AE201" i="1"/>
  <c r="AF224" i="1"/>
  <c r="AG261" i="1"/>
  <c r="Z287" i="1"/>
  <c r="AF328" i="1"/>
  <c r="AG358" i="1"/>
  <c r="Y368" i="1"/>
  <c r="AG487" i="1"/>
  <c r="Y496" i="1"/>
  <c r="Y544" i="1"/>
  <c r="AF547" i="1"/>
  <c r="AG600" i="1"/>
  <c r="AF105" i="1"/>
  <c r="AG105" i="1"/>
  <c r="AF99" i="1"/>
  <c r="AH105" i="1"/>
  <c r="AF124" i="1"/>
  <c r="AB130" i="1"/>
  <c r="AA144" i="1"/>
  <c r="AD198" i="1"/>
  <c r="Y206" i="1"/>
  <c r="AB257" i="1"/>
  <c r="AC261" i="1"/>
  <c r="AG328" i="1"/>
  <c r="AH358" i="1"/>
  <c r="Z368" i="1"/>
  <c r="AH487" i="1"/>
  <c r="AA494" i="1"/>
  <c r="Z496" i="1"/>
  <c r="Z544" i="1"/>
  <c r="AD548" i="1"/>
  <c r="AH600" i="1"/>
  <c r="Y609" i="1"/>
  <c r="AC131" i="1"/>
  <c r="AC99" i="1"/>
  <c r="AG124" i="1"/>
  <c r="AC130" i="1"/>
  <c r="AE198" i="1"/>
  <c r="AF201" i="1"/>
  <c r="Z206" i="1"/>
  <c r="Z257" i="1"/>
  <c r="AH261" i="1"/>
  <c r="AH328" i="1"/>
  <c r="AH363" i="1"/>
  <c r="AA368" i="1"/>
  <c r="AD470" i="1"/>
  <c r="AA544" i="1"/>
  <c r="AE548" i="1"/>
  <c r="AE130" i="1"/>
  <c r="Y363" i="1"/>
  <c r="AC494" i="1"/>
  <c r="AE591" i="1"/>
  <c r="AC69" i="1"/>
  <c r="AF35" i="1"/>
  <c r="AG123" i="1"/>
  <c r="AH130" i="1"/>
  <c r="AG198" i="1"/>
  <c r="AH201" i="1"/>
  <c r="AH220" i="1"/>
  <c r="AE278" i="1"/>
  <c r="AF470" i="1"/>
  <c r="AD494" i="1"/>
  <c r="AF591" i="1"/>
  <c r="AB98" i="1"/>
  <c r="AE98" i="1"/>
  <c r="AH69" i="1"/>
  <c r="AC98" i="1"/>
  <c r="AH123" i="1"/>
  <c r="AD131" i="1"/>
  <c r="AF144" i="1"/>
  <c r="AH198" i="1"/>
  <c r="Y220" i="1"/>
  <c r="AC257" i="1"/>
  <c r="AF278" i="1"/>
  <c r="AG470" i="1"/>
  <c r="AE494" i="1"/>
  <c r="AE99" i="1"/>
  <c r="Z98" i="1"/>
  <c r="Z131" i="1"/>
  <c r="AA199" i="1"/>
  <c r="AD257" i="1"/>
  <c r="AG278" i="1"/>
  <c r="AE287" i="1"/>
  <c r="AF368" i="1"/>
  <c r="AH470" i="1"/>
  <c r="Y545" i="1"/>
  <c r="AG548" i="1"/>
  <c r="AE8" i="1"/>
  <c r="AG8" i="1"/>
  <c r="AH8" i="1"/>
  <c r="AF8" i="1"/>
  <c r="Z8" i="1"/>
  <c r="Y8" i="1"/>
  <c r="AA8" i="1"/>
  <c r="AB8" i="1"/>
  <c r="AC8" i="1"/>
  <c r="AD8" i="1"/>
  <c r="AD224" i="1"/>
  <c r="AE257" i="1"/>
  <c r="AF258" i="1"/>
  <c r="AC287" i="1"/>
  <c r="AE289" i="1"/>
  <c r="AC367" i="1"/>
  <c r="AD368" i="1"/>
  <c r="AC495" i="1"/>
  <c r="AD496" i="1"/>
  <c r="AE497" i="1"/>
  <c r="AD544" i="1"/>
  <c r="AE545" i="1"/>
  <c r="AG547" i="1"/>
  <c r="AH548" i="1"/>
  <c r="AC591" i="1"/>
  <c r="AD608" i="1"/>
  <c r="AE609" i="1"/>
  <c r="AD640" i="1"/>
  <c r="AF98" i="1"/>
  <c r="AG99" i="1"/>
  <c r="AF130" i="1"/>
  <c r="AG131" i="1"/>
  <c r="AD144" i="1"/>
  <c r="AG98" i="1"/>
  <c r="AH99" i="1"/>
  <c r="Z123" i="1"/>
  <c r="AA124" i="1"/>
  <c r="AG130" i="1"/>
  <c r="AH131" i="1"/>
  <c r="AE144" i="1"/>
  <c r="AE224" i="1"/>
  <c r="AF257" i="1"/>
  <c r="AG258" i="1"/>
  <c r="AD287" i="1"/>
  <c r="AF289" i="1"/>
  <c r="AD367" i="1"/>
  <c r="AE368" i="1"/>
  <c r="AD495" i="1"/>
  <c r="AE496" i="1"/>
  <c r="AF497" i="1"/>
  <c r="AE544" i="1"/>
  <c r="AF545" i="1"/>
  <c r="AH547" i="1"/>
  <c r="AD591" i="1"/>
  <c r="AE608" i="1"/>
  <c r="AF609" i="1"/>
  <c r="AE640" i="1"/>
  <c r="Y313" i="1"/>
  <c r="AF544" i="1"/>
  <c r="AF608" i="1"/>
  <c r="AG609" i="1"/>
  <c r="AF640" i="1"/>
  <c r="Z105" i="1"/>
  <c r="AB123" i="1"/>
  <c r="AC124" i="1"/>
  <c r="AG144" i="1"/>
  <c r="Y200" i="1"/>
  <c r="Z201" i="1"/>
  <c r="AG224" i="1"/>
  <c r="AH257" i="1"/>
  <c r="AH289" i="1"/>
  <c r="Z313" i="1"/>
  <c r="Y328" i="1"/>
  <c r="AG368" i="1"/>
  <c r="AG496" i="1"/>
  <c r="AH497" i="1"/>
  <c r="AG544" i="1"/>
  <c r="AH545" i="1"/>
  <c r="Y600" i="1"/>
  <c r="AG608" i="1"/>
  <c r="AH609" i="1"/>
  <c r="AG640" i="1"/>
  <c r="Y105" i="1"/>
  <c r="Y201" i="1"/>
  <c r="AA105" i="1"/>
  <c r="AC123" i="1"/>
  <c r="AD124" i="1"/>
  <c r="AH144" i="1"/>
  <c r="Y199" i="1"/>
  <c r="Z200" i="1"/>
  <c r="AA201" i="1"/>
  <c r="AH224" i="1"/>
  <c r="AG287" i="1"/>
  <c r="AA313" i="1"/>
  <c r="Z328" i="1"/>
  <c r="AC363" i="1"/>
  <c r="AG367" i="1"/>
  <c r="AH368" i="1"/>
  <c r="Y471" i="1"/>
  <c r="Y487" i="1"/>
  <c r="AG495" i="1"/>
  <c r="AH496" i="1"/>
  <c r="AH544" i="1"/>
  <c r="AG591" i="1"/>
  <c r="Z600" i="1"/>
  <c r="AH608" i="1"/>
  <c r="AH640" i="1"/>
  <c r="AG545" i="1"/>
  <c r="AB105" i="1"/>
  <c r="Y198" i="1"/>
  <c r="Z199" i="1"/>
  <c r="AA200" i="1"/>
  <c r="AB201" i="1"/>
  <c r="AG206" i="1"/>
  <c r="Y278" i="1"/>
  <c r="AH287" i="1"/>
  <c r="AB313" i="1"/>
  <c r="AA328" i="1"/>
  <c r="Y358" i="1"/>
  <c r="AH367" i="1"/>
  <c r="Y470" i="1"/>
  <c r="Z471" i="1"/>
  <c r="Z487" i="1"/>
  <c r="AG494" i="1"/>
  <c r="AH495" i="1"/>
  <c r="AH591" i="1"/>
  <c r="AA600" i="1"/>
  <c r="Y646" i="1"/>
  <c r="Y678" i="1"/>
  <c r="AB200" i="1"/>
  <c r="AC313" i="1"/>
  <c r="AD105" i="1"/>
  <c r="AF123" i="1"/>
  <c r="AA198" i="1"/>
  <c r="AB199" i="1"/>
  <c r="AC200" i="1"/>
  <c r="AD201" i="1"/>
  <c r="Z261" i="1"/>
  <c r="AA278" i="1"/>
  <c r="AD313" i="1"/>
  <c r="AC328" i="1"/>
  <c r="Z357" i="1"/>
  <c r="AA358" i="1"/>
  <c r="AA470" i="1"/>
  <c r="AB471" i="1"/>
  <c r="AB487" i="1"/>
  <c r="Y548" i="1"/>
  <c r="AC600" i="1"/>
  <c r="AA646" i="1"/>
  <c r="AA678" i="1"/>
  <c r="AC201" i="1"/>
  <c r="Z470" i="1"/>
  <c r="AA69" i="1"/>
  <c r="Y99" i="1"/>
  <c r="Y131" i="1"/>
  <c r="AB198" i="1"/>
  <c r="AC199" i="1"/>
  <c r="AD200" i="1"/>
  <c r="AA261" i="1"/>
  <c r="AB278" i="1"/>
  <c r="AA357" i="1"/>
  <c r="AB358" i="1"/>
  <c r="AB470" i="1"/>
  <c r="AC471" i="1"/>
  <c r="AC487" i="1"/>
  <c r="Y547" i="1"/>
  <c r="Z548" i="1"/>
  <c r="AD600" i="1"/>
  <c r="AB646" i="1"/>
  <c r="AB678" i="1"/>
  <c r="AC105" i="1"/>
  <c r="AA471" i="1"/>
  <c r="Y98" i="1"/>
  <c r="AC198" i="1"/>
  <c r="AD199" i="1"/>
  <c r="Y258" i="1"/>
  <c r="AB261" i="1"/>
  <c r="AC278" i="1"/>
  <c r="AE328" i="1"/>
  <c r="AB357" i="1"/>
  <c r="AC358" i="1"/>
  <c r="AC470" i="1"/>
  <c r="AD487" i="1"/>
  <c r="Z547" i="1"/>
  <c r="AA548" i="1"/>
  <c r="AE600" i="1"/>
  <c r="AC646" i="1"/>
  <c r="AC678" i="1"/>
  <c r="Y357" i="1"/>
  <c r="Y257" i="1"/>
  <c r="Y289" i="1"/>
  <c r="Z198" i="1"/>
  <c r="Z278" i="1"/>
  <c r="Z69" i="1"/>
  <c r="AA98" i="1"/>
  <c r="AB99" i="1"/>
  <c r="AA130" i="1"/>
  <c r="AB131" i="1"/>
  <c r="Y144" i="1"/>
  <c r="Y224" i="1"/>
  <c r="AE69" i="1"/>
  <c r="AE261" i="1"/>
  <c r="Y287" i="1"/>
  <c r="AF358" i="1"/>
  <c r="Y69" i="1"/>
  <c r="AC258" i="1"/>
  <c r="Y7" i="1"/>
  <c r="AA7" i="1"/>
  <c r="AB7" i="1"/>
  <c r="AC7" i="1"/>
  <c r="AE7" i="1"/>
  <c r="AF7" i="1"/>
  <c r="Z35" i="1"/>
</calcChain>
</file>

<file path=xl/sharedStrings.xml><?xml version="1.0" encoding="utf-8"?>
<sst xmlns="http://schemas.openxmlformats.org/spreadsheetml/2006/main" count="1301" uniqueCount="52">
  <si>
    <t>HCW #</t>
  </si>
  <si>
    <t>HCW Lat</t>
  </si>
  <si>
    <t>HCW Long</t>
  </si>
  <si>
    <t># Streams for Frac. Int.</t>
  </si>
  <si>
    <t>Stream 1 Name</t>
  </si>
  <si>
    <t>Stream 1 Lat</t>
  </si>
  <si>
    <t>Stream 2 Long</t>
  </si>
  <si>
    <t>Stream 2 Name</t>
  </si>
  <si>
    <t>Stream 1 Long</t>
  </si>
  <si>
    <t>Stream 2 Lat</t>
  </si>
  <si>
    <t>Stream 3 Name</t>
  </si>
  <si>
    <t>Stream 3 Lat</t>
  </si>
  <si>
    <t>Stream 3 Long</t>
  </si>
  <si>
    <t>Stream 4 Name</t>
  </si>
  <si>
    <t>Stream 4 Long</t>
  </si>
  <si>
    <t>Stream 4 Lat</t>
  </si>
  <si>
    <t xml:space="preserve">Stream 5 Name </t>
  </si>
  <si>
    <t>Stream 5 Lat</t>
  </si>
  <si>
    <t>Stream 5 Long</t>
  </si>
  <si>
    <t>Stream 1 Dist</t>
  </si>
  <si>
    <t>Stream 2 Dist</t>
  </si>
  <si>
    <t>Stream 3 Dist</t>
  </si>
  <si>
    <t>Stream 4 Dist</t>
  </si>
  <si>
    <t>Stream 5 Dist</t>
  </si>
  <si>
    <t>Stream 1 Fract Int</t>
  </si>
  <si>
    <t>Stream 2 Fract Int</t>
  </si>
  <si>
    <t>Stream 3 Fract Int</t>
  </si>
  <si>
    <t>Stream 4 Fract Int</t>
  </si>
  <si>
    <t>Stream 5 Fract Int</t>
  </si>
  <si>
    <t># Streams impacted by specific HCW</t>
  </si>
  <si>
    <t>Stream #1</t>
  </si>
  <si>
    <t>Stream #2</t>
  </si>
  <si>
    <t>Stream #3</t>
  </si>
  <si>
    <t>Stream #4</t>
  </si>
  <si>
    <t>Stream #5</t>
  </si>
  <si>
    <t>IDW Calcs</t>
  </si>
  <si>
    <t>IDW-Sqaured Calcs</t>
  </si>
  <si>
    <t>Stream Distance Calcs [ft]</t>
  </si>
  <si>
    <t>List of Wells for WU Query</t>
  </si>
  <si>
    <t>Plover</t>
  </si>
  <si>
    <t>Lost</t>
  </si>
  <si>
    <t>Tomorrow</t>
  </si>
  <si>
    <t>LPR</t>
  </si>
  <si>
    <t>Bear</t>
  </si>
  <si>
    <t>Isherwood</t>
  </si>
  <si>
    <t>Unnamed WBIC 268700</t>
  </si>
  <si>
    <t>Spring</t>
  </si>
  <si>
    <t>Unnamed WBIC</t>
  </si>
  <si>
    <t>Wisconsin</t>
  </si>
  <si>
    <t>Lateral 3</t>
  </si>
  <si>
    <t>Ditch 1</t>
  </si>
  <si>
    <t>Buena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</si>
</sst>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/>
    <xf numFmtId="0" fontId="1" fillId="2" borderId="3" xfId="0" applyFont="1" applyFill="1" applyBorder="1"/>
    <xf numFmtId="0" fontId="0" fillId="2" borderId="0" xfId="0" applyFill="1"/>
    <xf numFmtId="0" fontId="0" fillId="2" borderId="7" xfId="0" applyFill="1" applyBorder="1"/>
    <xf numFmtId="0" fontId="0" fillId="2" borderId="2" xfId="0" applyFill="1" applyBorder="1"/>
    <xf numFmtId="0" fontId="0" fillId="3" borderId="4" xfId="0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1" xfId="0" applyFont="1" applyFill="1" applyBorder="1"/>
    <xf numFmtId="0" fontId="1" fillId="3" borderId="5" xfId="0" applyFont="1" applyFill="1" applyBorder="1"/>
    <xf numFmtId="0" fontId="0" fillId="3" borderId="2" xfId="0" applyFill="1" applyBorder="1"/>
    <xf numFmtId="0" fontId="0" fillId="3" borderId="0" xfId="0" applyFill="1"/>
    <xf numFmtId="0" fontId="0" fillId="3" borderId="4" xfId="0" applyFill="1" applyBorder="1"/>
    <xf numFmtId="0" fontId="1" fillId="4" borderId="1" xfId="0" applyFont="1" applyFill="1" applyBorder="1"/>
    <xf numFmtId="164" fontId="1" fillId="4" borderId="0" xfId="0" applyNumberFormat="1" applyFont="1" applyFill="1"/>
    <xf numFmtId="0" fontId="1" fillId="4" borderId="3" xfId="0" applyFont="1" applyFill="1" applyBorder="1"/>
    <xf numFmtId="164" fontId="1" fillId="4" borderId="2" xfId="0" applyNumberFormat="1" applyFont="1" applyFill="1" applyBorder="1"/>
    <xf numFmtId="0" fontId="0" fillId="4" borderId="0" xfId="0" applyFill="1"/>
    <xf numFmtId="0" fontId="0" fillId="3" borderId="3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D0FB-FB96-4B0D-8230-6A9A69347B21}">
  <dimension ref="A1:AH687"/>
  <sheetViews>
    <sheetView tabSelected="1" topLeftCell="A676" zoomScaleNormal="100" workbookViewId="0">
      <pane ySplit="1200" topLeftCell="A656" activePane="bottomLeft"/>
      <selection activeCell="AD2" sqref="AD2:AD678"/>
      <selection pane="bottomLeft" activeCell="A3" sqref="A3:D687"/>
    </sheetView>
  </sheetViews>
  <sheetFormatPr defaultRowHeight="15" x14ac:dyDescent="0.25"/>
  <cols>
    <col min="1" max="1" width="6.7109375" style="12" bestFit="1" customWidth="1"/>
    <col min="2" max="2" width="8.42578125" style="13" bestFit="1" customWidth="1"/>
    <col min="3" max="3" width="10" style="12" bestFit="1" customWidth="1"/>
    <col min="4" max="4" width="21.28515625" style="14" bestFit="1" customWidth="1"/>
    <col min="5" max="5" width="14.7109375" style="13" bestFit="1" customWidth="1"/>
    <col min="6" max="6" width="12.140625" style="13" bestFit="1" customWidth="1"/>
    <col min="7" max="7" width="13.85546875" style="12" bestFit="1" customWidth="1"/>
    <col min="8" max="8" width="14.7109375" style="13" bestFit="1" customWidth="1"/>
    <col min="9" max="9" width="12.140625" style="13" bestFit="1" customWidth="1"/>
    <col min="10" max="10" width="13.85546875" style="12" bestFit="1" customWidth="1"/>
    <col min="11" max="11" width="14.7109375" style="13" bestFit="1" customWidth="1"/>
    <col min="12" max="12" width="12.140625" style="13" bestFit="1" customWidth="1"/>
    <col min="13" max="13" width="13.85546875" style="12" bestFit="1" customWidth="1"/>
    <col min="14" max="14" width="14.7109375" style="13" bestFit="1" customWidth="1"/>
    <col min="15" max="15" width="12.140625" style="13" bestFit="1" customWidth="1"/>
    <col min="16" max="16" width="13.85546875" style="12" bestFit="1" customWidth="1"/>
    <col min="17" max="17" width="15.28515625" style="13" bestFit="1" customWidth="1"/>
    <col min="18" max="18" width="12.140625" style="13" bestFit="1" customWidth="1"/>
    <col min="19" max="19" width="13.85546875" style="12" bestFit="1" customWidth="1"/>
    <col min="20" max="23" width="12.7109375" style="5" bestFit="1" customWidth="1"/>
    <col min="24" max="24" width="12.7109375" style="7" bestFit="1" customWidth="1"/>
    <col min="25" max="28" width="17" style="16" bestFit="1" customWidth="1"/>
    <col min="29" max="29" width="17" style="18" bestFit="1" customWidth="1"/>
    <col min="30" max="34" width="16.85546875" style="19" bestFit="1" customWidth="1"/>
  </cols>
  <sheetData>
    <row r="1" spans="1:34" s="2" customFormat="1" ht="30" x14ac:dyDescent="0.25">
      <c r="A1" s="29" t="s">
        <v>38</v>
      </c>
      <c r="B1" s="29"/>
      <c r="C1" s="20"/>
      <c r="D1" s="8" t="s">
        <v>29</v>
      </c>
      <c r="E1" s="26" t="s">
        <v>30</v>
      </c>
      <c r="F1" s="27"/>
      <c r="G1" s="28"/>
      <c r="H1" s="26" t="s">
        <v>31</v>
      </c>
      <c r="I1" s="27"/>
      <c r="J1" s="28"/>
      <c r="K1" s="26" t="s">
        <v>32</v>
      </c>
      <c r="L1" s="27"/>
      <c r="M1" s="28"/>
      <c r="N1" s="26" t="s">
        <v>33</v>
      </c>
      <c r="O1" s="27"/>
      <c r="P1" s="28"/>
      <c r="Q1" s="26" t="s">
        <v>34</v>
      </c>
      <c r="R1" s="27"/>
      <c r="S1" s="28"/>
      <c r="T1" s="21" t="s">
        <v>37</v>
      </c>
      <c r="U1" s="22"/>
      <c r="V1" s="22"/>
      <c r="W1" s="22"/>
      <c r="X1" s="23"/>
      <c r="Y1" s="24" t="s">
        <v>35</v>
      </c>
      <c r="Z1" s="25"/>
      <c r="AA1" s="25"/>
      <c r="AB1" s="25"/>
      <c r="AC1" s="25"/>
      <c r="AD1" s="24" t="s">
        <v>36</v>
      </c>
      <c r="AE1" s="25"/>
      <c r="AF1" s="25"/>
      <c r="AG1" s="25"/>
      <c r="AH1" s="25"/>
    </row>
    <row r="2" spans="1:34" s="1" customFormat="1" x14ac:dyDescent="0.25">
      <c r="A2" s="9" t="s">
        <v>0</v>
      </c>
      <c r="B2" s="10" t="s">
        <v>1</v>
      </c>
      <c r="C2" s="9" t="s">
        <v>2</v>
      </c>
      <c r="D2" s="11" t="s">
        <v>3</v>
      </c>
      <c r="E2" s="10" t="s">
        <v>4</v>
      </c>
      <c r="F2" s="10" t="s">
        <v>5</v>
      </c>
      <c r="G2" s="9" t="s">
        <v>8</v>
      </c>
      <c r="H2" s="10" t="s">
        <v>7</v>
      </c>
      <c r="I2" s="10" t="s">
        <v>9</v>
      </c>
      <c r="J2" s="9" t="s">
        <v>6</v>
      </c>
      <c r="K2" s="10" t="s">
        <v>10</v>
      </c>
      <c r="L2" s="10" t="s">
        <v>11</v>
      </c>
      <c r="M2" s="9" t="s">
        <v>12</v>
      </c>
      <c r="N2" s="10" t="s">
        <v>13</v>
      </c>
      <c r="O2" s="10" t="s">
        <v>15</v>
      </c>
      <c r="P2" s="9" t="s">
        <v>14</v>
      </c>
      <c r="Q2" s="10" t="s">
        <v>16</v>
      </c>
      <c r="R2" s="10" t="s">
        <v>17</v>
      </c>
      <c r="S2" s="9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4" t="s">
        <v>23</v>
      </c>
      <c r="Y2" s="15" t="s">
        <v>24</v>
      </c>
      <c r="Z2" s="15" t="s">
        <v>25</v>
      </c>
      <c r="AA2" s="15" t="s">
        <v>26</v>
      </c>
      <c r="AB2" s="15" t="s">
        <v>27</v>
      </c>
      <c r="AC2" s="17" t="s">
        <v>28</v>
      </c>
      <c r="AD2" s="15" t="s">
        <v>24</v>
      </c>
      <c r="AE2" s="15" t="s">
        <v>25</v>
      </c>
      <c r="AF2" s="15" t="s">
        <v>26</v>
      </c>
      <c r="AG2" s="15" t="s">
        <v>27</v>
      </c>
      <c r="AH2" s="15" t="s">
        <v>28</v>
      </c>
    </row>
    <row r="3" spans="1:34" x14ac:dyDescent="0.25">
      <c r="A3" s="12">
        <v>155</v>
      </c>
      <c r="B3" s="13">
        <v>44.413747000000001</v>
      </c>
      <c r="C3" s="12">
        <v>89.600862000000006</v>
      </c>
      <c r="D3" s="14">
        <v>0</v>
      </c>
      <c r="T3" s="5">
        <f t="shared" ref="T3:T35" si="0">ACOS( SIN($B3*PI()/180)*SIN(F3*PI()/180) + COS($B3*PI()/180) *COS(F3*PI()/180) *COS(G3*PI()/180 - $C3*PI()/180))*20902230.97</f>
        <v>32729137.669826504</v>
      </c>
      <c r="U3" s="5">
        <f t="shared" ref="U3:U35" si="1">ACOS( SIN($B3*PI()/180)*SIN(I3*PI()/180) + COS($B3*PI()/180) *COS(I3*PI()/180) *COS(J3*PI()/180 - $C3*PI()/180))*20902230.97</f>
        <v>32729137.669826504</v>
      </c>
      <c r="V3" s="5" t="str">
        <f t="shared" ref="V3:V35" si="2">IF(D3&lt;3,"n/a",ACOS( SIN($B3*PI()/180)*SIN(L3*PI()/180) + COS($B3*PI()/180) *COS(L3*PI()/180) *COS(M3*PI()/180 - $C3*PI()/180))*20902230.97)</f>
        <v>n/a</v>
      </c>
      <c r="W3" s="5" t="str">
        <f t="shared" ref="W3:W35" si="3">IF(D3&lt;4,"n/a",ACOS( SIN($B3*PI()/180)*SIN(O3*PI()/180) + COS($B3*PI()/180) *COS(O3*PI()/180) *COS(P3*PI()/180 - $C3*PI()/180))*20902230.97)</f>
        <v>n/a</v>
      </c>
      <c r="X3" s="6" t="str">
        <f t="shared" ref="X3:X35" si="4">IF(D3&lt;5,"n/a", ACOS( SIN($B3*PI()/180)*SIN(R3*PI()/180) + COS($B3*PI()/180) *COS(R3*PI()/180) *COS(S3*PI()/180 - $C3*PI()/180))*20902230.97)</f>
        <v>n/a</v>
      </c>
      <c r="Y3" s="16" t="str">
        <f t="shared" ref="Y3:Y35" si="5">IF($D3=2,(1/T3)/((1/$T3)+(1/$U3)),IF($D3=3,(1/T3)/((1/$T3)+(1/$U3)+(1/$V3)),IF($D3=4,(1/T3)/((1/$T3)+(1/$U3)+(1/$V3)+(1/$W3)),IF($D3=5,(1/T3)/((1/$T3)+(1/$U3)+(1/$V3)+(1/$W3)+(1/$X3)),"error"))))</f>
        <v>error</v>
      </c>
      <c r="Z3" s="16" t="str">
        <f t="shared" ref="Z3:Z35" si="6">IF($D3=2,(1/U3)/((1/$T3)+(1/$U3)),IF($D3=3,(1/U3)/((1/$T3)+(1/$U3)+(1/$V3)),IF($D3=4,(1/U3)/((1/$T3)+(1/$U3)+(1/$V3)+(1/$W3)),IF($D3=5,(1/U3)/((1/$T3)+(1/$U3)+(1/$V3)+(1/$W3)+(1/$X3)),"error"))))</f>
        <v>error</v>
      </c>
      <c r="AA3" s="16" t="str">
        <f t="shared" ref="AA3:AA35" si="7">IF($D3=2,(1/V3)/((1/$T3)+(1/$U3)),IF($D3=3,(1/V3)/((1/$T3)+(1/$U3)+(1/$V3)),IF($D3=4,(1/V3)/((1/$T3)+(1/$U3)+(1/$V3)+(1/$W3)),IF($D3=5,(1/V3)/((1/$T3)+(1/$U3)+(1/$V3)+(1/$W3)+(1/$X3)),"error"))))</f>
        <v>error</v>
      </c>
      <c r="AB3" s="16" t="str">
        <f t="shared" ref="AB3:AB35" si="8">IF($D3=2,(1/W3)/((1/$T3)+(1/$U3)),IF($D3=3,(1/W3)/((1/$T3)+(1/$U3)+(1/$V3)),IF($D3=4,(1/W3)/((1/$T3)+(1/$U3)+(1/$V3)+(1/$W3)),IF($D3=5,(1/W3)/((1/$T3)+(1/$U3)+(1/$V3)+(1/$W3)+(1/$X3)),"error"))))</f>
        <v>error</v>
      </c>
      <c r="AC3" s="18" t="str">
        <f t="shared" ref="AC3:AC35" si="9">IF($D3=2,(1/X3)/((1/$T3)+(1/$U3)),IF($D3=3,(1/X3)/((1/$T3)+(1/$U3)+(1/$V3)),IF($D3=4,(1/X3)/((1/$T3)+(1/$U3)+(1/$V3)+(1/$W3)),IF($D3=5,(1/X3)/((1/$T3)+(1/$U3)+(1/$V3)+(1/$W3)+(1/$X3)),"error"))))</f>
        <v>error</v>
      </c>
      <c r="AD3" s="16" t="str">
        <f t="shared" ref="AD3:AD35" si="10">IF($D3=2,(1/T3^2)/((1/$T3^2)+(1/$U3^2)),IF($D3=3,(1/T3^2)/((1/$T3^2)+(1/$U3^2)+(1/$V3^2)),IF($D3=4,(1/T3^2)/((1/$T3^2)+(1/$U3^2)+(1/$V3^2)+(1/$W3^2)),IF($D3=5,(1/T3^2)/((1/$T3^2)+(1/$U3^2)+(1/$V3^2)+(1/$W3^2)+(1/$X3^2)),"error"))))</f>
        <v>error</v>
      </c>
      <c r="AE3" s="16" t="str">
        <f t="shared" ref="AE3:AE35" si="11">IF($D3=2,(1/U3^2)/((1/$T3^2)+(1/$U3^2)),IF($D3=3,(1/U3^2)/((1/$T3^2)+(1/$U3^2)+(1/$V3^2)),IF($D3=4,(1/U3^2)/((1/$T3^2)+(1/$U3^2)+(1/$V3^2)+(1/$W3^2)),IF($D3=5,(1/U3^2)/((1/$T3^2)+(1/$U3^2)+(1/$V3^2)+(1/$W3^2)+(1/$X3^2)),"error"))))</f>
        <v>error</v>
      </c>
      <c r="AF3" s="16" t="str">
        <f t="shared" ref="AF3:AF35" si="12">IF($D3=2,(1/V3^2)/((1/$T3^2)+(1/$U3^2)),IF($D3=3,(1/V3^2)/((1/$T3^2)+(1/$U3^2)+(1/$V3^2)),IF($D3=4,(1/V3^2)/((1/$T3^2)+(1/$U3^2)+(1/$V3^2)+(1/$W3^2)),IF($D3=5,(1/V3^2)/((1/$T3^2)+(1/$U3^2)+(1/$V3^2)+(1/$W3^2)+(1/$X3^2)),"error"))))</f>
        <v>error</v>
      </c>
      <c r="AG3" s="16" t="str">
        <f t="shared" ref="AG3:AG35" si="13">IF($D3=2,(1/W3^2)/((1/$T3^2)+(1/$U3^2)),IF($D3=3,(1/W3^2)/((1/$T3^2)+(1/$U3^2)+(1/$V3^2)),IF($D3=4,(1/W3^2)/((1/$T3^2)+(1/$U3^2)+(1/$V3^2)+(1/$W3^2)),IF($D3=5,(1/W3^2)/((1/$T3^2)+(1/$U3^2)+(1/$V3^2)+(1/$W3^2)+(1/$X3^2)),"error"))))</f>
        <v>error</v>
      </c>
      <c r="AH3" s="16" t="str">
        <f t="shared" ref="AH3:AH35" si="14">IF($D3=2,(1/X3^2)/((1/$T3^2)+(1/$U3^2)),IF($D3=3,(1/X3^2)/((1/$T3^2)+(1/$U3^2)+(1/$V3^2)),IF($D3=4,(1/X3^2)/((1/$T3^2)+(1/$U3^2)+(1/$V3^2)+(1/$W3^2)),IF($D3=5,(1/X3^2)/((1/$T3^2)+(1/$U3^2)+(1/$V3^2)+(1/$W3^2)+(1/$X3^2)),"error"))))</f>
        <v>error</v>
      </c>
    </row>
    <row r="4" spans="1:34" x14ac:dyDescent="0.25">
      <c r="A4" s="12">
        <v>373</v>
      </c>
      <c r="B4" s="13">
        <v>44.3919444</v>
      </c>
      <c r="C4" s="12">
        <v>89.564444399999999</v>
      </c>
      <c r="D4" s="14">
        <v>0</v>
      </c>
      <c r="T4" s="5">
        <f t="shared" si="0"/>
        <v>32719605.515002955</v>
      </c>
      <c r="U4" s="5">
        <f t="shared" si="1"/>
        <v>32719605.515002955</v>
      </c>
      <c r="V4" s="5" t="str">
        <f t="shared" si="2"/>
        <v>n/a</v>
      </c>
      <c r="W4" s="5" t="str">
        <f t="shared" si="3"/>
        <v>n/a</v>
      </c>
      <c r="X4" s="6" t="str">
        <f t="shared" si="4"/>
        <v>n/a</v>
      </c>
      <c r="Y4" s="16" t="str">
        <f t="shared" si="5"/>
        <v>error</v>
      </c>
      <c r="Z4" s="16" t="str">
        <f t="shared" si="6"/>
        <v>error</v>
      </c>
      <c r="AA4" s="16" t="str">
        <f t="shared" si="7"/>
        <v>error</v>
      </c>
      <c r="AB4" s="16" t="str">
        <f t="shared" si="8"/>
        <v>error</v>
      </c>
      <c r="AC4" s="18" t="str">
        <f t="shared" si="9"/>
        <v>error</v>
      </c>
      <c r="AD4" s="16" t="str">
        <f t="shared" si="10"/>
        <v>error</v>
      </c>
      <c r="AE4" s="16" t="str">
        <f t="shared" si="11"/>
        <v>error</v>
      </c>
      <c r="AF4" s="16" t="str">
        <f t="shared" si="12"/>
        <v>error</v>
      </c>
      <c r="AG4" s="16" t="str">
        <f t="shared" si="13"/>
        <v>error</v>
      </c>
      <c r="AH4" s="16" t="str">
        <f t="shared" si="14"/>
        <v>error</v>
      </c>
    </row>
    <row r="5" spans="1:34" x14ac:dyDescent="0.25">
      <c r="A5" s="12">
        <v>374</v>
      </c>
      <c r="B5" s="13">
        <v>44.399000000000001</v>
      </c>
      <c r="C5" s="12">
        <v>89.682900000000004</v>
      </c>
      <c r="D5" s="14">
        <v>0</v>
      </c>
      <c r="T5" s="5">
        <f t="shared" si="0"/>
        <v>32750494.706661545</v>
      </c>
      <c r="U5" s="5">
        <f t="shared" si="1"/>
        <v>32750494.706661545</v>
      </c>
      <c r="V5" s="5" t="str">
        <f t="shared" si="2"/>
        <v>n/a</v>
      </c>
      <c r="W5" s="5" t="str">
        <f t="shared" si="3"/>
        <v>n/a</v>
      </c>
      <c r="X5" s="6" t="str">
        <f t="shared" si="4"/>
        <v>n/a</v>
      </c>
      <c r="Y5" s="16" t="str">
        <f t="shared" si="5"/>
        <v>error</v>
      </c>
      <c r="Z5" s="16" t="str">
        <f t="shared" si="6"/>
        <v>error</v>
      </c>
      <c r="AA5" s="16" t="str">
        <f t="shared" si="7"/>
        <v>error</v>
      </c>
      <c r="AB5" s="16" t="str">
        <f t="shared" si="8"/>
        <v>error</v>
      </c>
      <c r="AC5" s="18" t="str">
        <f t="shared" si="9"/>
        <v>error</v>
      </c>
      <c r="AD5" s="16" t="str">
        <f t="shared" si="10"/>
        <v>error</v>
      </c>
      <c r="AE5" s="16" t="str">
        <f t="shared" si="11"/>
        <v>error</v>
      </c>
      <c r="AF5" s="16" t="str">
        <f t="shared" si="12"/>
        <v>error</v>
      </c>
      <c r="AG5" s="16" t="str">
        <f t="shared" si="13"/>
        <v>error</v>
      </c>
      <c r="AH5" s="16" t="str">
        <f t="shared" si="14"/>
        <v>error</v>
      </c>
    </row>
    <row r="6" spans="1:34" x14ac:dyDescent="0.25">
      <c r="A6" s="12">
        <v>402</v>
      </c>
      <c r="B6" s="13">
        <v>44.431870000000004</v>
      </c>
      <c r="C6" s="12">
        <v>89.63212</v>
      </c>
      <c r="D6" s="14">
        <v>0</v>
      </c>
      <c r="T6" s="5">
        <f t="shared" si="0"/>
        <v>32737312.737630699</v>
      </c>
      <c r="U6" s="5">
        <f t="shared" si="1"/>
        <v>32737312.737630699</v>
      </c>
      <c r="V6" s="5" t="str">
        <f t="shared" si="2"/>
        <v>n/a</v>
      </c>
      <c r="W6" s="5" t="str">
        <f t="shared" si="3"/>
        <v>n/a</v>
      </c>
      <c r="X6" s="6" t="str">
        <f t="shared" si="4"/>
        <v>n/a</v>
      </c>
      <c r="Y6" s="16" t="str">
        <f t="shared" si="5"/>
        <v>error</v>
      </c>
      <c r="Z6" s="16" t="str">
        <f t="shared" si="6"/>
        <v>error</v>
      </c>
      <c r="AA6" s="16" t="str">
        <f t="shared" si="7"/>
        <v>error</v>
      </c>
      <c r="AB6" s="16" t="str">
        <f t="shared" si="8"/>
        <v>error</v>
      </c>
      <c r="AC6" s="18" t="str">
        <f t="shared" si="9"/>
        <v>error</v>
      </c>
      <c r="AD6" s="16" t="str">
        <f t="shared" si="10"/>
        <v>error</v>
      </c>
      <c r="AE6" s="16" t="str">
        <f t="shared" si="11"/>
        <v>error</v>
      </c>
      <c r="AF6" s="16" t="str">
        <f t="shared" si="12"/>
        <v>error</v>
      </c>
      <c r="AG6" s="16" t="str">
        <f t="shared" si="13"/>
        <v>error</v>
      </c>
      <c r="AH6" s="16" t="str">
        <f t="shared" si="14"/>
        <v>error</v>
      </c>
    </row>
    <row r="7" spans="1:34" x14ac:dyDescent="0.25">
      <c r="A7" s="12">
        <v>413</v>
      </c>
      <c r="B7" s="13">
        <v>44.4696</v>
      </c>
      <c r="C7" s="12">
        <v>89.446399999999997</v>
      </c>
      <c r="D7" s="14">
        <v>3</v>
      </c>
      <c r="E7" s="13" t="s">
        <v>42</v>
      </c>
      <c r="F7" s="13">
        <v>44.472859999999997</v>
      </c>
      <c r="G7" s="12">
        <v>89.481309999999993</v>
      </c>
      <c r="H7" s="13" t="s">
        <v>41</v>
      </c>
      <c r="I7" s="13">
        <v>44.474960000000003</v>
      </c>
      <c r="J7" s="12">
        <v>89.297020000000003</v>
      </c>
      <c r="K7" s="13" t="s">
        <v>43</v>
      </c>
      <c r="L7" s="13">
        <v>44.436860000000003</v>
      </c>
      <c r="M7" s="12">
        <v>89.378129999999999</v>
      </c>
      <c r="T7" s="5">
        <f t="shared" si="0"/>
        <v>9165.6485833164861</v>
      </c>
      <c r="U7" s="5">
        <f t="shared" si="1"/>
        <v>38936.703614346217</v>
      </c>
      <c r="V7" s="5">
        <f t="shared" si="2"/>
        <v>21417.891034808858</v>
      </c>
      <c r="W7" s="5" t="str">
        <f t="shared" si="3"/>
        <v>n/a</v>
      </c>
      <c r="X7" s="6" t="str">
        <f t="shared" si="4"/>
        <v>n/a</v>
      </c>
      <c r="Y7" s="16">
        <f t="shared" si="5"/>
        <v>0.60119918525712346</v>
      </c>
      <c r="Z7" s="16">
        <f t="shared" si="6"/>
        <v>0.14152149383834028</v>
      </c>
      <c r="AA7" s="16">
        <f t="shared" si="7"/>
        <v>0.25727932090453631</v>
      </c>
      <c r="AB7" s="16" t="e">
        <f t="shared" si="8"/>
        <v>#VALUE!</v>
      </c>
      <c r="AC7" s="18" t="e">
        <f t="shared" si="9"/>
        <v>#VALUE!</v>
      </c>
      <c r="AD7" s="16">
        <f t="shared" si="10"/>
        <v>0.80739689865924325</v>
      </c>
      <c r="AE7" s="16">
        <f t="shared" si="11"/>
        <v>4.4739911270273575E-2</v>
      </c>
      <c r="AF7" s="16">
        <f t="shared" si="12"/>
        <v>0.14786319007048329</v>
      </c>
      <c r="AG7" s="16" t="e">
        <f t="shared" si="13"/>
        <v>#VALUE!</v>
      </c>
      <c r="AH7" s="16" t="e">
        <f t="shared" si="14"/>
        <v>#VALUE!</v>
      </c>
    </row>
    <row r="8" spans="1:34" x14ac:dyDescent="0.25">
      <c r="A8" s="12">
        <v>418</v>
      </c>
      <c r="B8" s="13">
        <v>44.443073300000002</v>
      </c>
      <c r="C8" s="12">
        <v>89.483926699999998</v>
      </c>
      <c r="D8" s="14">
        <v>3</v>
      </c>
      <c r="E8" s="13" t="s">
        <v>42</v>
      </c>
      <c r="F8" s="13">
        <v>44.46808</v>
      </c>
      <c r="G8" s="12">
        <v>89.487683000000004</v>
      </c>
      <c r="H8" s="13" t="s">
        <v>44</v>
      </c>
      <c r="I8" s="13">
        <v>44.403599999999997</v>
      </c>
      <c r="J8" s="12">
        <v>89.489220000000003</v>
      </c>
      <c r="K8" s="13" t="s">
        <v>43</v>
      </c>
      <c r="L8" s="13">
        <v>44.436860000000003</v>
      </c>
      <c r="M8" s="12">
        <v>89.378129999999999</v>
      </c>
      <c r="T8" s="5">
        <f t="shared" si="0"/>
        <v>9175.0515978600142</v>
      </c>
      <c r="U8" s="5">
        <f t="shared" si="1"/>
        <v>14466.253520518978</v>
      </c>
      <c r="V8" s="5">
        <f t="shared" si="2"/>
        <v>27649.997543879344</v>
      </c>
      <c r="W8" s="5" t="str">
        <f t="shared" si="3"/>
        <v>n/a</v>
      </c>
      <c r="X8" s="6" t="str">
        <f t="shared" si="4"/>
        <v>n/a</v>
      </c>
      <c r="Y8" s="16">
        <f t="shared" si="5"/>
        <v>0.5086297773758871</v>
      </c>
      <c r="Z8" s="16">
        <f t="shared" si="6"/>
        <v>0.32259246977889255</v>
      </c>
      <c r="AA8" s="16">
        <f t="shared" si="7"/>
        <v>0.16877775284522029</v>
      </c>
      <c r="AB8" s="16" t="e">
        <f t="shared" si="8"/>
        <v>#VALUE!</v>
      </c>
      <c r="AC8" s="18" t="e">
        <f t="shared" si="9"/>
        <v>#VALUE!</v>
      </c>
      <c r="AD8" s="16">
        <f t="shared" si="10"/>
        <v>0.661214642880947</v>
      </c>
      <c r="AE8" s="16">
        <f t="shared" si="11"/>
        <v>0.2659790004203636</v>
      </c>
      <c r="AF8" s="16">
        <f t="shared" si="12"/>
        <v>7.2806356698689331E-2</v>
      </c>
      <c r="AG8" s="16" t="e">
        <f t="shared" si="13"/>
        <v>#VALUE!</v>
      </c>
      <c r="AH8" s="16" t="e">
        <f t="shared" si="14"/>
        <v>#VALUE!</v>
      </c>
    </row>
    <row r="9" spans="1:34" x14ac:dyDescent="0.25">
      <c r="A9" s="12">
        <v>422</v>
      </c>
      <c r="B9" s="13">
        <v>44.415883299999997</v>
      </c>
      <c r="C9" s="12">
        <v>89.566916699999993</v>
      </c>
      <c r="D9" s="14">
        <v>0</v>
      </c>
      <c r="T9" s="5">
        <f t="shared" si="0"/>
        <v>32720296.186191037</v>
      </c>
      <c r="U9" s="5">
        <f t="shared" si="1"/>
        <v>32720296.186191037</v>
      </c>
      <c r="V9" s="5" t="str">
        <f t="shared" si="2"/>
        <v>n/a</v>
      </c>
      <c r="W9" s="5" t="str">
        <f t="shared" si="3"/>
        <v>n/a</v>
      </c>
      <c r="X9" s="6" t="str">
        <f t="shared" si="4"/>
        <v>n/a</v>
      </c>
      <c r="Y9" s="16" t="str">
        <f t="shared" si="5"/>
        <v>error</v>
      </c>
      <c r="Z9" s="16" t="str">
        <f t="shared" si="6"/>
        <v>error</v>
      </c>
      <c r="AA9" s="16" t="str">
        <f t="shared" si="7"/>
        <v>error</v>
      </c>
      <c r="AB9" s="16" t="str">
        <f t="shared" si="8"/>
        <v>error</v>
      </c>
      <c r="AC9" s="18" t="str">
        <f t="shared" si="9"/>
        <v>error</v>
      </c>
      <c r="AD9" s="16" t="str">
        <f t="shared" si="10"/>
        <v>error</v>
      </c>
      <c r="AE9" s="16" t="str">
        <f t="shared" si="11"/>
        <v>error</v>
      </c>
      <c r="AF9" s="16" t="str">
        <f t="shared" si="12"/>
        <v>error</v>
      </c>
      <c r="AG9" s="16" t="str">
        <f t="shared" si="13"/>
        <v>error</v>
      </c>
      <c r="AH9" s="16" t="str">
        <f t="shared" si="14"/>
        <v>error</v>
      </c>
    </row>
    <row r="10" spans="1:34" x14ac:dyDescent="0.25">
      <c r="A10" s="12">
        <v>445</v>
      </c>
      <c r="B10" s="13">
        <v>44.437197900000001</v>
      </c>
      <c r="C10" s="12">
        <v>89.609222700000004</v>
      </c>
      <c r="D10" s="14">
        <v>0</v>
      </c>
      <c r="T10" s="5">
        <f t="shared" si="0"/>
        <v>32731357.181962218</v>
      </c>
      <c r="U10" s="5">
        <f t="shared" si="1"/>
        <v>32731357.181962218</v>
      </c>
      <c r="V10" s="5" t="str">
        <f t="shared" si="2"/>
        <v>n/a</v>
      </c>
      <c r="W10" s="5" t="str">
        <f t="shared" si="3"/>
        <v>n/a</v>
      </c>
      <c r="X10" s="6" t="str">
        <f t="shared" si="4"/>
        <v>n/a</v>
      </c>
      <c r="Y10" s="16" t="str">
        <f t="shared" si="5"/>
        <v>error</v>
      </c>
      <c r="Z10" s="16" t="str">
        <f t="shared" si="6"/>
        <v>error</v>
      </c>
      <c r="AA10" s="16" t="str">
        <f t="shared" si="7"/>
        <v>error</v>
      </c>
      <c r="AB10" s="16" t="str">
        <f t="shared" si="8"/>
        <v>error</v>
      </c>
      <c r="AC10" s="18" t="str">
        <f t="shared" si="9"/>
        <v>error</v>
      </c>
      <c r="AD10" s="16" t="str">
        <f t="shared" si="10"/>
        <v>error</v>
      </c>
      <c r="AE10" s="16" t="str">
        <f t="shared" si="11"/>
        <v>error</v>
      </c>
      <c r="AF10" s="16" t="str">
        <f t="shared" si="12"/>
        <v>error</v>
      </c>
      <c r="AG10" s="16" t="str">
        <f t="shared" si="13"/>
        <v>error</v>
      </c>
      <c r="AH10" s="16" t="str">
        <f t="shared" si="14"/>
        <v>error</v>
      </c>
    </row>
    <row r="11" spans="1:34" x14ac:dyDescent="0.25">
      <c r="A11" s="12">
        <v>453</v>
      </c>
      <c r="B11" s="13">
        <v>44.410600000000002</v>
      </c>
      <c r="C11" s="12">
        <v>89.3399</v>
      </c>
      <c r="D11" s="14">
        <v>0</v>
      </c>
      <c r="T11" s="5">
        <f t="shared" si="0"/>
        <v>32661126.431207154</v>
      </c>
      <c r="U11" s="5">
        <f t="shared" si="1"/>
        <v>32661126.431207154</v>
      </c>
      <c r="V11" s="5" t="str">
        <f t="shared" si="2"/>
        <v>n/a</v>
      </c>
      <c r="W11" s="5" t="str">
        <f t="shared" si="3"/>
        <v>n/a</v>
      </c>
      <c r="X11" s="6" t="str">
        <f t="shared" si="4"/>
        <v>n/a</v>
      </c>
      <c r="Y11" s="16" t="str">
        <f t="shared" si="5"/>
        <v>error</v>
      </c>
      <c r="Z11" s="16" t="str">
        <f t="shared" si="6"/>
        <v>error</v>
      </c>
      <c r="AA11" s="16" t="str">
        <f t="shared" si="7"/>
        <v>error</v>
      </c>
      <c r="AB11" s="16" t="str">
        <f t="shared" si="8"/>
        <v>error</v>
      </c>
      <c r="AC11" s="18" t="str">
        <f t="shared" si="9"/>
        <v>error</v>
      </c>
      <c r="AD11" s="16" t="str">
        <f t="shared" si="10"/>
        <v>error</v>
      </c>
      <c r="AE11" s="16" t="str">
        <f t="shared" si="11"/>
        <v>error</v>
      </c>
      <c r="AF11" s="16" t="str">
        <f t="shared" si="12"/>
        <v>error</v>
      </c>
      <c r="AG11" s="16" t="str">
        <f t="shared" si="13"/>
        <v>error</v>
      </c>
      <c r="AH11" s="16" t="str">
        <f t="shared" si="14"/>
        <v>error</v>
      </c>
    </row>
    <row r="12" spans="1:34" x14ac:dyDescent="0.25">
      <c r="A12" s="12">
        <v>466</v>
      </c>
      <c r="B12" s="13">
        <v>44.461174700000001</v>
      </c>
      <c r="C12" s="12">
        <v>89.493950499999997</v>
      </c>
      <c r="D12" s="14">
        <v>3</v>
      </c>
      <c r="E12" s="13" t="s">
        <v>42</v>
      </c>
      <c r="F12" s="13">
        <v>44.468649999999997</v>
      </c>
      <c r="G12" s="12">
        <v>89.493589999999998</v>
      </c>
      <c r="H12" s="13" t="s">
        <v>44</v>
      </c>
      <c r="I12" s="13">
        <v>44.403570000000002</v>
      </c>
      <c r="J12" s="12">
        <v>89.489339999999999</v>
      </c>
      <c r="K12" s="13" t="s">
        <v>43</v>
      </c>
      <c r="L12" s="13">
        <v>44.436500000000002</v>
      </c>
      <c r="M12" s="12">
        <v>89.377920000000003</v>
      </c>
      <c r="T12" s="5">
        <f t="shared" si="0"/>
        <v>2728.6994588529155</v>
      </c>
      <c r="U12" s="5">
        <f t="shared" si="1"/>
        <v>21049.222792726199</v>
      </c>
      <c r="V12" s="5">
        <f t="shared" si="2"/>
        <v>31530.205329839548</v>
      </c>
      <c r="W12" s="5" t="str">
        <f t="shared" si="3"/>
        <v>n/a</v>
      </c>
      <c r="X12" s="6" t="str">
        <f t="shared" si="4"/>
        <v>n/a</v>
      </c>
      <c r="Y12" s="16">
        <f t="shared" si="5"/>
        <v>0.8222489998507545</v>
      </c>
      <c r="Z12" s="16">
        <f t="shared" si="6"/>
        <v>0.10659160307384039</v>
      </c>
      <c r="AA12" s="16">
        <f t="shared" si="7"/>
        <v>7.1159397075405056E-2</v>
      </c>
      <c r="AB12" s="16" t="e">
        <f t="shared" si="8"/>
        <v>#VALUE!</v>
      </c>
      <c r="AC12" s="18" t="e">
        <f t="shared" si="9"/>
        <v>#VALUE!</v>
      </c>
      <c r="AD12" s="16">
        <f t="shared" si="10"/>
        <v>0.97628161356213339</v>
      </c>
      <c r="AE12" s="16">
        <f t="shared" si="11"/>
        <v>1.6406441338908926E-2</v>
      </c>
      <c r="AF12" s="16">
        <f t="shared" si="12"/>
        <v>7.3119450989577632E-3</v>
      </c>
      <c r="AG12" s="16" t="e">
        <f t="shared" si="13"/>
        <v>#VALUE!</v>
      </c>
      <c r="AH12" s="16" t="e">
        <f t="shared" si="14"/>
        <v>#VALUE!</v>
      </c>
    </row>
    <row r="13" spans="1:34" x14ac:dyDescent="0.25">
      <c r="A13" s="12">
        <v>467</v>
      </c>
      <c r="B13" s="13">
        <v>44.458573000000001</v>
      </c>
      <c r="C13" s="12">
        <v>89.493972900000003</v>
      </c>
      <c r="D13" s="14">
        <v>3</v>
      </c>
      <c r="E13" s="13" t="s">
        <v>42</v>
      </c>
      <c r="F13" s="13">
        <v>44.468649999999997</v>
      </c>
      <c r="G13" s="12">
        <v>89.493589999999998</v>
      </c>
      <c r="H13" s="13" t="s">
        <v>44</v>
      </c>
      <c r="I13" s="13">
        <v>44.403570000000002</v>
      </c>
      <c r="J13" s="12">
        <v>89.489339999999999</v>
      </c>
      <c r="K13" s="13" t="s">
        <v>43</v>
      </c>
      <c r="L13" s="13">
        <v>44.436500000000002</v>
      </c>
      <c r="M13" s="12">
        <v>89.377920000000003</v>
      </c>
      <c r="T13" s="5">
        <f t="shared" si="0"/>
        <v>3677.5696329672355</v>
      </c>
      <c r="U13" s="5">
        <f t="shared" si="1"/>
        <v>20102.059865355135</v>
      </c>
      <c r="V13" s="5">
        <f t="shared" si="2"/>
        <v>31278.75437568326</v>
      </c>
      <c r="W13" s="5" t="str">
        <f t="shared" si="3"/>
        <v>n/a</v>
      </c>
      <c r="X13" s="6" t="str">
        <f t="shared" si="4"/>
        <v>n/a</v>
      </c>
      <c r="Y13" s="16">
        <f t="shared" si="5"/>
        <v>0.76892381564165424</v>
      </c>
      <c r="Z13" s="16">
        <f t="shared" si="6"/>
        <v>0.14067070207777868</v>
      </c>
      <c r="AA13" s="16">
        <f t="shared" si="7"/>
        <v>9.040548228056712E-2</v>
      </c>
      <c r="AB13" s="16" t="e">
        <f t="shared" si="8"/>
        <v>#VALUE!</v>
      </c>
      <c r="AC13" s="18" t="e">
        <f t="shared" si="9"/>
        <v>#VALUE!</v>
      </c>
      <c r="AD13" s="16">
        <f t="shared" si="10"/>
        <v>0.95484308560641318</v>
      </c>
      <c r="AE13" s="16">
        <f t="shared" si="11"/>
        <v>3.1957492287338934E-2</v>
      </c>
      <c r="AF13" s="16">
        <f t="shared" si="12"/>
        <v>1.3199422106247907E-2</v>
      </c>
      <c r="AG13" s="16" t="e">
        <f t="shared" si="13"/>
        <v>#VALUE!</v>
      </c>
      <c r="AH13" s="16" t="e">
        <f t="shared" si="14"/>
        <v>#VALUE!</v>
      </c>
    </row>
    <row r="14" spans="1:34" x14ac:dyDescent="0.25">
      <c r="A14" s="12">
        <v>490</v>
      </c>
      <c r="B14" s="13">
        <v>44.466657300000001</v>
      </c>
      <c r="C14" s="12">
        <v>89.312107900000001</v>
      </c>
      <c r="D14" s="14">
        <v>3</v>
      </c>
      <c r="E14" s="13" t="s">
        <v>42</v>
      </c>
      <c r="F14" s="13">
        <v>44.472700000000003</v>
      </c>
      <c r="G14" s="12">
        <v>89.481650000000002</v>
      </c>
      <c r="H14" s="13" t="s">
        <v>41</v>
      </c>
      <c r="I14" s="13">
        <v>44.472909999999999</v>
      </c>
      <c r="J14" s="12">
        <v>89.293700000000001</v>
      </c>
      <c r="K14" s="13" t="s">
        <v>43</v>
      </c>
      <c r="L14" s="13">
        <v>44.436039999999998</v>
      </c>
      <c r="M14" s="12">
        <v>89.308210000000003</v>
      </c>
      <c r="T14" s="5">
        <f t="shared" si="0"/>
        <v>44193.28280823856</v>
      </c>
      <c r="U14" s="5">
        <f t="shared" si="1"/>
        <v>5307.4576064153707</v>
      </c>
      <c r="V14" s="5">
        <f t="shared" si="2"/>
        <v>11215.612280825868</v>
      </c>
      <c r="W14" s="5" t="str">
        <f t="shared" si="3"/>
        <v>n/a</v>
      </c>
      <c r="X14" s="6" t="str">
        <f t="shared" si="4"/>
        <v>n/a</v>
      </c>
      <c r="Y14" s="16">
        <f t="shared" si="5"/>
        <v>7.5375132348801138E-2</v>
      </c>
      <c r="Z14" s="16">
        <f t="shared" si="6"/>
        <v>0.62762150687224605</v>
      </c>
      <c r="AA14" s="16">
        <f t="shared" si="7"/>
        <v>0.29700336077895284</v>
      </c>
      <c r="AB14" s="16" t="e">
        <f t="shared" si="8"/>
        <v>#VALUE!</v>
      </c>
      <c r="AC14" s="18" t="e">
        <f t="shared" si="9"/>
        <v>#VALUE!</v>
      </c>
      <c r="AD14" s="16">
        <f t="shared" si="10"/>
        <v>1.1646980388956481E-2</v>
      </c>
      <c r="AE14" s="16">
        <f t="shared" si="11"/>
        <v>0.80751909988149095</v>
      </c>
      <c r="AF14" s="16">
        <f t="shared" si="12"/>
        <v>0.18083391972955259</v>
      </c>
      <c r="AG14" s="16" t="e">
        <f t="shared" si="13"/>
        <v>#VALUE!</v>
      </c>
      <c r="AH14" s="16" t="e">
        <f t="shared" si="14"/>
        <v>#VALUE!</v>
      </c>
    </row>
    <row r="15" spans="1:34" x14ac:dyDescent="0.25">
      <c r="A15" s="12">
        <v>509</v>
      </c>
      <c r="B15" s="13">
        <v>44.5206017</v>
      </c>
      <c r="C15" s="12">
        <v>89.471376699999993</v>
      </c>
      <c r="D15" s="14">
        <v>3</v>
      </c>
      <c r="E15" s="13" t="s">
        <v>42</v>
      </c>
      <c r="F15" s="13">
        <v>44.47533</v>
      </c>
      <c r="G15" s="12">
        <v>89.479609999999994</v>
      </c>
      <c r="H15" s="13" t="s">
        <v>40</v>
      </c>
      <c r="I15" s="13">
        <v>44.551560000000002</v>
      </c>
      <c r="J15" s="12">
        <v>89.47099</v>
      </c>
      <c r="K15" s="13" t="s">
        <v>39</v>
      </c>
      <c r="L15" s="13">
        <v>44.52084</v>
      </c>
      <c r="M15" s="12">
        <v>89.537189999999995</v>
      </c>
      <c r="T15" s="5">
        <f t="shared" si="0"/>
        <v>16654.069150058971</v>
      </c>
      <c r="U15" s="5">
        <f t="shared" si="1"/>
        <v>11294.430266403588</v>
      </c>
      <c r="V15" s="5">
        <f t="shared" si="2"/>
        <v>17118.941986884554</v>
      </c>
      <c r="W15" s="5" t="str">
        <f t="shared" si="3"/>
        <v>n/a</v>
      </c>
      <c r="X15" s="6" t="str">
        <f t="shared" si="4"/>
        <v>n/a</v>
      </c>
      <c r="Y15" s="16">
        <f t="shared" si="5"/>
        <v>0.29007512943096431</v>
      </c>
      <c r="Z15" s="16">
        <f t="shared" si="6"/>
        <v>0.42772686627900786</v>
      </c>
      <c r="AA15" s="16">
        <f t="shared" si="7"/>
        <v>0.28219800429002789</v>
      </c>
      <c r="AB15" s="16" t="e">
        <f t="shared" si="8"/>
        <v>#VALUE!</v>
      </c>
      <c r="AC15" s="18" t="e">
        <f t="shared" si="9"/>
        <v>#VALUE!</v>
      </c>
      <c r="AD15" s="16">
        <f t="shared" si="10"/>
        <v>0.24267783555195441</v>
      </c>
      <c r="AE15" s="16">
        <f t="shared" si="11"/>
        <v>0.52764543271000919</v>
      </c>
      <c r="AF15" s="16">
        <f t="shared" si="12"/>
        <v>0.22967673173803638</v>
      </c>
      <c r="AG15" s="16" t="e">
        <f t="shared" si="13"/>
        <v>#VALUE!</v>
      </c>
      <c r="AH15" s="16" t="e">
        <f t="shared" si="14"/>
        <v>#VALUE!</v>
      </c>
    </row>
    <row r="16" spans="1:34" x14ac:dyDescent="0.25">
      <c r="A16" s="12">
        <v>546</v>
      </c>
      <c r="B16" s="13">
        <v>44.406388900000003</v>
      </c>
      <c r="C16" s="12">
        <v>89.559444400000004</v>
      </c>
      <c r="D16" s="14">
        <v>0</v>
      </c>
      <c r="T16" s="5">
        <f t="shared" si="0"/>
        <v>32718330.459362723</v>
      </c>
      <c r="U16" s="5">
        <f t="shared" si="1"/>
        <v>32718330.459362723</v>
      </c>
      <c r="V16" s="5" t="str">
        <f t="shared" si="2"/>
        <v>n/a</v>
      </c>
      <c r="W16" s="5" t="str">
        <f t="shared" si="3"/>
        <v>n/a</v>
      </c>
      <c r="X16" s="6" t="str">
        <f t="shared" si="4"/>
        <v>n/a</v>
      </c>
      <c r="Y16" s="16" t="str">
        <f t="shared" si="5"/>
        <v>error</v>
      </c>
      <c r="Z16" s="16" t="str">
        <f t="shared" si="6"/>
        <v>error</v>
      </c>
      <c r="AA16" s="16" t="str">
        <f t="shared" si="7"/>
        <v>error</v>
      </c>
      <c r="AB16" s="16" t="str">
        <f t="shared" si="8"/>
        <v>error</v>
      </c>
      <c r="AC16" s="18" t="str">
        <f t="shared" si="9"/>
        <v>error</v>
      </c>
      <c r="AD16" s="16" t="str">
        <f t="shared" si="10"/>
        <v>error</v>
      </c>
      <c r="AE16" s="16" t="str">
        <f t="shared" si="11"/>
        <v>error</v>
      </c>
      <c r="AF16" s="16" t="str">
        <f t="shared" si="12"/>
        <v>error</v>
      </c>
      <c r="AG16" s="16" t="str">
        <f t="shared" si="13"/>
        <v>error</v>
      </c>
      <c r="AH16" s="16" t="str">
        <f t="shared" si="14"/>
        <v>error</v>
      </c>
    </row>
    <row r="17" spans="1:34" x14ac:dyDescent="0.25">
      <c r="A17" s="12">
        <v>581</v>
      </c>
      <c r="B17" s="13">
        <v>44.393877699999997</v>
      </c>
      <c r="C17" s="12">
        <v>89.597585100000003</v>
      </c>
      <c r="D17" s="14">
        <v>0</v>
      </c>
      <c r="T17" s="5">
        <f t="shared" si="0"/>
        <v>32728248.138384793</v>
      </c>
      <c r="U17" s="5">
        <f t="shared" si="1"/>
        <v>32728248.138384793</v>
      </c>
      <c r="V17" s="5" t="str">
        <f t="shared" si="2"/>
        <v>n/a</v>
      </c>
      <c r="W17" s="5" t="str">
        <f t="shared" si="3"/>
        <v>n/a</v>
      </c>
      <c r="X17" s="6" t="str">
        <f t="shared" si="4"/>
        <v>n/a</v>
      </c>
      <c r="Y17" s="16" t="str">
        <f t="shared" si="5"/>
        <v>error</v>
      </c>
      <c r="Z17" s="16" t="str">
        <f t="shared" si="6"/>
        <v>error</v>
      </c>
      <c r="AA17" s="16" t="str">
        <f t="shared" si="7"/>
        <v>error</v>
      </c>
      <c r="AB17" s="16" t="str">
        <f t="shared" si="8"/>
        <v>error</v>
      </c>
      <c r="AC17" s="18" t="str">
        <f t="shared" si="9"/>
        <v>error</v>
      </c>
      <c r="AD17" s="16" t="str">
        <f t="shared" si="10"/>
        <v>error</v>
      </c>
      <c r="AE17" s="16" t="str">
        <f t="shared" si="11"/>
        <v>error</v>
      </c>
      <c r="AF17" s="16" t="str">
        <f t="shared" si="12"/>
        <v>error</v>
      </c>
      <c r="AG17" s="16" t="str">
        <f t="shared" si="13"/>
        <v>error</v>
      </c>
      <c r="AH17" s="16" t="str">
        <f t="shared" si="14"/>
        <v>error</v>
      </c>
    </row>
    <row r="18" spans="1:34" x14ac:dyDescent="0.25">
      <c r="A18" s="12">
        <v>602</v>
      </c>
      <c r="B18" s="13">
        <v>44.454248300000003</v>
      </c>
      <c r="C18" s="12">
        <v>89.302578400000002</v>
      </c>
      <c r="D18" s="14">
        <v>3</v>
      </c>
      <c r="E18" s="13" t="s">
        <v>42</v>
      </c>
      <c r="F18" s="13">
        <v>44.472119999999997</v>
      </c>
      <c r="G18" s="12">
        <v>89.482460000000003</v>
      </c>
      <c r="H18" s="13" t="s">
        <v>41</v>
      </c>
      <c r="I18" s="13">
        <v>44.453830000000004</v>
      </c>
      <c r="J18" s="12">
        <v>89.282889999999995</v>
      </c>
      <c r="K18" s="13" t="s">
        <v>43</v>
      </c>
      <c r="L18" s="13">
        <v>44.43627</v>
      </c>
      <c r="M18" s="12">
        <v>89.307379999999995</v>
      </c>
      <c r="T18" s="5">
        <f t="shared" si="0"/>
        <v>47286.868919627123</v>
      </c>
      <c r="U18" s="5">
        <f t="shared" si="1"/>
        <v>5129.2852125414429</v>
      </c>
      <c r="V18" s="5">
        <f t="shared" si="2"/>
        <v>6676.8723159208539</v>
      </c>
      <c r="W18" s="5" t="str">
        <f t="shared" si="3"/>
        <v>n/a</v>
      </c>
      <c r="X18" s="6" t="str">
        <f t="shared" si="4"/>
        <v>n/a</v>
      </c>
      <c r="Y18" s="16">
        <f t="shared" si="5"/>
        <v>5.7799504582583941E-2</v>
      </c>
      <c r="Z18" s="16">
        <f t="shared" si="6"/>
        <v>0.53285350366816842</v>
      </c>
      <c r="AA18" s="16">
        <f t="shared" si="7"/>
        <v>0.40934699174924766</v>
      </c>
      <c r="AB18" s="16" t="e">
        <f t="shared" si="8"/>
        <v>#VALUE!</v>
      </c>
      <c r="AC18" s="18" t="e">
        <f t="shared" si="9"/>
        <v>#VALUE!</v>
      </c>
      <c r="AD18" s="16">
        <f t="shared" si="10"/>
        <v>7.3449850983014374E-3</v>
      </c>
      <c r="AE18" s="16">
        <f t="shared" si="11"/>
        <v>0.62424969461312896</v>
      </c>
      <c r="AF18" s="16">
        <f t="shared" si="12"/>
        <v>0.36840532028856959</v>
      </c>
      <c r="AG18" s="16" t="e">
        <f t="shared" si="13"/>
        <v>#VALUE!</v>
      </c>
      <c r="AH18" s="16" t="e">
        <f t="shared" si="14"/>
        <v>#VALUE!</v>
      </c>
    </row>
    <row r="19" spans="1:34" x14ac:dyDescent="0.25">
      <c r="A19" s="12">
        <v>603</v>
      </c>
      <c r="B19" s="13">
        <v>44.454839700000001</v>
      </c>
      <c r="C19" s="12">
        <v>89.303522099999995</v>
      </c>
      <c r="D19" s="14">
        <v>3</v>
      </c>
      <c r="E19" s="13" t="s">
        <v>42</v>
      </c>
      <c r="F19" s="13">
        <v>44.472119999999997</v>
      </c>
      <c r="G19" s="12">
        <v>89.482460000000003</v>
      </c>
      <c r="H19" s="13" t="s">
        <v>41</v>
      </c>
      <c r="I19" s="13">
        <v>44.453830000000004</v>
      </c>
      <c r="J19" s="12">
        <v>89.282889999999995</v>
      </c>
      <c r="K19" s="13" t="s">
        <v>43</v>
      </c>
      <c r="L19" s="13">
        <v>44.43627</v>
      </c>
      <c r="M19" s="12">
        <v>89.307379999999995</v>
      </c>
      <c r="T19" s="5">
        <f t="shared" si="0"/>
        <v>47013.870156978446</v>
      </c>
      <c r="U19" s="5">
        <f t="shared" si="1"/>
        <v>5385.346578299951</v>
      </c>
      <c r="V19" s="5">
        <f t="shared" si="2"/>
        <v>6848.5709091580284</v>
      </c>
      <c r="W19" s="5" t="str">
        <f t="shared" si="3"/>
        <v>n/a</v>
      </c>
      <c r="X19" s="6" t="str">
        <f t="shared" si="4"/>
        <v>n/a</v>
      </c>
      <c r="Y19" s="16">
        <f t="shared" si="5"/>
        <v>6.0260084715511197E-2</v>
      </c>
      <c r="Z19" s="16">
        <f t="shared" si="6"/>
        <v>0.52606824041358291</v>
      </c>
      <c r="AA19" s="16">
        <f t="shared" si="7"/>
        <v>0.41367167487090595</v>
      </c>
      <c r="AB19" s="16" t="e">
        <f t="shared" si="8"/>
        <v>#VALUE!</v>
      </c>
      <c r="AC19" s="18" t="e">
        <f t="shared" si="9"/>
        <v>#VALUE!</v>
      </c>
      <c r="AD19" s="16">
        <f t="shared" si="10"/>
        <v>8.0426380073746195E-3</v>
      </c>
      <c r="AE19" s="16">
        <f t="shared" si="11"/>
        <v>0.61294740847345108</v>
      </c>
      <c r="AF19" s="16">
        <f t="shared" si="12"/>
        <v>0.37900995351917433</v>
      </c>
      <c r="AG19" s="16" t="e">
        <f t="shared" si="13"/>
        <v>#VALUE!</v>
      </c>
      <c r="AH19" s="16" t="e">
        <f t="shared" si="14"/>
        <v>#VALUE!</v>
      </c>
    </row>
    <row r="20" spans="1:34" x14ac:dyDescent="0.25">
      <c r="A20" s="12">
        <v>627</v>
      </c>
      <c r="B20" s="13">
        <v>44.3918733</v>
      </c>
      <c r="C20" s="12">
        <v>89.644948299999996</v>
      </c>
      <c r="D20" s="14">
        <v>0</v>
      </c>
      <c r="T20" s="5">
        <f t="shared" si="0"/>
        <v>32740591.286517117</v>
      </c>
      <c r="U20" s="5">
        <f t="shared" si="1"/>
        <v>32740591.286517117</v>
      </c>
      <c r="V20" s="5" t="str">
        <f t="shared" si="2"/>
        <v>n/a</v>
      </c>
      <c r="W20" s="5" t="str">
        <f t="shared" si="3"/>
        <v>n/a</v>
      </c>
      <c r="X20" s="6" t="str">
        <f t="shared" si="4"/>
        <v>n/a</v>
      </c>
      <c r="Y20" s="16" t="str">
        <f t="shared" si="5"/>
        <v>error</v>
      </c>
      <c r="Z20" s="16" t="str">
        <f t="shared" si="6"/>
        <v>error</v>
      </c>
      <c r="AA20" s="16" t="str">
        <f t="shared" si="7"/>
        <v>error</v>
      </c>
      <c r="AB20" s="16" t="str">
        <f t="shared" si="8"/>
        <v>error</v>
      </c>
      <c r="AC20" s="18" t="str">
        <f t="shared" si="9"/>
        <v>error</v>
      </c>
      <c r="AD20" s="16" t="str">
        <f t="shared" si="10"/>
        <v>error</v>
      </c>
      <c r="AE20" s="16" t="str">
        <f t="shared" si="11"/>
        <v>error</v>
      </c>
      <c r="AF20" s="16" t="str">
        <f t="shared" si="12"/>
        <v>error</v>
      </c>
      <c r="AG20" s="16" t="str">
        <f t="shared" si="13"/>
        <v>error</v>
      </c>
      <c r="AH20" s="16" t="str">
        <f t="shared" si="14"/>
        <v>error</v>
      </c>
    </row>
    <row r="21" spans="1:34" x14ac:dyDescent="0.25">
      <c r="A21" s="12">
        <v>673</v>
      </c>
      <c r="B21" s="13">
        <v>44.448151899999999</v>
      </c>
      <c r="C21" s="12">
        <v>89.591880700000004</v>
      </c>
      <c r="D21" s="14">
        <v>0</v>
      </c>
      <c r="T21" s="5">
        <f t="shared" si="0"/>
        <v>32726859.870967142</v>
      </c>
      <c r="U21" s="5">
        <f t="shared" si="1"/>
        <v>32726859.870967142</v>
      </c>
      <c r="V21" s="5" t="str">
        <f t="shared" si="2"/>
        <v>n/a</v>
      </c>
      <c r="W21" s="5" t="str">
        <f t="shared" si="3"/>
        <v>n/a</v>
      </c>
      <c r="X21" s="6" t="str">
        <f t="shared" si="4"/>
        <v>n/a</v>
      </c>
      <c r="Y21" s="16" t="str">
        <f t="shared" si="5"/>
        <v>error</v>
      </c>
      <c r="Z21" s="16" t="str">
        <f t="shared" si="6"/>
        <v>error</v>
      </c>
      <c r="AA21" s="16" t="str">
        <f t="shared" si="7"/>
        <v>error</v>
      </c>
      <c r="AB21" s="16" t="str">
        <f t="shared" si="8"/>
        <v>error</v>
      </c>
      <c r="AC21" s="18" t="str">
        <f t="shared" si="9"/>
        <v>error</v>
      </c>
      <c r="AD21" s="16" t="str">
        <f t="shared" si="10"/>
        <v>error</v>
      </c>
      <c r="AE21" s="16" t="str">
        <f t="shared" si="11"/>
        <v>error</v>
      </c>
      <c r="AF21" s="16" t="str">
        <f t="shared" si="12"/>
        <v>error</v>
      </c>
      <c r="AG21" s="16" t="str">
        <f t="shared" si="13"/>
        <v>error</v>
      </c>
      <c r="AH21" s="16" t="str">
        <f t="shared" si="14"/>
        <v>error</v>
      </c>
    </row>
    <row r="22" spans="1:34" x14ac:dyDescent="0.25">
      <c r="A22" s="12">
        <v>705</v>
      </c>
      <c r="B22" s="13">
        <v>44.447851700000001</v>
      </c>
      <c r="C22" s="12">
        <v>89.424571700000001</v>
      </c>
      <c r="D22" s="14">
        <v>2</v>
      </c>
      <c r="E22" s="13" t="s">
        <v>42</v>
      </c>
      <c r="F22" s="13">
        <v>44.469029999999997</v>
      </c>
      <c r="G22" s="12">
        <v>89.483540000000005</v>
      </c>
      <c r="H22" s="13" t="s">
        <v>43</v>
      </c>
      <c r="I22" s="13">
        <v>44.43676</v>
      </c>
      <c r="J22" s="12">
        <v>89.377560000000003</v>
      </c>
      <c r="T22" s="5">
        <f t="shared" si="0"/>
        <v>17188.897206917412</v>
      </c>
      <c r="U22" s="5">
        <f t="shared" si="1"/>
        <v>12895.945520126752</v>
      </c>
      <c r="V22" s="5" t="str">
        <f t="shared" si="2"/>
        <v>n/a</v>
      </c>
      <c r="W22" s="5" t="str">
        <f t="shared" si="3"/>
        <v>n/a</v>
      </c>
      <c r="X22" s="6" t="str">
        <f t="shared" si="4"/>
        <v>n/a</v>
      </c>
      <c r="Y22" s="16">
        <f t="shared" si="5"/>
        <v>0.42865258220327013</v>
      </c>
      <c r="Z22" s="16">
        <f t="shared" si="6"/>
        <v>0.57134741779672982</v>
      </c>
      <c r="AA22" s="16" t="e">
        <f t="shared" si="7"/>
        <v>#VALUE!</v>
      </c>
      <c r="AB22" s="16" t="e">
        <f t="shared" si="8"/>
        <v>#VALUE!</v>
      </c>
      <c r="AC22" s="18" t="e">
        <f t="shared" si="9"/>
        <v>#VALUE!</v>
      </c>
      <c r="AD22" s="16">
        <f t="shared" si="10"/>
        <v>0.36015270922410764</v>
      </c>
      <c r="AE22" s="16">
        <f t="shared" si="11"/>
        <v>0.63984729077589231</v>
      </c>
      <c r="AF22" s="16" t="e">
        <f t="shared" si="12"/>
        <v>#VALUE!</v>
      </c>
      <c r="AG22" s="16" t="e">
        <f t="shared" si="13"/>
        <v>#VALUE!</v>
      </c>
      <c r="AH22" s="16" t="e">
        <f t="shared" si="14"/>
        <v>#VALUE!</v>
      </c>
    </row>
    <row r="23" spans="1:34" x14ac:dyDescent="0.25">
      <c r="A23" s="12">
        <v>707</v>
      </c>
      <c r="B23" s="13">
        <v>44.412022200000003</v>
      </c>
      <c r="C23" s="12">
        <v>89.645040600000002</v>
      </c>
      <c r="D23" s="14">
        <v>0</v>
      </c>
      <c r="T23" s="5">
        <f t="shared" si="0"/>
        <v>32740647.210247818</v>
      </c>
      <c r="U23" s="5">
        <f t="shared" si="1"/>
        <v>32740647.210247818</v>
      </c>
      <c r="V23" s="5" t="str">
        <f t="shared" si="2"/>
        <v>n/a</v>
      </c>
      <c r="W23" s="5" t="str">
        <f t="shared" si="3"/>
        <v>n/a</v>
      </c>
      <c r="X23" s="6" t="str">
        <f t="shared" si="4"/>
        <v>n/a</v>
      </c>
      <c r="Y23" s="16" t="str">
        <f t="shared" si="5"/>
        <v>error</v>
      </c>
      <c r="Z23" s="16" t="str">
        <f t="shared" si="6"/>
        <v>error</v>
      </c>
      <c r="AA23" s="16" t="str">
        <f t="shared" si="7"/>
        <v>error</v>
      </c>
      <c r="AB23" s="16" t="str">
        <f t="shared" si="8"/>
        <v>error</v>
      </c>
      <c r="AC23" s="18" t="str">
        <f t="shared" si="9"/>
        <v>error</v>
      </c>
      <c r="AD23" s="16" t="str">
        <f t="shared" si="10"/>
        <v>error</v>
      </c>
      <c r="AE23" s="16" t="str">
        <f t="shared" si="11"/>
        <v>error</v>
      </c>
      <c r="AF23" s="16" t="str">
        <f t="shared" si="12"/>
        <v>error</v>
      </c>
      <c r="AG23" s="16" t="str">
        <f t="shared" si="13"/>
        <v>error</v>
      </c>
      <c r="AH23" s="16" t="str">
        <f t="shared" si="14"/>
        <v>error</v>
      </c>
    </row>
    <row r="24" spans="1:34" x14ac:dyDescent="0.25">
      <c r="A24" s="12">
        <v>798</v>
      </c>
      <c r="B24" s="13">
        <v>44.396549999999998</v>
      </c>
      <c r="C24" s="12">
        <v>89.4024383</v>
      </c>
      <c r="D24" s="14">
        <v>4</v>
      </c>
      <c r="E24" s="13" t="s">
        <v>42</v>
      </c>
      <c r="F24" s="13">
        <v>44.468620000000001</v>
      </c>
      <c r="G24" s="12">
        <v>89.484920000000002</v>
      </c>
      <c r="H24" s="13" t="s">
        <v>43</v>
      </c>
      <c r="I24" s="13">
        <v>44.436790000000002</v>
      </c>
      <c r="J24" s="12">
        <v>89.376499999999993</v>
      </c>
      <c r="K24" s="13" t="s">
        <v>44</v>
      </c>
      <c r="L24" s="13">
        <v>44.399459999999998</v>
      </c>
      <c r="M24" s="12">
        <v>89.481260000000006</v>
      </c>
      <c r="N24" s="13" t="s">
        <v>46</v>
      </c>
      <c r="O24" s="13">
        <v>44.394480000000001</v>
      </c>
      <c r="P24" s="12">
        <v>89.334320000000005</v>
      </c>
      <c r="T24" s="5">
        <f t="shared" si="0"/>
        <v>33955.167081824802</v>
      </c>
      <c r="U24" s="5">
        <f t="shared" si="1"/>
        <v>16161.26468545448</v>
      </c>
      <c r="V24" s="5">
        <f t="shared" si="2"/>
        <v>20572.88563591487</v>
      </c>
      <c r="W24" s="5">
        <f t="shared" si="3"/>
        <v>17772.360776421217</v>
      </c>
      <c r="X24" s="6" t="str">
        <f t="shared" si="4"/>
        <v>n/a</v>
      </c>
      <c r="Y24" s="16">
        <f t="shared" si="5"/>
        <v>0.15010364370278895</v>
      </c>
      <c r="Z24" s="16">
        <f t="shared" si="6"/>
        <v>0.31537100596503026</v>
      </c>
      <c r="AA24" s="16">
        <f t="shared" si="7"/>
        <v>0.24774328656264097</v>
      </c>
      <c r="AB24" s="16">
        <f t="shared" si="8"/>
        <v>0.2867820637695398</v>
      </c>
      <c r="AC24" s="18" t="e">
        <f t="shared" si="9"/>
        <v>#VALUE!</v>
      </c>
      <c r="AD24" s="16">
        <f t="shared" si="10"/>
        <v>8.4827557617724578E-2</v>
      </c>
      <c r="AE24" s="16">
        <f t="shared" si="11"/>
        <v>0.37445360864983734</v>
      </c>
      <c r="AF24" s="16">
        <f t="shared" si="12"/>
        <v>0.23107783118646733</v>
      </c>
      <c r="AG24" s="16">
        <f t="shared" si="13"/>
        <v>0.30964100254597077</v>
      </c>
      <c r="AH24" s="16" t="e">
        <f t="shared" si="14"/>
        <v>#VALUE!</v>
      </c>
    </row>
    <row r="25" spans="1:34" x14ac:dyDescent="0.25">
      <c r="A25" s="12">
        <v>807</v>
      </c>
      <c r="B25" s="13">
        <v>44.423234999999998</v>
      </c>
      <c r="C25" s="12">
        <v>89.482813300000004</v>
      </c>
      <c r="D25" s="14">
        <v>2</v>
      </c>
      <c r="E25" s="13" t="s">
        <v>42</v>
      </c>
      <c r="F25" s="13">
        <v>44.468299999999999</v>
      </c>
      <c r="G25" s="12">
        <v>89.488460000000003</v>
      </c>
      <c r="H25" s="13" t="s">
        <v>44</v>
      </c>
      <c r="I25" s="13">
        <v>44.403379999999999</v>
      </c>
      <c r="J25" s="12">
        <v>89.489429999999999</v>
      </c>
      <c r="T25" s="5">
        <f t="shared" si="0"/>
        <v>16505.933668917914</v>
      </c>
      <c r="U25" s="5">
        <f t="shared" si="1"/>
        <v>7445.7527743183373</v>
      </c>
      <c r="V25" s="5" t="str">
        <f t="shared" si="2"/>
        <v>n/a</v>
      </c>
      <c r="W25" s="5" t="str">
        <f t="shared" si="3"/>
        <v>n/a</v>
      </c>
      <c r="X25" s="6" t="str">
        <f t="shared" si="4"/>
        <v>n/a</v>
      </c>
      <c r="Y25" s="16">
        <f t="shared" si="5"/>
        <v>0.31086549132831326</v>
      </c>
      <c r="Z25" s="16">
        <f t="shared" si="6"/>
        <v>0.68913450867168669</v>
      </c>
      <c r="AA25" s="16" t="e">
        <f t="shared" si="7"/>
        <v>#VALUE!</v>
      </c>
      <c r="AB25" s="16" t="e">
        <f t="shared" si="8"/>
        <v>#VALUE!</v>
      </c>
      <c r="AC25" s="18" t="e">
        <f t="shared" si="9"/>
        <v>#VALUE!</v>
      </c>
      <c r="AD25" s="16">
        <f t="shared" si="10"/>
        <v>0.16908129599811858</v>
      </c>
      <c r="AE25" s="16">
        <f t="shared" si="11"/>
        <v>0.83091870400188139</v>
      </c>
      <c r="AF25" s="16" t="e">
        <f t="shared" si="12"/>
        <v>#VALUE!</v>
      </c>
      <c r="AG25" s="16" t="e">
        <f t="shared" si="13"/>
        <v>#VALUE!</v>
      </c>
      <c r="AH25" s="16" t="e">
        <f t="shared" si="14"/>
        <v>#VALUE!</v>
      </c>
    </row>
    <row r="26" spans="1:34" x14ac:dyDescent="0.25">
      <c r="A26" s="12">
        <v>838</v>
      </c>
      <c r="B26" s="13">
        <v>44.4389033</v>
      </c>
      <c r="C26" s="12">
        <v>89.662231700000007</v>
      </c>
      <c r="D26" s="14">
        <v>0</v>
      </c>
      <c r="T26" s="5">
        <f t="shared" si="0"/>
        <v>32745167.554939467</v>
      </c>
      <c r="U26" s="5">
        <f t="shared" si="1"/>
        <v>32745167.554939467</v>
      </c>
      <c r="V26" s="5" t="str">
        <f t="shared" si="2"/>
        <v>n/a</v>
      </c>
      <c r="W26" s="5" t="str">
        <f t="shared" si="3"/>
        <v>n/a</v>
      </c>
      <c r="X26" s="6" t="str">
        <f t="shared" si="4"/>
        <v>n/a</v>
      </c>
      <c r="Y26" s="16" t="str">
        <f t="shared" si="5"/>
        <v>error</v>
      </c>
      <c r="Z26" s="16" t="str">
        <f t="shared" si="6"/>
        <v>error</v>
      </c>
      <c r="AA26" s="16" t="str">
        <f t="shared" si="7"/>
        <v>error</v>
      </c>
      <c r="AB26" s="16" t="str">
        <f t="shared" si="8"/>
        <v>error</v>
      </c>
      <c r="AC26" s="18" t="str">
        <f t="shared" si="9"/>
        <v>error</v>
      </c>
      <c r="AD26" s="16" t="str">
        <f t="shared" si="10"/>
        <v>error</v>
      </c>
      <c r="AE26" s="16" t="str">
        <f t="shared" si="11"/>
        <v>error</v>
      </c>
      <c r="AF26" s="16" t="str">
        <f t="shared" si="12"/>
        <v>error</v>
      </c>
      <c r="AG26" s="16" t="str">
        <f t="shared" si="13"/>
        <v>error</v>
      </c>
      <c r="AH26" s="16" t="str">
        <f t="shared" si="14"/>
        <v>error</v>
      </c>
    </row>
    <row r="27" spans="1:34" x14ac:dyDescent="0.25">
      <c r="A27" s="12">
        <v>850</v>
      </c>
      <c r="B27" s="13">
        <v>44.5399703</v>
      </c>
      <c r="C27" s="12">
        <v>89.491647700000001</v>
      </c>
      <c r="D27" s="14">
        <v>3</v>
      </c>
      <c r="E27" s="13" t="s">
        <v>42</v>
      </c>
      <c r="F27" s="13">
        <v>44.475450000000002</v>
      </c>
      <c r="G27" s="12">
        <v>89.479529999999997</v>
      </c>
      <c r="H27" s="13" t="s">
        <v>40</v>
      </c>
      <c r="I27" s="13">
        <v>44.549160000000001</v>
      </c>
      <c r="J27" s="12">
        <v>89.493300000000005</v>
      </c>
      <c r="K27" s="13" t="s">
        <v>39</v>
      </c>
      <c r="L27" s="13">
        <v>44.538640000000001</v>
      </c>
      <c r="M27" s="12">
        <v>89.516409999999993</v>
      </c>
      <c r="T27" s="5">
        <f t="shared" si="0"/>
        <v>23748.021177019822</v>
      </c>
      <c r="U27" s="5">
        <f t="shared" si="1"/>
        <v>3379.9332303939982</v>
      </c>
      <c r="V27" s="5">
        <f t="shared" si="2"/>
        <v>6457.1396036278138</v>
      </c>
      <c r="W27" s="5" t="str">
        <f t="shared" si="3"/>
        <v>n/a</v>
      </c>
      <c r="X27" s="6" t="str">
        <f t="shared" si="4"/>
        <v>n/a</v>
      </c>
      <c r="Y27" s="16">
        <f t="shared" si="5"/>
        <v>8.544106976219297E-2</v>
      </c>
      <c r="Z27" s="16">
        <f t="shared" si="6"/>
        <v>0.60032438388235854</v>
      </c>
      <c r="AA27" s="16">
        <f t="shared" si="7"/>
        <v>0.31423454635544851</v>
      </c>
      <c r="AB27" s="16" t="e">
        <f t="shared" si="8"/>
        <v>#VALUE!</v>
      </c>
      <c r="AC27" s="18" t="e">
        <f t="shared" si="9"/>
        <v>#VALUE!</v>
      </c>
      <c r="AD27" s="16">
        <f t="shared" si="10"/>
        <v>1.5651075472837291E-2</v>
      </c>
      <c r="AE27" s="16">
        <f t="shared" si="11"/>
        <v>0.77264998191353207</v>
      </c>
      <c r="AF27" s="16">
        <f t="shared" si="12"/>
        <v>0.21169894261363079</v>
      </c>
      <c r="AG27" s="16" t="e">
        <f t="shared" si="13"/>
        <v>#VALUE!</v>
      </c>
      <c r="AH27" s="16" t="e">
        <f t="shared" si="14"/>
        <v>#VALUE!</v>
      </c>
    </row>
    <row r="28" spans="1:34" x14ac:dyDescent="0.25">
      <c r="A28" s="12">
        <v>862</v>
      </c>
      <c r="B28" s="13">
        <v>44.5206193</v>
      </c>
      <c r="C28" s="12">
        <v>89.471409899999998</v>
      </c>
      <c r="D28" s="14">
        <v>3</v>
      </c>
      <c r="E28" s="13" t="s">
        <v>42</v>
      </c>
      <c r="F28" s="13">
        <v>44.47533</v>
      </c>
      <c r="G28" s="12">
        <v>89.479609999999994</v>
      </c>
      <c r="H28" s="13" t="s">
        <v>40</v>
      </c>
      <c r="I28" s="13">
        <v>44.551560000000002</v>
      </c>
      <c r="J28" s="12">
        <v>89.47099</v>
      </c>
      <c r="K28" s="13" t="s">
        <v>39</v>
      </c>
      <c r="L28" s="13">
        <v>44.52084</v>
      </c>
      <c r="M28" s="12">
        <v>89.537189999999995</v>
      </c>
      <c r="T28" s="5">
        <f t="shared" si="0"/>
        <v>16659.32777500345</v>
      </c>
      <c r="U28" s="5">
        <f t="shared" si="1"/>
        <v>11288.090022934841</v>
      </c>
      <c r="V28" s="5">
        <f t="shared" si="2"/>
        <v>17110.272435923893</v>
      </c>
      <c r="W28" s="5" t="str">
        <f t="shared" si="3"/>
        <v>n/a</v>
      </c>
      <c r="X28" s="6" t="str">
        <f t="shared" si="4"/>
        <v>n/a</v>
      </c>
      <c r="Y28" s="16">
        <f t="shared" si="5"/>
        <v>0.28989901175512073</v>
      </c>
      <c r="Z28" s="16">
        <f t="shared" si="6"/>
        <v>0.42784232307375641</v>
      </c>
      <c r="AA28" s="16">
        <f t="shared" si="7"/>
        <v>0.28225866517112286</v>
      </c>
      <c r="AB28" s="16" t="e">
        <f t="shared" si="8"/>
        <v>#VALUE!</v>
      </c>
      <c r="AC28" s="18" t="e">
        <f t="shared" si="9"/>
        <v>#VALUE!</v>
      </c>
      <c r="AD28" s="16">
        <f t="shared" si="10"/>
        <v>0.24236166019237873</v>
      </c>
      <c r="AE28" s="16">
        <f t="shared" si="11"/>
        <v>0.52788331633469721</v>
      </c>
      <c r="AF28" s="16">
        <f t="shared" si="12"/>
        <v>0.22975502347292401</v>
      </c>
      <c r="AG28" s="16" t="e">
        <f t="shared" si="13"/>
        <v>#VALUE!</v>
      </c>
      <c r="AH28" s="16" t="e">
        <f t="shared" si="14"/>
        <v>#VALUE!</v>
      </c>
    </row>
    <row r="29" spans="1:34" x14ac:dyDescent="0.25">
      <c r="A29" s="12">
        <v>975</v>
      </c>
      <c r="B29" s="13">
        <v>44.427633299999997</v>
      </c>
      <c r="C29" s="12">
        <v>89.688383299999998</v>
      </c>
      <c r="D29" s="14">
        <v>0</v>
      </c>
      <c r="T29" s="5">
        <f t="shared" si="0"/>
        <v>32751963.694574349</v>
      </c>
      <c r="U29" s="5">
        <f t="shared" si="1"/>
        <v>32751963.694574349</v>
      </c>
      <c r="V29" s="5" t="str">
        <f t="shared" si="2"/>
        <v>n/a</v>
      </c>
      <c r="W29" s="5" t="str">
        <f t="shared" si="3"/>
        <v>n/a</v>
      </c>
      <c r="X29" s="6" t="str">
        <f t="shared" si="4"/>
        <v>n/a</v>
      </c>
      <c r="Y29" s="16" t="str">
        <f t="shared" si="5"/>
        <v>error</v>
      </c>
      <c r="Z29" s="16" t="str">
        <f t="shared" si="6"/>
        <v>error</v>
      </c>
      <c r="AA29" s="16" t="str">
        <f t="shared" si="7"/>
        <v>error</v>
      </c>
      <c r="AB29" s="16" t="str">
        <f t="shared" si="8"/>
        <v>error</v>
      </c>
      <c r="AC29" s="18" t="str">
        <f t="shared" si="9"/>
        <v>error</v>
      </c>
      <c r="AD29" s="16" t="str">
        <f t="shared" si="10"/>
        <v>error</v>
      </c>
      <c r="AE29" s="16" t="str">
        <f t="shared" si="11"/>
        <v>error</v>
      </c>
      <c r="AF29" s="16" t="str">
        <f t="shared" si="12"/>
        <v>error</v>
      </c>
      <c r="AG29" s="16" t="str">
        <f t="shared" si="13"/>
        <v>error</v>
      </c>
      <c r="AH29" s="16" t="str">
        <f t="shared" si="14"/>
        <v>error</v>
      </c>
    </row>
    <row r="30" spans="1:34" x14ac:dyDescent="0.25">
      <c r="A30" s="12">
        <v>1013</v>
      </c>
      <c r="B30" s="13">
        <v>44.487321700000003</v>
      </c>
      <c r="C30" s="12">
        <v>89.345388299999996</v>
      </c>
      <c r="D30" s="14">
        <v>4</v>
      </c>
      <c r="E30" s="13" t="s">
        <v>42</v>
      </c>
      <c r="F30" s="13">
        <v>44.472119999999997</v>
      </c>
      <c r="G30" s="12">
        <v>89.482460000000003</v>
      </c>
      <c r="H30" s="13" t="s">
        <v>41</v>
      </c>
      <c r="I30" s="13">
        <v>44.474519999999998</v>
      </c>
      <c r="J30" s="12">
        <v>89.295339999999996</v>
      </c>
      <c r="K30" s="13" t="s">
        <v>43</v>
      </c>
      <c r="L30" s="13">
        <v>44.43627</v>
      </c>
      <c r="M30" s="12">
        <v>89.307379999999995</v>
      </c>
      <c r="N30" s="13" t="s">
        <v>45</v>
      </c>
      <c r="O30" s="13">
        <v>44.49091</v>
      </c>
      <c r="P30" s="12">
        <v>89.345470000000006</v>
      </c>
      <c r="T30" s="5">
        <f t="shared" si="0"/>
        <v>36107.280552695847</v>
      </c>
      <c r="U30" s="5">
        <f t="shared" si="1"/>
        <v>13838.820907605672</v>
      </c>
      <c r="V30" s="5">
        <f t="shared" si="2"/>
        <v>21090.344044937301</v>
      </c>
      <c r="W30" s="5">
        <f t="shared" si="3"/>
        <v>1309.2301928078371</v>
      </c>
      <c r="X30" s="6" t="str">
        <f t="shared" si="4"/>
        <v>n/a</v>
      </c>
      <c r="Y30" s="16">
        <f t="shared" si="5"/>
        <v>3.0394975172589159E-2</v>
      </c>
      <c r="Z30" s="16">
        <f t="shared" si="6"/>
        <v>7.9304436647903875E-2</v>
      </c>
      <c r="AA30" s="16">
        <f t="shared" si="7"/>
        <v>5.2037078845679131E-2</v>
      </c>
      <c r="AB30" s="16">
        <f t="shared" si="8"/>
        <v>0.83826350933382787</v>
      </c>
      <c r="AC30" s="18" t="e">
        <f t="shared" si="9"/>
        <v>#VALUE!</v>
      </c>
      <c r="AD30" s="16">
        <f t="shared" si="10"/>
        <v>1.2964439199777207E-3</v>
      </c>
      <c r="AE30" s="16">
        <f t="shared" si="11"/>
        <v>8.8256178421437601E-3</v>
      </c>
      <c r="AF30" s="16">
        <f t="shared" si="12"/>
        <v>3.7999332461813289E-3</v>
      </c>
      <c r="AG30" s="16">
        <f t="shared" si="13"/>
        <v>0.98607800499169718</v>
      </c>
      <c r="AH30" s="16" t="e">
        <f t="shared" si="14"/>
        <v>#VALUE!</v>
      </c>
    </row>
    <row r="31" spans="1:34" x14ac:dyDescent="0.25">
      <c r="A31" s="12">
        <v>1162</v>
      </c>
      <c r="B31" s="13">
        <v>44.4106515</v>
      </c>
      <c r="C31" s="12">
        <v>89.444140899999994</v>
      </c>
      <c r="D31" s="13">
        <v>0</v>
      </c>
      <c r="T31" s="5">
        <f t="shared" si="0"/>
        <v>32688291.144699708</v>
      </c>
      <c r="U31" s="5">
        <f t="shared" si="1"/>
        <v>32688291.144699708</v>
      </c>
      <c r="V31" s="5" t="str">
        <f t="shared" si="2"/>
        <v>n/a</v>
      </c>
      <c r="W31" s="5" t="str">
        <f t="shared" si="3"/>
        <v>n/a</v>
      </c>
      <c r="X31" s="6" t="str">
        <f t="shared" si="4"/>
        <v>n/a</v>
      </c>
      <c r="Y31" s="16" t="str">
        <f t="shared" si="5"/>
        <v>error</v>
      </c>
      <c r="Z31" s="16" t="str">
        <f t="shared" si="6"/>
        <v>error</v>
      </c>
      <c r="AA31" s="16" t="str">
        <f t="shared" si="7"/>
        <v>error</v>
      </c>
      <c r="AB31" s="16" t="str">
        <f t="shared" si="8"/>
        <v>error</v>
      </c>
      <c r="AC31" s="18" t="str">
        <f t="shared" si="9"/>
        <v>error</v>
      </c>
      <c r="AD31" s="16" t="str">
        <f t="shared" si="10"/>
        <v>error</v>
      </c>
      <c r="AE31" s="16" t="str">
        <f t="shared" si="11"/>
        <v>error</v>
      </c>
      <c r="AF31" s="16" t="str">
        <f t="shared" si="12"/>
        <v>error</v>
      </c>
      <c r="AG31" s="16" t="str">
        <f t="shared" si="13"/>
        <v>error</v>
      </c>
      <c r="AH31" s="16" t="str">
        <f t="shared" si="14"/>
        <v>error</v>
      </c>
    </row>
    <row r="32" spans="1:34" x14ac:dyDescent="0.25">
      <c r="A32" s="12">
        <v>1191</v>
      </c>
      <c r="B32" s="13">
        <v>44.400821999999998</v>
      </c>
      <c r="C32" s="12">
        <v>89.690465200000006</v>
      </c>
      <c r="D32" s="14">
        <v>0</v>
      </c>
      <c r="T32" s="5">
        <f t="shared" si="0"/>
        <v>32752469.098243527</v>
      </c>
      <c r="U32" s="5">
        <f t="shared" si="1"/>
        <v>32752469.098243527</v>
      </c>
      <c r="V32" s="5" t="str">
        <f t="shared" si="2"/>
        <v>n/a</v>
      </c>
      <c r="W32" s="5" t="str">
        <f t="shared" si="3"/>
        <v>n/a</v>
      </c>
      <c r="X32" s="6" t="str">
        <f t="shared" si="4"/>
        <v>n/a</v>
      </c>
      <c r="Y32" s="16" t="str">
        <f t="shared" si="5"/>
        <v>error</v>
      </c>
      <c r="Z32" s="16" t="str">
        <f t="shared" si="6"/>
        <v>error</v>
      </c>
      <c r="AA32" s="16" t="str">
        <f t="shared" si="7"/>
        <v>error</v>
      </c>
      <c r="AB32" s="16" t="str">
        <f t="shared" si="8"/>
        <v>error</v>
      </c>
      <c r="AC32" s="18" t="str">
        <f t="shared" si="9"/>
        <v>error</v>
      </c>
      <c r="AD32" s="16" t="str">
        <f t="shared" si="10"/>
        <v>error</v>
      </c>
      <c r="AE32" s="16" t="str">
        <f t="shared" si="11"/>
        <v>error</v>
      </c>
      <c r="AF32" s="16" t="str">
        <f t="shared" si="12"/>
        <v>error</v>
      </c>
      <c r="AG32" s="16" t="str">
        <f t="shared" si="13"/>
        <v>error</v>
      </c>
      <c r="AH32" s="16" t="str">
        <f t="shared" si="14"/>
        <v>error</v>
      </c>
    </row>
    <row r="33" spans="1:34" x14ac:dyDescent="0.25">
      <c r="A33" s="12">
        <v>1192</v>
      </c>
      <c r="B33" s="13">
        <v>44.439250000000001</v>
      </c>
      <c r="C33" s="12">
        <v>89.652299999999997</v>
      </c>
      <c r="D33" s="14">
        <v>0</v>
      </c>
      <c r="T33" s="5">
        <f t="shared" si="0"/>
        <v>32742581.151756484</v>
      </c>
      <c r="U33" s="5">
        <f t="shared" si="1"/>
        <v>32742581.151756484</v>
      </c>
      <c r="V33" s="5" t="str">
        <f t="shared" si="2"/>
        <v>n/a</v>
      </c>
      <c r="W33" s="5" t="str">
        <f t="shared" si="3"/>
        <v>n/a</v>
      </c>
      <c r="X33" s="6" t="str">
        <f t="shared" si="4"/>
        <v>n/a</v>
      </c>
      <c r="Y33" s="16" t="str">
        <f t="shared" si="5"/>
        <v>error</v>
      </c>
      <c r="Z33" s="16" t="str">
        <f t="shared" si="6"/>
        <v>error</v>
      </c>
      <c r="AA33" s="16" t="str">
        <f t="shared" si="7"/>
        <v>error</v>
      </c>
      <c r="AB33" s="16" t="str">
        <f t="shared" si="8"/>
        <v>error</v>
      </c>
      <c r="AC33" s="18" t="str">
        <f t="shared" si="9"/>
        <v>error</v>
      </c>
      <c r="AD33" s="16" t="str">
        <f t="shared" si="10"/>
        <v>error</v>
      </c>
      <c r="AE33" s="16" t="str">
        <f t="shared" si="11"/>
        <v>error</v>
      </c>
      <c r="AF33" s="16" t="str">
        <f t="shared" si="12"/>
        <v>error</v>
      </c>
      <c r="AG33" s="16" t="str">
        <f t="shared" si="13"/>
        <v>error</v>
      </c>
      <c r="AH33" s="16" t="str">
        <f t="shared" si="14"/>
        <v>error</v>
      </c>
    </row>
    <row r="34" spans="1:34" x14ac:dyDescent="0.25">
      <c r="A34" s="12">
        <v>1279</v>
      </c>
      <c r="B34" s="13">
        <v>44.4444807</v>
      </c>
      <c r="C34" s="12">
        <v>89.609182799999999</v>
      </c>
      <c r="D34" s="14">
        <v>0</v>
      </c>
      <c r="T34" s="5">
        <f t="shared" si="0"/>
        <v>32731359.477775399</v>
      </c>
      <c r="U34" s="5">
        <f t="shared" si="1"/>
        <v>32731359.477775399</v>
      </c>
      <c r="V34" s="5" t="str">
        <f t="shared" si="2"/>
        <v>n/a</v>
      </c>
      <c r="W34" s="5" t="str">
        <f t="shared" si="3"/>
        <v>n/a</v>
      </c>
      <c r="X34" s="6" t="str">
        <f t="shared" si="4"/>
        <v>n/a</v>
      </c>
      <c r="Y34" s="16" t="str">
        <f t="shared" si="5"/>
        <v>error</v>
      </c>
      <c r="Z34" s="16" t="str">
        <f t="shared" si="6"/>
        <v>error</v>
      </c>
      <c r="AA34" s="16" t="str">
        <f t="shared" si="7"/>
        <v>error</v>
      </c>
      <c r="AB34" s="16" t="str">
        <f t="shared" si="8"/>
        <v>error</v>
      </c>
      <c r="AC34" s="18" t="str">
        <f t="shared" si="9"/>
        <v>error</v>
      </c>
      <c r="AD34" s="16" t="str">
        <f t="shared" si="10"/>
        <v>error</v>
      </c>
      <c r="AE34" s="16" t="str">
        <f t="shared" si="11"/>
        <v>error</v>
      </c>
      <c r="AF34" s="16" t="str">
        <f t="shared" si="12"/>
        <v>error</v>
      </c>
      <c r="AG34" s="16" t="str">
        <f t="shared" si="13"/>
        <v>error</v>
      </c>
      <c r="AH34" s="16" t="str">
        <f t="shared" si="14"/>
        <v>error</v>
      </c>
    </row>
    <row r="35" spans="1:34" x14ac:dyDescent="0.25">
      <c r="A35" s="12">
        <v>1302</v>
      </c>
      <c r="B35" s="13">
        <v>44.581371799999999</v>
      </c>
      <c r="C35" s="12">
        <v>89.453904600000001</v>
      </c>
      <c r="D35" s="14">
        <v>4</v>
      </c>
      <c r="E35" s="13" t="s">
        <v>42</v>
      </c>
      <c r="F35" s="13">
        <v>44.481119999999997</v>
      </c>
      <c r="G35" s="12">
        <v>89.479669999999999</v>
      </c>
      <c r="H35" s="13" t="s">
        <v>39</v>
      </c>
      <c r="I35" s="13">
        <v>44.58616</v>
      </c>
      <c r="J35" s="12">
        <v>89.487179999999995</v>
      </c>
      <c r="K35" s="13" t="s">
        <v>40</v>
      </c>
      <c r="L35" s="13">
        <v>44.554780000000001</v>
      </c>
      <c r="M35" s="13">
        <v>89.461330000000004</v>
      </c>
      <c r="N35" s="13" t="s">
        <v>41</v>
      </c>
      <c r="O35" s="13">
        <v>44.570529999999998</v>
      </c>
      <c r="P35" s="12">
        <v>89.378259999999997</v>
      </c>
      <c r="T35" s="5">
        <f>ACOS( SIN($B35*PI()/180)*SIN(F35*PI()/180) + COS($B35*PI()/180) *COS(F35*PI()/180) *COS(G35*PI()/180 - $C35*PI()/180))*20902230.97</f>
        <v>37181.886625943618</v>
      </c>
      <c r="U35" s="5">
        <f>ACOS( SIN($B35*PI()/180)*SIN(I35*PI()/180) + COS($B35*PI()/180) *COS(I35*PI()/180) *COS(J35*PI()/180 - $C35*PI()/180))*20902230.97</f>
        <v>8820.5997120262091</v>
      </c>
      <c r="V35" s="5">
        <f>IF(D35&lt;3,"n/a",ACOS( SIN($B35*PI()/180)*SIN(L35*PI()/180) + COS($B35*PI()/180) *COS(L35*PI()/180) *COS(M35*PI()/180 - $C35*PI()/180))*20902230.97)</f>
        <v>9891.1208352597441</v>
      </c>
      <c r="W35" s="5">
        <f>IF(D35&lt;4,"n/a",ACOS( SIN($B35*PI()/180)*SIN(O35*PI()/180) + COS($B35*PI()/180) *COS(O35*PI()/180) *COS(P35*PI()/180 - $C35*PI()/180))*20902230.97)</f>
        <v>20051.24916073144</v>
      </c>
      <c r="X35" s="6" t="str">
        <f>IF(D35&lt;5,"n/a", ACOS( SIN($B35*PI()/180)*SIN(R35*PI()/180) + COS($B35*PI()/180) *COS(R35*PI()/180) *COS(S35*PI()/180 - $C35*PI()/180))*20902230.97)</f>
        <v>n/a</v>
      </c>
      <c r="Y35" s="16">
        <f>IF($D35=2,(1/T35)/((1/$T35)+(1/$U35)),IF($D35=3,(1/T35)/((1/$T35)+(1/$U35)+(1/$V35)),IF($D35=4,(1/T35)/((1/$T35)+(1/$U35)+(1/$V35)+(1/$W35)),IF($D35=5,(1/T35)/((1/$T35)+(1/$U35)+(1/$V35)+(1/$W35)+(1/$X35)),"error"))))</f>
        <v>9.2346275482531201E-2</v>
      </c>
      <c r="Z35" s="16">
        <f>IF($D35=2,(1/U35)/((1/$T35)+(1/$U35)),IF($D35=3,(1/U35)/((1/$T35)+(1/$U35)+(1/$V35)),IF($D35=4,(1/U35)/((1/$T35)+(1/$U35)+(1/$V35)+(1/$W35)),IF($D35=5,(1/U35)/((1/$T35)+(1/$U35)+(1/$V35)+(1/$W35)+(1/$X35)),"error"))))</f>
        <v>0.38927157533723822</v>
      </c>
      <c r="AA35" s="16">
        <f>IF($D35=2,(1/V35)/((1/$T35)+(1/$U35)),IF($D35=3,(1/V35)/((1/$T35)+(1/$U35)+(1/$V35)),IF($D35=4,(1/V35)/((1/$T35)+(1/$U35)+(1/$V35)+(1/$W35)),IF($D35=5,(1/V35)/((1/$T35)+(1/$U35)+(1/$V35)+(1/$W35)+(1/$X35)),"error"))))</f>
        <v>0.34714051142511032</v>
      </c>
      <c r="AB35" s="16">
        <f t="shared" ref="AB35" si="15">IF($D35=2,(1/W35)/((1/$T35)+(1/$U35)),IF($D35=3,(1/W35)/((1/$T35)+(1/$U35)+(1/$V35)),IF($D35=4,(1/W35)/((1/$T35)+(1/$U35)+(1/$V35)+(1/$W35)),IF($D35=5,(1/W35)/((1/$T35)+(1/$U35)+(1/$V35)+(1/$W35)+(1/$X35)),"error"))))</f>
        <v>0.17124163775512022</v>
      </c>
      <c r="AC35" s="18" t="e">
        <f t="shared" ref="AC35" si="16">IF($D35=2,(1/X35)/((1/$T35)+(1/$U35)),IF($D35=3,(1/X35)/((1/$T35)+(1/$U35)+(1/$V35)),IF($D35=4,(1/X35)/((1/$T35)+(1/$U35)+(1/$V35)+(1/$W35)),IF($D35=5,(1/X35)/((1/$T35)+(1/$U35)+(1/$V35)+(1/$W35)+(1/$X35)),"error"))))</f>
        <v>#VALUE!</v>
      </c>
      <c r="AD35" s="16">
        <f>IF($D35=2,(1/T35^2)/((1/$T35^2)+(1/$U35^2)),IF($D35=3,(1/T35^2)/((1/$T35^2)+(1/$U35^2)+(1/$V35^2)),IF($D35=4,(1/T35^2)/((1/$T35^2)+(1/$U35^2)+(1/$V35^2)+(1/$W35^2)),IF($D35=5,(1/T35^2)/((1/$T35^2)+(1/$U35^2)+(1/$V35^2)+(1/$W35^2)+(1/$X35^2)),"error"))))</f>
        <v>2.7518870700036918E-2</v>
      </c>
      <c r="AE35" s="16">
        <f t="shared" ref="AE35" si="17">IF($D35=2,(1/U35^2)/((1/$T35^2)+(1/$U35^2)),IF($D35=3,(1/U35^2)/((1/$T35^2)+(1/$U35^2)+(1/$V35^2)),IF($D35=4,(1/U35^2)/((1/$T35^2)+(1/$U35^2)+(1/$V35^2)+(1/$W35^2)),IF($D35=5,(1/U35^2)/((1/$T35^2)+(1/$U35^2)+(1/$V35^2)+(1/$W35^2)+(1/$X35^2)),"error"))))</f>
        <v>0.48898690019788954</v>
      </c>
      <c r="AF35" s="16">
        <f t="shared" ref="AF35" si="18">IF($D35=2,(1/V35^2)/((1/$T35^2)+(1/$U35^2)),IF($D35=3,(1/V35^2)/((1/$T35^2)+(1/$U35^2)+(1/$V35^2)),IF($D35=4,(1/V35^2)/((1/$T35^2)+(1/$U35^2)+(1/$V35^2)+(1/$W35^2)),IF($D35=5,(1/V35^2)/((1/$T35^2)+(1/$U35^2)+(1/$V35^2)+(1/$W35^2)+(1/$X35^2)),"error"))))</f>
        <v>0.38886820669731675</v>
      </c>
      <c r="AG35" s="16">
        <f t="shared" ref="AG35" si="19">IF($D35=2,(1/W35^2)/((1/$T35^2)+(1/$U35^2)),IF($D35=3,(1/W35^2)/((1/$T35^2)+(1/$U35^2)+(1/$V35^2)),IF($D35=4,(1/W35^2)/((1/$T35^2)+(1/$U35^2)+(1/$V35^2)+(1/$W35^2)),IF($D35=5,(1/W35^2)/((1/$T35^2)+(1/$U35^2)+(1/$V35^2)+(1/$W35^2)+(1/$X35^2)),"error"))))</f>
        <v>9.4626022404756802E-2</v>
      </c>
      <c r="AH35" s="16" t="e">
        <f t="shared" ref="AH35" si="20">IF($D35=2,(1/X35^2)/((1/$T35^2)+(1/$U35^2)),IF($D35=3,(1/X35^2)/((1/$T35^2)+(1/$U35^2)+(1/$V35^2)),IF($D35=4,(1/X35^2)/((1/$T35^2)+(1/$U35^2)+(1/$V35^2)+(1/$W35^2)),IF($D35=5,(1/X35^2)/((1/$T35^2)+(1/$U35^2)+(1/$V35^2)+(1/$W35^2)+(1/$X35^2)),"error"))))</f>
        <v>#VALUE!</v>
      </c>
    </row>
    <row r="36" spans="1:34" x14ac:dyDescent="0.25">
      <c r="A36" s="12">
        <v>1323</v>
      </c>
      <c r="B36" s="13">
        <v>44.521916699999998</v>
      </c>
      <c r="C36" s="12">
        <v>89.450889900000007</v>
      </c>
      <c r="D36" s="14">
        <v>3</v>
      </c>
      <c r="E36" s="13" t="s">
        <v>42</v>
      </c>
      <c r="F36" s="13">
        <v>44.475700000000003</v>
      </c>
      <c r="G36" s="12">
        <v>89.479529999999997</v>
      </c>
      <c r="H36" s="13" t="s">
        <v>40</v>
      </c>
      <c r="I36" s="13">
        <v>44.550930000000001</v>
      </c>
      <c r="J36" s="12">
        <v>89.469449999999995</v>
      </c>
      <c r="K36" s="13" t="s">
        <v>41</v>
      </c>
      <c r="L36" s="13">
        <v>44.528019999999998</v>
      </c>
      <c r="M36" s="12">
        <v>89.339730000000003</v>
      </c>
      <c r="T36" s="5">
        <f t="shared" ref="T36:T99" si="21">ACOS( SIN($B36*PI()/180)*SIN(F36*PI()/180) + COS($B36*PI()/180) *COS(F36*PI()/180) *COS(G36*PI()/180 - $C36*PI()/180))*20902230.97</f>
        <v>18434.005668486621</v>
      </c>
      <c r="U36" s="5">
        <f t="shared" ref="U36:U99" si="22">ACOS( SIN($B36*PI()/180)*SIN(I36*PI()/180) + COS($B36*PI()/180) *COS(I36*PI()/180) *COS(J36*PI()/180 - $C36*PI()/180))*20902230.97</f>
        <v>11632.878428976766</v>
      </c>
      <c r="V36" s="5">
        <f t="shared" ref="V36:V99" si="23">IF(D36&lt;3,"n/a",ACOS( SIN($B36*PI()/180)*SIN(L36*PI()/180) + COS($B36*PI()/180) *COS(L36*PI()/180) *COS(M36*PI()/180 - $C36*PI()/180))*20902230.97)</f>
        <v>28997.341951220984</v>
      </c>
      <c r="W36" s="5" t="str">
        <f t="shared" ref="W36:W99" si="24">IF(D36&lt;4,"n/a",ACOS( SIN($B36*PI()/180)*SIN(O36*PI()/180) + COS($B36*PI()/180) *COS(O36*PI()/180) *COS(P36*PI()/180 - $C36*PI()/180))*20902230.97)</f>
        <v>n/a</v>
      </c>
      <c r="X36" s="6" t="str">
        <f t="shared" ref="X36:X99" si="25">IF(D36&lt;5,"n/a", ACOS( SIN($B36*PI()/180)*SIN(R36*PI()/180) + COS($B36*PI()/180) *COS(R36*PI()/180) *COS(S36*PI()/180 - $C36*PI()/180))*20902230.97)</f>
        <v>n/a</v>
      </c>
      <c r="Y36" s="16">
        <f t="shared" ref="Y36:Y99" si="26">IF($D36=2,(1/T36)/((1/$T36)+(1/$U36)),IF($D36=3,(1/T36)/((1/$T36)+(1/$U36)+(1/$V36)),IF($D36=4,(1/T36)/((1/$T36)+(1/$U36)+(1/$V36)+(1/$W36)),IF($D36=5,(1/T36)/((1/$T36)+(1/$U36)+(1/$V36)+(1/$W36)+(1/$X36)),"error"))))</f>
        <v>0.31052422989299905</v>
      </c>
      <c r="Z36" s="16">
        <f t="shared" ref="Z36:Z99" si="27">IF($D36=2,(1/U36)/((1/$T36)+(1/$U36)),IF($D36=3,(1/U36)/((1/$T36)+(1/$U36)+(1/$V36)),IF($D36=4,(1/U36)/((1/$T36)+(1/$U36)+(1/$V36)+(1/$W36)),IF($D36=5,(1/U36)/((1/$T36)+(1/$U36)+(1/$V36)+(1/$W36)+(1/$X36)),"error"))))</f>
        <v>0.49207128304473224</v>
      </c>
      <c r="AA36" s="16">
        <f t="shared" ref="AA36:AA99" si="28">IF($D36=2,(1/V36)/((1/$T36)+(1/$U36)),IF($D36=3,(1/V36)/((1/$T36)+(1/$U36)+(1/$V36)),IF($D36=4,(1/V36)/((1/$T36)+(1/$U36)+(1/$V36)+(1/$W36)),IF($D36=5,(1/V36)/((1/$T36)+(1/$U36)+(1/$V36)+(1/$W36)+(1/$X36)),"error"))))</f>
        <v>0.19740448706226879</v>
      </c>
      <c r="AB36" s="16" t="e">
        <f t="shared" ref="AB36:AB99" si="29">IF($D36=2,(1/W36)/((1/$T36)+(1/$U36)),IF($D36=3,(1/W36)/((1/$T36)+(1/$U36)+(1/$V36)),IF($D36=4,(1/W36)/((1/$T36)+(1/$U36)+(1/$V36)+(1/$W36)),IF($D36=5,(1/W36)/((1/$T36)+(1/$U36)+(1/$V36)+(1/$W36)+(1/$X36)),"error"))))</f>
        <v>#VALUE!</v>
      </c>
      <c r="AC36" s="18" t="e">
        <f t="shared" ref="AC36:AC99" si="30">IF($D36=2,(1/X36)/((1/$T36)+(1/$U36)),IF($D36=3,(1/X36)/((1/$T36)+(1/$U36)+(1/$V36)),IF($D36=4,(1/X36)/((1/$T36)+(1/$U36)+(1/$V36)+(1/$W36)),IF($D36=5,(1/X36)/((1/$T36)+(1/$U36)+(1/$V36)+(1/$W36)+(1/$X36)),"error"))))</f>
        <v>#VALUE!</v>
      </c>
      <c r="AD36" s="16">
        <f t="shared" ref="AD36:AD99" si="31">IF($D36=2,(1/T36^2)/((1/$T36^2)+(1/$U36^2)),IF($D36=3,(1/T36^2)/((1/$T36^2)+(1/$U36^2)+(1/$V36^2)),IF($D36=4,(1/T36^2)/((1/$T36^2)+(1/$U36^2)+(1/$V36^2)+(1/$W36^2)),IF($D36=5,(1/T36^2)/((1/$T36^2)+(1/$U36^2)+(1/$V36^2)+(1/$W36^2)+(1/$X36^2)),"error"))))</f>
        <v>0.25541232269655023</v>
      </c>
      <c r="AE36" s="16">
        <f t="shared" ref="AE36:AE99" si="32">IF($D36=2,(1/U36^2)/((1/$T36^2)+(1/$U36^2)),IF($D36=3,(1/U36^2)/((1/$T36^2)+(1/$U36^2)+(1/$V36^2)),IF($D36=4,(1/U36^2)/((1/$T36^2)+(1/$U36^2)+(1/$V36^2)+(1/$W36^2)),IF($D36=5,(1/U36^2)/((1/$T36^2)+(1/$U36^2)+(1/$V36^2)+(1/$W36^2)+(1/$X36^2)),"error"))))</f>
        <v>0.64136742889247988</v>
      </c>
      <c r="AF36" s="16">
        <f t="shared" ref="AF36:AF99" si="33">IF($D36=2,(1/V36^2)/((1/$T36^2)+(1/$U36^2)),IF($D36=3,(1/V36^2)/((1/$T36^2)+(1/$U36^2)+(1/$V36^2)),IF($D36=4,(1/V36^2)/((1/$T36^2)+(1/$U36^2)+(1/$V36^2)+(1/$W36^2)),IF($D36=5,(1/V36^2)/((1/$T36^2)+(1/$U36^2)+(1/$V36^2)+(1/$W36^2)+(1/$X36^2)),"error"))))</f>
        <v>0.10322024841096991</v>
      </c>
      <c r="AG36" s="16" t="e">
        <f t="shared" ref="AG36:AG99" si="34">IF($D36=2,(1/W36^2)/((1/$T36^2)+(1/$U36^2)),IF($D36=3,(1/W36^2)/((1/$T36^2)+(1/$U36^2)+(1/$V36^2)),IF($D36=4,(1/W36^2)/((1/$T36^2)+(1/$U36^2)+(1/$V36^2)+(1/$W36^2)),IF($D36=5,(1/W36^2)/((1/$T36^2)+(1/$U36^2)+(1/$V36^2)+(1/$W36^2)+(1/$X36^2)),"error"))))</f>
        <v>#VALUE!</v>
      </c>
      <c r="AH36" s="16" t="e">
        <f t="shared" ref="AH36:AH99" si="35">IF($D36=2,(1/X36^2)/((1/$T36^2)+(1/$U36^2)),IF($D36=3,(1/X36^2)/((1/$T36^2)+(1/$U36^2)+(1/$V36^2)),IF($D36=4,(1/X36^2)/((1/$T36^2)+(1/$U36^2)+(1/$V36^2)+(1/$W36^2)),IF($D36=5,(1/X36^2)/((1/$T36^2)+(1/$U36^2)+(1/$V36^2)+(1/$W36^2)+(1/$X36^2)),"error"))))</f>
        <v>#VALUE!</v>
      </c>
    </row>
    <row r="37" spans="1:34" x14ac:dyDescent="0.25">
      <c r="A37" s="12">
        <v>1467</v>
      </c>
      <c r="B37" s="13">
        <v>44.426432900000002</v>
      </c>
      <c r="C37" s="12">
        <v>89.639807300000001</v>
      </c>
      <c r="D37" s="14">
        <v>0</v>
      </c>
      <c r="T37" s="5">
        <f t="shared" si="21"/>
        <v>32739306.582153697</v>
      </c>
      <c r="U37" s="5">
        <f t="shared" si="22"/>
        <v>32739306.582153697</v>
      </c>
      <c r="V37" s="5" t="str">
        <f t="shared" si="23"/>
        <v>n/a</v>
      </c>
      <c r="W37" s="5" t="str">
        <f t="shared" si="24"/>
        <v>n/a</v>
      </c>
      <c r="X37" s="6" t="str">
        <f t="shared" si="25"/>
        <v>n/a</v>
      </c>
      <c r="Y37" s="16" t="str">
        <f t="shared" si="26"/>
        <v>error</v>
      </c>
      <c r="Z37" s="16" t="str">
        <f t="shared" si="27"/>
        <v>error</v>
      </c>
      <c r="AA37" s="16" t="str">
        <f t="shared" si="28"/>
        <v>error</v>
      </c>
      <c r="AB37" s="16" t="str">
        <f t="shared" si="29"/>
        <v>error</v>
      </c>
      <c r="AC37" s="18" t="str">
        <f t="shared" si="30"/>
        <v>error</v>
      </c>
      <c r="AD37" s="16" t="str">
        <f t="shared" si="31"/>
        <v>error</v>
      </c>
      <c r="AE37" s="16" t="str">
        <f t="shared" si="32"/>
        <v>error</v>
      </c>
      <c r="AF37" s="16" t="str">
        <f t="shared" si="33"/>
        <v>error</v>
      </c>
      <c r="AG37" s="16" t="str">
        <f t="shared" si="34"/>
        <v>error</v>
      </c>
      <c r="AH37" s="16" t="str">
        <f t="shared" si="35"/>
        <v>error</v>
      </c>
    </row>
    <row r="38" spans="1:34" x14ac:dyDescent="0.25">
      <c r="A38" s="12">
        <v>1486</v>
      </c>
      <c r="B38" s="13">
        <v>44.503996700000002</v>
      </c>
      <c r="C38" s="12">
        <v>89.460823300000001</v>
      </c>
      <c r="D38" s="14">
        <v>3</v>
      </c>
      <c r="E38" s="13" t="s">
        <v>42</v>
      </c>
      <c r="F38" s="13">
        <v>44.475700000000003</v>
      </c>
      <c r="G38" s="12">
        <v>89.479529999999997</v>
      </c>
      <c r="H38" s="13" t="s">
        <v>40</v>
      </c>
      <c r="I38" s="13">
        <v>44.550930000000001</v>
      </c>
      <c r="J38" s="12">
        <v>89.469449999999995</v>
      </c>
      <c r="K38" s="13" t="s">
        <v>41</v>
      </c>
      <c r="L38" s="13">
        <v>44.528019999999998</v>
      </c>
      <c r="M38" s="12">
        <v>89.339730000000003</v>
      </c>
      <c r="T38" s="5">
        <f t="shared" si="21"/>
        <v>11413.388182518062</v>
      </c>
      <c r="U38" s="5">
        <f t="shared" si="22"/>
        <v>17268.242527728147</v>
      </c>
      <c r="V38" s="5">
        <f t="shared" si="23"/>
        <v>32696.609956258064</v>
      </c>
      <c r="W38" s="5" t="str">
        <f t="shared" si="24"/>
        <v>n/a</v>
      </c>
      <c r="X38" s="6" t="str">
        <f t="shared" si="25"/>
        <v>n/a</v>
      </c>
      <c r="Y38" s="16">
        <f t="shared" si="26"/>
        <v>0.49750843256263944</v>
      </c>
      <c r="Z38" s="16">
        <f t="shared" si="27"/>
        <v>0.32882656447497544</v>
      </c>
      <c r="AA38" s="16">
        <f t="shared" si="28"/>
        <v>0.17366500296238527</v>
      </c>
      <c r="AB38" s="16" t="e">
        <f t="shared" si="29"/>
        <v>#VALUE!</v>
      </c>
      <c r="AC38" s="18" t="e">
        <f t="shared" si="30"/>
        <v>#VALUE!</v>
      </c>
      <c r="AD38" s="16">
        <f t="shared" si="31"/>
        <v>0.64156025275813122</v>
      </c>
      <c r="AE38" s="16">
        <f t="shared" si="32"/>
        <v>0.28026595622635225</v>
      </c>
      <c r="AF38" s="16">
        <f t="shared" si="33"/>
        <v>7.8173791015516705E-2</v>
      </c>
      <c r="AG38" s="16" t="e">
        <f t="shared" si="34"/>
        <v>#VALUE!</v>
      </c>
      <c r="AH38" s="16" t="e">
        <f t="shared" si="35"/>
        <v>#VALUE!</v>
      </c>
    </row>
    <row r="39" spans="1:34" x14ac:dyDescent="0.25">
      <c r="A39" s="12">
        <v>1584</v>
      </c>
      <c r="B39" s="13">
        <v>44.48</v>
      </c>
      <c r="C39" s="12">
        <v>89.464721699999998</v>
      </c>
      <c r="D39" s="14">
        <v>3</v>
      </c>
      <c r="E39" s="13" t="s">
        <v>42</v>
      </c>
      <c r="F39" s="13">
        <v>44.475700000000003</v>
      </c>
      <c r="G39" s="12">
        <v>89.479529999999997</v>
      </c>
      <c r="H39" s="13" t="s">
        <v>43</v>
      </c>
      <c r="I39" s="13">
        <v>44.43676</v>
      </c>
      <c r="J39" s="12">
        <v>89.377560000000003</v>
      </c>
      <c r="K39" s="13" t="s">
        <v>47</v>
      </c>
      <c r="L39" s="13">
        <v>44.488370000000003</v>
      </c>
      <c r="M39" s="12">
        <v>89.355239999999995</v>
      </c>
      <c r="T39" s="5">
        <f t="shared" si="21"/>
        <v>4161.6032224857481</v>
      </c>
      <c r="U39" s="5">
        <f t="shared" si="22"/>
        <v>27639.446717878531</v>
      </c>
      <c r="V39" s="5">
        <f t="shared" si="23"/>
        <v>28658.310577661578</v>
      </c>
      <c r="W39" s="5" t="str">
        <f t="shared" si="24"/>
        <v>n/a</v>
      </c>
      <c r="X39" s="6" t="str">
        <f t="shared" si="25"/>
        <v>n/a</v>
      </c>
      <c r="Y39" s="16">
        <f t="shared" si="26"/>
        <v>0.7717347134308602</v>
      </c>
      <c r="Z39" s="16">
        <f t="shared" si="27"/>
        <v>0.11619818960560199</v>
      </c>
      <c r="AA39" s="16">
        <f t="shared" si="28"/>
        <v>0.11206709696353788</v>
      </c>
      <c r="AB39" s="16" t="e">
        <f t="shared" si="29"/>
        <v>#VALUE!</v>
      </c>
      <c r="AC39" s="18" t="e">
        <f t="shared" si="30"/>
        <v>#VALUE!</v>
      </c>
      <c r="AD39" s="16">
        <f t="shared" si="31"/>
        <v>0.95807663398866261</v>
      </c>
      <c r="AE39" s="16">
        <f t="shared" si="32"/>
        <v>2.1720154017472459E-2</v>
      </c>
      <c r="AF39" s="16">
        <f t="shared" si="33"/>
        <v>2.0203211993864878E-2</v>
      </c>
      <c r="AG39" s="16" t="e">
        <f t="shared" si="34"/>
        <v>#VALUE!</v>
      </c>
      <c r="AH39" s="16" t="e">
        <f t="shared" si="35"/>
        <v>#VALUE!</v>
      </c>
    </row>
    <row r="40" spans="1:34" x14ac:dyDescent="0.25">
      <c r="A40" s="12">
        <v>1589</v>
      </c>
      <c r="B40" s="13">
        <v>44.4051847</v>
      </c>
      <c r="C40" s="12">
        <v>89.409194099999993</v>
      </c>
      <c r="D40" s="14">
        <v>4</v>
      </c>
      <c r="E40" s="13" t="s">
        <v>42</v>
      </c>
      <c r="F40" s="13">
        <v>44.468020000000003</v>
      </c>
      <c r="G40" s="12">
        <v>89.486630000000005</v>
      </c>
      <c r="H40" s="13" t="s">
        <v>43</v>
      </c>
      <c r="I40" s="13">
        <v>44.43676</v>
      </c>
      <c r="J40" s="12">
        <v>89.377560000000003</v>
      </c>
      <c r="K40" s="13" t="s">
        <v>46</v>
      </c>
      <c r="L40" s="13">
        <v>44.394089999999998</v>
      </c>
      <c r="M40" s="12">
        <v>89.334530000000001</v>
      </c>
      <c r="N40" s="13" t="s">
        <v>44</v>
      </c>
      <c r="O40" s="13">
        <v>44.399996999999999</v>
      </c>
      <c r="P40" s="12">
        <v>89.480459999999994</v>
      </c>
      <c r="T40" s="5">
        <f t="shared" si="21"/>
        <v>30534.177155312413</v>
      </c>
      <c r="U40" s="5">
        <f t="shared" si="22"/>
        <v>14164.275646195027</v>
      </c>
      <c r="V40" s="5">
        <f t="shared" si="23"/>
        <v>19877.660532294791</v>
      </c>
      <c r="W40" s="5">
        <f t="shared" si="24"/>
        <v>18670.709538094121</v>
      </c>
      <c r="X40" s="6" t="str">
        <f t="shared" si="25"/>
        <v>n/a</v>
      </c>
      <c r="Y40" s="16">
        <f t="shared" si="26"/>
        <v>0.15804709469691988</v>
      </c>
      <c r="Z40" s="16">
        <f t="shared" si="27"/>
        <v>0.34070489087485117</v>
      </c>
      <c r="AA40" s="16">
        <f t="shared" si="28"/>
        <v>0.24277695961844994</v>
      </c>
      <c r="AB40" s="16">
        <f t="shared" si="29"/>
        <v>0.258471054809779</v>
      </c>
      <c r="AC40" s="18" t="e">
        <f t="shared" si="30"/>
        <v>#VALUE!</v>
      </c>
      <c r="AD40" s="16">
        <f t="shared" si="31"/>
        <v>9.3621671725522687E-2</v>
      </c>
      <c r="AE40" s="16">
        <f t="shared" si="32"/>
        <v>0.43507095792420236</v>
      </c>
      <c r="AF40" s="16">
        <f t="shared" si="33"/>
        <v>0.22091148478910913</v>
      </c>
      <c r="AG40" s="16">
        <f t="shared" si="34"/>
        <v>0.25039588556116577</v>
      </c>
      <c r="AH40" s="16" t="e">
        <f t="shared" si="35"/>
        <v>#VALUE!</v>
      </c>
    </row>
    <row r="41" spans="1:34" x14ac:dyDescent="0.25">
      <c r="A41" s="12">
        <v>1611</v>
      </c>
      <c r="B41" s="13">
        <v>44.437249999999999</v>
      </c>
      <c r="C41" s="12">
        <v>89.634598299999993</v>
      </c>
      <c r="D41" s="14">
        <v>0</v>
      </c>
      <c r="T41" s="5">
        <f t="shared" si="21"/>
        <v>32737967.108082451</v>
      </c>
      <c r="U41" s="5">
        <f t="shared" si="22"/>
        <v>32737967.108082451</v>
      </c>
      <c r="V41" s="5" t="str">
        <f t="shared" si="23"/>
        <v>n/a</v>
      </c>
      <c r="W41" s="5" t="str">
        <f t="shared" si="24"/>
        <v>n/a</v>
      </c>
      <c r="X41" s="6" t="str">
        <f t="shared" si="25"/>
        <v>n/a</v>
      </c>
      <c r="Y41" s="16" t="str">
        <f t="shared" si="26"/>
        <v>error</v>
      </c>
      <c r="Z41" s="16" t="str">
        <f t="shared" si="27"/>
        <v>error</v>
      </c>
      <c r="AA41" s="16" t="str">
        <f t="shared" si="28"/>
        <v>error</v>
      </c>
      <c r="AB41" s="16" t="str">
        <f t="shared" si="29"/>
        <v>error</v>
      </c>
      <c r="AC41" s="18" t="str">
        <f t="shared" si="30"/>
        <v>error</v>
      </c>
      <c r="AD41" s="16" t="str">
        <f t="shared" si="31"/>
        <v>error</v>
      </c>
      <c r="AE41" s="16" t="str">
        <f t="shared" si="32"/>
        <v>error</v>
      </c>
      <c r="AF41" s="16" t="str">
        <f t="shared" si="33"/>
        <v>error</v>
      </c>
      <c r="AG41" s="16" t="str">
        <f t="shared" si="34"/>
        <v>error</v>
      </c>
      <c r="AH41" s="16" t="str">
        <f t="shared" si="35"/>
        <v>error</v>
      </c>
    </row>
    <row r="42" spans="1:34" x14ac:dyDescent="0.25">
      <c r="A42" s="12">
        <v>1642</v>
      </c>
      <c r="B42" s="13">
        <v>44.440840299999998</v>
      </c>
      <c r="C42" s="12">
        <v>89.605605999999995</v>
      </c>
      <c r="D42" s="14">
        <v>0</v>
      </c>
      <c r="T42" s="5">
        <f t="shared" si="21"/>
        <v>32730421.508119889</v>
      </c>
      <c r="U42" s="5">
        <f t="shared" si="22"/>
        <v>32730421.508119889</v>
      </c>
      <c r="V42" s="5" t="str">
        <f t="shared" si="23"/>
        <v>n/a</v>
      </c>
      <c r="W42" s="5" t="str">
        <f t="shared" si="24"/>
        <v>n/a</v>
      </c>
      <c r="X42" s="6" t="str">
        <f t="shared" si="25"/>
        <v>n/a</v>
      </c>
      <c r="Y42" s="16" t="str">
        <f t="shared" si="26"/>
        <v>error</v>
      </c>
      <c r="Z42" s="16" t="str">
        <f t="shared" si="27"/>
        <v>error</v>
      </c>
      <c r="AA42" s="16" t="str">
        <f t="shared" si="28"/>
        <v>error</v>
      </c>
      <c r="AB42" s="16" t="str">
        <f t="shared" si="29"/>
        <v>error</v>
      </c>
      <c r="AC42" s="18" t="str">
        <f t="shared" si="30"/>
        <v>error</v>
      </c>
      <c r="AD42" s="16" t="str">
        <f t="shared" si="31"/>
        <v>error</v>
      </c>
      <c r="AE42" s="16" t="str">
        <f t="shared" si="32"/>
        <v>error</v>
      </c>
      <c r="AF42" s="16" t="str">
        <f t="shared" si="33"/>
        <v>error</v>
      </c>
      <c r="AG42" s="16" t="str">
        <f t="shared" si="34"/>
        <v>error</v>
      </c>
      <c r="AH42" s="16" t="str">
        <f t="shared" si="35"/>
        <v>error</v>
      </c>
    </row>
    <row r="43" spans="1:34" x14ac:dyDescent="0.25">
      <c r="A43" s="12">
        <v>1643</v>
      </c>
      <c r="B43" s="13">
        <v>44.417400000000001</v>
      </c>
      <c r="C43" s="12">
        <v>89.533533300000002</v>
      </c>
      <c r="D43" s="14">
        <v>4</v>
      </c>
      <c r="E43" s="13" t="s">
        <v>42</v>
      </c>
      <c r="F43" s="13">
        <v>44.470410000000001</v>
      </c>
      <c r="G43" s="12">
        <v>89.511759999999995</v>
      </c>
      <c r="H43" s="13" t="s">
        <v>44</v>
      </c>
      <c r="I43" s="13">
        <v>44.388379999999998</v>
      </c>
      <c r="J43" s="12">
        <v>89.530510000000007</v>
      </c>
      <c r="K43" s="13" t="s">
        <v>48</v>
      </c>
      <c r="L43" s="13">
        <v>44.462609999999998</v>
      </c>
      <c r="M43" s="12">
        <v>89.562640000000002</v>
      </c>
      <c r="N43" s="13" t="s">
        <v>49</v>
      </c>
      <c r="O43" s="13">
        <v>44.419539999999998</v>
      </c>
      <c r="P43" s="12">
        <v>89.569490000000002</v>
      </c>
      <c r="T43" s="5">
        <f t="shared" si="21"/>
        <v>20153.054415924838</v>
      </c>
      <c r="U43" s="5">
        <f t="shared" si="22"/>
        <v>10616.150227232331</v>
      </c>
      <c r="V43" s="5">
        <f t="shared" si="23"/>
        <v>18152.225444729047</v>
      </c>
      <c r="W43" s="5">
        <f t="shared" si="24"/>
        <v>9401.5799341765214</v>
      </c>
      <c r="X43" s="6" t="str">
        <f t="shared" si="25"/>
        <v>n/a</v>
      </c>
      <c r="Y43" s="16">
        <f t="shared" si="26"/>
        <v>0.16254490993016985</v>
      </c>
      <c r="Z43" s="16">
        <f t="shared" si="27"/>
        <v>0.30856537866724604</v>
      </c>
      <c r="AA43" s="16">
        <f t="shared" si="28"/>
        <v>0.18046142192474357</v>
      </c>
      <c r="AB43" s="16">
        <f t="shared" si="29"/>
        <v>0.34842828947784055</v>
      </c>
      <c r="AC43" s="18" t="e">
        <f t="shared" si="30"/>
        <v>#VALUE!</v>
      </c>
      <c r="AD43" s="16">
        <f t="shared" si="31"/>
        <v>9.5865937351832672E-2</v>
      </c>
      <c r="AE43" s="16">
        <f t="shared" si="32"/>
        <v>0.34547129431963397</v>
      </c>
      <c r="AF43" s="16">
        <f t="shared" si="33"/>
        <v>0.11816431038016077</v>
      </c>
      <c r="AG43" s="16">
        <f t="shared" si="34"/>
        <v>0.4404984579483725</v>
      </c>
      <c r="AH43" s="16" t="e">
        <f t="shared" si="35"/>
        <v>#VALUE!</v>
      </c>
    </row>
    <row r="44" spans="1:34" x14ac:dyDescent="0.25">
      <c r="A44" s="12">
        <v>1683</v>
      </c>
      <c r="B44" s="13">
        <v>44.390654300000001</v>
      </c>
      <c r="C44" s="12">
        <v>89.409045300000002</v>
      </c>
      <c r="D44" s="14">
        <v>4</v>
      </c>
      <c r="E44" s="13" t="s">
        <v>42</v>
      </c>
      <c r="F44" s="13">
        <v>44.468020000000003</v>
      </c>
      <c r="G44" s="12">
        <v>89.486630000000005</v>
      </c>
      <c r="H44" s="13" t="s">
        <v>43</v>
      </c>
      <c r="I44" s="13">
        <v>44.43676</v>
      </c>
      <c r="J44" s="12">
        <v>89.377560000000003</v>
      </c>
      <c r="K44" s="13" t="s">
        <v>46</v>
      </c>
      <c r="L44" s="13">
        <v>44.394089999999998</v>
      </c>
      <c r="M44" s="12">
        <v>89.334530000000001</v>
      </c>
      <c r="N44" s="13" t="s">
        <v>44</v>
      </c>
      <c r="O44" s="13">
        <v>44.399996999999999</v>
      </c>
      <c r="P44" s="12">
        <v>89.480459999999994</v>
      </c>
      <c r="T44" s="5">
        <f t="shared" si="21"/>
        <v>34714.940280436327</v>
      </c>
      <c r="U44" s="5">
        <f t="shared" si="22"/>
        <v>18714.363537808717</v>
      </c>
      <c r="V44" s="5">
        <f t="shared" si="23"/>
        <v>19465.245986649148</v>
      </c>
      <c r="W44" s="5">
        <f t="shared" si="24"/>
        <v>18925.082363349866</v>
      </c>
      <c r="X44" s="6" t="str">
        <f t="shared" si="25"/>
        <v>n/a</v>
      </c>
      <c r="Y44" s="16">
        <f t="shared" si="26"/>
        <v>0.1544936977568897</v>
      </c>
      <c r="Z44" s="16">
        <f t="shared" si="27"/>
        <v>0.28658412456821347</v>
      </c>
      <c r="AA44" s="16">
        <f t="shared" si="28"/>
        <v>0.27552898612289578</v>
      </c>
      <c r="AB44" s="16">
        <f t="shared" si="29"/>
        <v>0.2833931915520011</v>
      </c>
      <c r="AC44" s="18" t="e">
        <f t="shared" si="30"/>
        <v>#VALUE!</v>
      </c>
      <c r="AD44" s="16">
        <f t="shared" si="31"/>
        <v>9.1021638499833524E-2</v>
      </c>
      <c r="AE44" s="16">
        <f t="shared" si="32"/>
        <v>0.31320405107997129</v>
      </c>
      <c r="AF44" s="16">
        <f t="shared" si="33"/>
        <v>0.28950608826775248</v>
      </c>
      <c r="AG44" s="16">
        <f t="shared" si="34"/>
        <v>0.3062682221524427</v>
      </c>
      <c r="AH44" s="16" t="e">
        <f t="shared" si="35"/>
        <v>#VALUE!</v>
      </c>
    </row>
    <row r="45" spans="1:34" x14ac:dyDescent="0.25">
      <c r="A45" s="12">
        <v>1704</v>
      </c>
      <c r="B45" s="13">
        <v>44.499349899999999</v>
      </c>
      <c r="C45" s="12">
        <v>89.505996300000007</v>
      </c>
      <c r="D45" s="13">
        <v>0</v>
      </c>
      <c r="T45" s="5">
        <f t="shared" si="21"/>
        <v>32704605.80365533</v>
      </c>
      <c r="U45" s="5">
        <f t="shared" si="22"/>
        <v>32704605.80365533</v>
      </c>
      <c r="V45" s="5" t="str">
        <f t="shared" si="23"/>
        <v>n/a</v>
      </c>
      <c r="W45" s="5" t="str">
        <f t="shared" si="24"/>
        <v>n/a</v>
      </c>
      <c r="X45" s="6" t="str">
        <f t="shared" si="25"/>
        <v>n/a</v>
      </c>
      <c r="Y45" s="16" t="str">
        <f t="shared" si="26"/>
        <v>error</v>
      </c>
      <c r="Z45" s="16" t="str">
        <f t="shared" si="27"/>
        <v>error</v>
      </c>
      <c r="AA45" s="16" t="str">
        <f t="shared" si="28"/>
        <v>error</v>
      </c>
      <c r="AB45" s="16" t="str">
        <f t="shared" si="29"/>
        <v>error</v>
      </c>
      <c r="AC45" s="18" t="str">
        <f t="shared" si="30"/>
        <v>error</v>
      </c>
      <c r="AD45" s="16" t="str">
        <f t="shared" si="31"/>
        <v>error</v>
      </c>
      <c r="AE45" s="16" t="str">
        <f t="shared" si="32"/>
        <v>error</v>
      </c>
      <c r="AF45" s="16" t="str">
        <f t="shared" si="33"/>
        <v>error</v>
      </c>
      <c r="AG45" s="16" t="str">
        <f t="shared" si="34"/>
        <v>error</v>
      </c>
      <c r="AH45" s="16" t="str">
        <f t="shared" si="35"/>
        <v>error</v>
      </c>
    </row>
    <row r="46" spans="1:34" x14ac:dyDescent="0.25">
      <c r="A46" s="12">
        <v>1829</v>
      </c>
      <c r="B46" s="13">
        <v>44.402745400000001</v>
      </c>
      <c r="C46" s="12">
        <v>89.617035599999994</v>
      </c>
      <c r="D46" s="14">
        <v>0</v>
      </c>
      <c r="T46" s="5">
        <f t="shared" si="21"/>
        <v>32733333.487406794</v>
      </c>
      <c r="U46" s="5">
        <f t="shared" si="22"/>
        <v>32733333.487406794</v>
      </c>
      <c r="V46" s="5" t="str">
        <f t="shared" si="23"/>
        <v>n/a</v>
      </c>
      <c r="W46" s="5" t="str">
        <f t="shared" si="24"/>
        <v>n/a</v>
      </c>
      <c r="X46" s="6" t="str">
        <f t="shared" si="25"/>
        <v>n/a</v>
      </c>
      <c r="Y46" s="16" t="str">
        <f t="shared" si="26"/>
        <v>error</v>
      </c>
      <c r="Z46" s="16" t="str">
        <f t="shared" si="27"/>
        <v>error</v>
      </c>
      <c r="AA46" s="16" t="str">
        <f t="shared" si="28"/>
        <v>error</v>
      </c>
      <c r="AB46" s="16" t="str">
        <f t="shared" si="29"/>
        <v>error</v>
      </c>
      <c r="AC46" s="18" t="str">
        <f t="shared" si="30"/>
        <v>error</v>
      </c>
      <c r="AD46" s="16" t="str">
        <f t="shared" si="31"/>
        <v>error</v>
      </c>
      <c r="AE46" s="16" t="str">
        <f t="shared" si="32"/>
        <v>error</v>
      </c>
      <c r="AF46" s="16" t="str">
        <f t="shared" si="33"/>
        <v>error</v>
      </c>
      <c r="AG46" s="16" t="str">
        <f t="shared" si="34"/>
        <v>error</v>
      </c>
      <c r="AH46" s="16" t="str">
        <f t="shared" si="35"/>
        <v>error</v>
      </c>
    </row>
    <row r="47" spans="1:34" x14ac:dyDescent="0.25">
      <c r="A47" s="12">
        <v>1852</v>
      </c>
      <c r="B47" s="13">
        <v>44.4283</v>
      </c>
      <c r="C47" s="12">
        <v>89.574200000000005</v>
      </c>
      <c r="D47" s="14">
        <v>0</v>
      </c>
      <c r="T47" s="5">
        <f t="shared" si="21"/>
        <v>32722217.590151403</v>
      </c>
      <c r="U47" s="5">
        <f t="shared" si="22"/>
        <v>32722217.590151403</v>
      </c>
      <c r="V47" s="5" t="str">
        <f t="shared" si="23"/>
        <v>n/a</v>
      </c>
      <c r="W47" s="5" t="str">
        <f t="shared" si="24"/>
        <v>n/a</v>
      </c>
      <c r="X47" s="6" t="str">
        <f t="shared" si="25"/>
        <v>n/a</v>
      </c>
      <c r="Y47" s="16" t="str">
        <f t="shared" si="26"/>
        <v>error</v>
      </c>
      <c r="Z47" s="16" t="str">
        <f t="shared" si="27"/>
        <v>error</v>
      </c>
      <c r="AA47" s="16" t="str">
        <f t="shared" si="28"/>
        <v>error</v>
      </c>
      <c r="AB47" s="16" t="str">
        <f t="shared" si="29"/>
        <v>error</v>
      </c>
      <c r="AC47" s="18" t="str">
        <f t="shared" si="30"/>
        <v>error</v>
      </c>
      <c r="AD47" s="16" t="str">
        <f t="shared" si="31"/>
        <v>error</v>
      </c>
      <c r="AE47" s="16" t="str">
        <f t="shared" si="32"/>
        <v>error</v>
      </c>
      <c r="AF47" s="16" t="str">
        <f t="shared" si="33"/>
        <v>error</v>
      </c>
      <c r="AG47" s="16" t="str">
        <f t="shared" si="34"/>
        <v>error</v>
      </c>
      <c r="AH47" s="16" t="str">
        <f t="shared" si="35"/>
        <v>error</v>
      </c>
    </row>
    <row r="48" spans="1:34" x14ac:dyDescent="0.25">
      <c r="A48" s="12">
        <v>1860</v>
      </c>
      <c r="B48" s="13">
        <v>44.530278299999999</v>
      </c>
      <c r="C48" s="12">
        <v>89.4486378</v>
      </c>
      <c r="D48" s="14">
        <v>4</v>
      </c>
      <c r="E48" s="13" t="s">
        <v>42</v>
      </c>
      <c r="F48" s="13">
        <v>44.475769999999997</v>
      </c>
      <c r="G48" s="12">
        <v>89.479730000000004</v>
      </c>
      <c r="H48" s="13" t="s">
        <v>40</v>
      </c>
      <c r="I48" s="13">
        <v>44.551259999999999</v>
      </c>
      <c r="J48" s="12">
        <v>89.469080000000005</v>
      </c>
      <c r="K48" s="13" t="s">
        <v>39</v>
      </c>
      <c r="L48" s="13">
        <v>44.534610000000001</v>
      </c>
      <c r="M48" s="12">
        <v>89.521129999999999</v>
      </c>
      <c r="N48" s="13" t="s">
        <v>41</v>
      </c>
      <c r="O48" s="13">
        <v>44.528460000000003</v>
      </c>
      <c r="P48" s="12">
        <v>89.339870000000005</v>
      </c>
      <c r="T48" s="5">
        <f t="shared" si="21"/>
        <v>21467.926695360649</v>
      </c>
      <c r="U48" s="5">
        <f t="shared" si="22"/>
        <v>9318.9682272680166</v>
      </c>
      <c r="V48" s="5">
        <f t="shared" si="23"/>
        <v>18918.293373237248</v>
      </c>
      <c r="W48" s="5">
        <f t="shared" si="24"/>
        <v>28295.207159755715</v>
      </c>
      <c r="X48" s="6" t="str">
        <f t="shared" si="25"/>
        <v>n/a</v>
      </c>
      <c r="Y48" s="16">
        <f t="shared" si="26"/>
        <v>0.19241263468065123</v>
      </c>
      <c r="Z48" s="16">
        <f t="shared" si="27"/>
        <v>0.44325726151728717</v>
      </c>
      <c r="AA48" s="16">
        <f t="shared" si="28"/>
        <v>0.21834423724652258</v>
      </c>
      <c r="AB48" s="16">
        <f t="shared" si="29"/>
        <v>0.145985866555539</v>
      </c>
      <c r="AC48" s="18" t="e">
        <f t="shared" si="30"/>
        <v>#VALUE!</v>
      </c>
      <c r="AD48" s="16">
        <f t="shared" si="31"/>
        <v>0.1223946185119219</v>
      </c>
      <c r="AE48" s="16">
        <f t="shared" si="32"/>
        <v>0.64954144678192838</v>
      </c>
      <c r="AF48" s="16">
        <f t="shared" si="33"/>
        <v>0.15760813081087549</v>
      </c>
      <c r="AG48" s="16">
        <f t="shared" si="34"/>
        <v>7.0455803895274269E-2</v>
      </c>
      <c r="AH48" s="16" t="e">
        <f t="shared" si="35"/>
        <v>#VALUE!</v>
      </c>
    </row>
    <row r="49" spans="1:34" x14ac:dyDescent="0.25">
      <c r="A49" s="12">
        <v>2151</v>
      </c>
      <c r="B49" s="13">
        <v>44.488644999999998</v>
      </c>
      <c r="C49" s="12">
        <v>89.546806700000005</v>
      </c>
      <c r="D49" s="13">
        <v>0</v>
      </c>
      <c r="T49" s="5">
        <f t="shared" si="21"/>
        <v>32715203.077800088</v>
      </c>
      <c r="U49" s="5">
        <f t="shared" si="22"/>
        <v>32715203.077800088</v>
      </c>
      <c r="V49" s="5" t="str">
        <f t="shared" si="23"/>
        <v>n/a</v>
      </c>
      <c r="W49" s="5" t="str">
        <f t="shared" si="24"/>
        <v>n/a</v>
      </c>
      <c r="X49" s="6" t="str">
        <f t="shared" si="25"/>
        <v>n/a</v>
      </c>
      <c r="Y49" s="16" t="str">
        <f t="shared" si="26"/>
        <v>error</v>
      </c>
      <c r="Z49" s="16" t="str">
        <f t="shared" si="27"/>
        <v>error</v>
      </c>
      <c r="AA49" s="16" t="str">
        <f t="shared" si="28"/>
        <v>error</v>
      </c>
      <c r="AB49" s="16" t="str">
        <f t="shared" si="29"/>
        <v>error</v>
      </c>
      <c r="AC49" s="18" t="str">
        <f t="shared" si="30"/>
        <v>error</v>
      </c>
      <c r="AD49" s="16" t="str">
        <f t="shared" si="31"/>
        <v>error</v>
      </c>
      <c r="AE49" s="16" t="str">
        <f t="shared" si="32"/>
        <v>error</v>
      </c>
      <c r="AF49" s="16" t="str">
        <f t="shared" si="33"/>
        <v>error</v>
      </c>
      <c r="AG49" s="16" t="str">
        <f t="shared" si="34"/>
        <v>error</v>
      </c>
      <c r="AH49" s="16" t="str">
        <f t="shared" si="35"/>
        <v>error</v>
      </c>
    </row>
    <row r="50" spans="1:34" x14ac:dyDescent="0.25">
      <c r="A50" s="12">
        <v>2159</v>
      </c>
      <c r="B50" s="13">
        <v>44.418438299999998</v>
      </c>
      <c r="C50" s="12">
        <v>89.497368300000005</v>
      </c>
      <c r="D50" s="14">
        <v>3</v>
      </c>
      <c r="E50" s="13" t="s">
        <v>42</v>
      </c>
      <c r="F50" s="13">
        <v>44.468649999999997</v>
      </c>
      <c r="G50" s="12">
        <v>89.498069999999998</v>
      </c>
      <c r="H50" s="13" t="s">
        <v>44</v>
      </c>
      <c r="I50" s="13">
        <v>44.396560000000001</v>
      </c>
      <c r="J50" s="12">
        <v>89.494640000000004</v>
      </c>
      <c r="K50" s="13" t="s">
        <v>50</v>
      </c>
      <c r="L50" s="13">
        <v>44.41048</v>
      </c>
      <c r="M50" s="12">
        <v>89.549909999999997</v>
      </c>
      <c r="T50" s="5">
        <f t="shared" si="21"/>
        <v>18318.780131289048</v>
      </c>
      <c r="U50" s="5">
        <f t="shared" si="22"/>
        <v>8013.09187418888</v>
      </c>
      <c r="V50" s="5">
        <f t="shared" si="23"/>
        <v>13995.979362353955</v>
      </c>
      <c r="W50" s="5" t="str">
        <f t="shared" si="24"/>
        <v>n/a</v>
      </c>
      <c r="X50" s="6" t="str">
        <f t="shared" si="25"/>
        <v>n/a</v>
      </c>
      <c r="Y50" s="16">
        <f t="shared" si="26"/>
        <v>0.21762944186843944</v>
      </c>
      <c r="Z50" s="16">
        <f t="shared" si="27"/>
        <v>0.49752404668224837</v>
      </c>
      <c r="AA50" s="16">
        <f t="shared" si="28"/>
        <v>0.28484651144931222</v>
      </c>
      <c r="AB50" s="16" t="e">
        <f t="shared" si="29"/>
        <v>#VALUE!</v>
      </c>
      <c r="AC50" s="18" t="e">
        <f t="shared" si="30"/>
        <v>#VALUE!</v>
      </c>
      <c r="AD50" s="16">
        <f t="shared" si="31"/>
        <v>0.12595414710267722</v>
      </c>
      <c r="AE50" s="16">
        <f t="shared" si="32"/>
        <v>0.65827191635965621</v>
      </c>
      <c r="AF50" s="16">
        <f t="shared" si="33"/>
        <v>0.21577393653766658</v>
      </c>
      <c r="AG50" s="16" t="e">
        <f t="shared" si="34"/>
        <v>#VALUE!</v>
      </c>
      <c r="AH50" s="16" t="e">
        <f t="shared" si="35"/>
        <v>#VALUE!</v>
      </c>
    </row>
    <row r="51" spans="1:34" x14ac:dyDescent="0.25">
      <c r="A51" s="12">
        <v>2361</v>
      </c>
      <c r="B51" s="13">
        <v>44.444505100000001</v>
      </c>
      <c r="C51" s="12">
        <v>89.596932100000004</v>
      </c>
      <c r="D51" s="14">
        <v>0</v>
      </c>
      <c r="T51" s="5">
        <f t="shared" si="21"/>
        <v>32728168.858117785</v>
      </c>
      <c r="U51" s="5">
        <f t="shared" si="22"/>
        <v>32728168.858117785</v>
      </c>
      <c r="V51" s="5" t="str">
        <f t="shared" si="23"/>
        <v>n/a</v>
      </c>
      <c r="W51" s="5" t="str">
        <f t="shared" si="24"/>
        <v>n/a</v>
      </c>
      <c r="X51" s="6" t="str">
        <f t="shared" si="25"/>
        <v>n/a</v>
      </c>
      <c r="Y51" s="16" t="str">
        <f t="shared" si="26"/>
        <v>error</v>
      </c>
      <c r="Z51" s="16" t="str">
        <f t="shared" si="27"/>
        <v>error</v>
      </c>
      <c r="AA51" s="16" t="str">
        <f t="shared" si="28"/>
        <v>error</v>
      </c>
      <c r="AB51" s="16" t="str">
        <f t="shared" si="29"/>
        <v>error</v>
      </c>
      <c r="AC51" s="18" t="str">
        <f t="shared" si="30"/>
        <v>error</v>
      </c>
      <c r="AD51" s="16" t="str">
        <f t="shared" si="31"/>
        <v>error</v>
      </c>
      <c r="AE51" s="16" t="str">
        <f t="shared" si="32"/>
        <v>error</v>
      </c>
      <c r="AF51" s="16" t="str">
        <f t="shared" si="33"/>
        <v>error</v>
      </c>
      <c r="AG51" s="16" t="str">
        <f t="shared" si="34"/>
        <v>error</v>
      </c>
      <c r="AH51" s="16" t="str">
        <f t="shared" si="35"/>
        <v>error</v>
      </c>
    </row>
    <row r="52" spans="1:34" x14ac:dyDescent="0.25">
      <c r="A52" s="12">
        <v>2522</v>
      </c>
      <c r="B52" s="13">
        <v>44.491093499999998</v>
      </c>
      <c r="C52" s="12">
        <v>89.539233300000006</v>
      </c>
      <c r="D52" s="13">
        <v>0</v>
      </c>
      <c r="T52" s="5">
        <f t="shared" si="21"/>
        <v>32713237.138527937</v>
      </c>
      <c r="U52" s="5">
        <f t="shared" si="22"/>
        <v>32713237.138527937</v>
      </c>
      <c r="V52" s="5" t="str">
        <f t="shared" si="23"/>
        <v>n/a</v>
      </c>
      <c r="W52" s="5" t="str">
        <f t="shared" si="24"/>
        <v>n/a</v>
      </c>
      <c r="X52" s="6" t="str">
        <f t="shared" si="25"/>
        <v>n/a</v>
      </c>
      <c r="Y52" s="16" t="str">
        <f t="shared" si="26"/>
        <v>error</v>
      </c>
      <c r="Z52" s="16" t="str">
        <f t="shared" si="27"/>
        <v>error</v>
      </c>
      <c r="AA52" s="16" t="str">
        <f t="shared" si="28"/>
        <v>error</v>
      </c>
      <c r="AB52" s="16" t="str">
        <f t="shared" si="29"/>
        <v>error</v>
      </c>
      <c r="AC52" s="18" t="str">
        <f t="shared" si="30"/>
        <v>error</v>
      </c>
      <c r="AD52" s="16" t="str">
        <f t="shared" si="31"/>
        <v>error</v>
      </c>
      <c r="AE52" s="16" t="str">
        <f t="shared" si="32"/>
        <v>error</v>
      </c>
      <c r="AF52" s="16" t="str">
        <f t="shared" si="33"/>
        <v>error</v>
      </c>
      <c r="AG52" s="16" t="str">
        <f t="shared" si="34"/>
        <v>error</v>
      </c>
      <c r="AH52" s="16" t="str">
        <f t="shared" si="35"/>
        <v>error</v>
      </c>
    </row>
    <row r="53" spans="1:34" x14ac:dyDescent="0.25">
      <c r="A53" s="12">
        <v>2544</v>
      </c>
      <c r="B53" s="13">
        <v>44.506588700000002</v>
      </c>
      <c r="C53" s="12">
        <v>89.506304799999995</v>
      </c>
      <c r="D53" s="14">
        <v>2</v>
      </c>
      <c r="E53" s="13" t="s">
        <v>42</v>
      </c>
      <c r="F53" s="13">
        <v>44.48254</v>
      </c>
      <c r="G53" s="12">
        <v>89.479399999999998</v>
      </c>
      <c r="H53" s="13" t="s">
        <v>39</v>
      </c>
      <c r="I53" s="13">
        <v>44.50929</v>
      </c>
      <c r="J53" s="12">
        <v>89.53931</v>
      </c>
      <c r="T53" s="5">
        <f t="shared" si="21"/>
        <v>11224.496718309261</v>
      </c>
      <c r="U53" s="5">
        <f t="shared" si="22"/>
        <v>8643.241241894686</v>
      </c>
      <c r="V53" s="5" t="str">
        <f t="shared" si="23"/>
        <v>n/a</v>
      </c>
      <c r="W53" s="5" t="str">
        <f t="shared" si="24"/>
        <v>n/a</v>
      </c>
      <c r="X53" s="6" t="str">
        <f t="shared" si="25"/>
        <v>n/a</v>
      </c>
      <c r="Y53" s="16">
        <f t="shared" si="26"/>
        <v>0.43503901950023305</v>
      </c>
      <c r="Z53" s="16">
        <f t="shared" si="27"/>
        <v>0.56496098049976684</v>
      </c>
      <c r="AA53" s="16" t="e">
        <f t="shared" si="28"/>
        <v>#VALUE!</v>
      </c>
      <c r="AB53" s="16" t="e">
        <f t="shared" si="29"/>
        <v>#VALUE!</v>
      </c>
      <c r="AC53" s="18" t="e">
        <f t="shared" si="30"/>
        <v>#VALUE!</v>
      </c>
      <c r="AD53" s="16">
        <f t="shared" si="31"/>
        <v>0.37223468128857173</v>
      </c>
      <c r="AE53" s="16">
        <f t="shared" si="32"/>
        <v>0.62776531871142827</v>
      </c>
      <c r="AF53" s="16" t="e">
        <f t="shared" si="33"/>
        <v>#VALUE!</v>
      </c>
      <c r="AG53" s="16" t="e">
        <f t="shared" si="34"/>
        <v>#VALUE!</v>
      </c>
      <c r="AH53" s="16" t="e">
        <f t="shared" si="35"/>
        <v>#VALUE!</v>
      </c>
    </row>
    <row r="54" spans="1:34" x14ac:dyDescent="0.25">
      <c r="A54" s="12">
        <v>2602</v>
      </c>
      <c r="B54" s="13">
        <v>44.441306300000001</v>
      </c>
      <c r="C54" s="12">
        <v>89.5010178</v>
      </c>
      <c r="D54" s="13">
        <v>0</v>
      </c>
      <c r="T54" s="5">
        <f t="shared" si="21"/>
        <v>32703181.205087375</v>
      </c>
      <c r="U54" s="5">
        <f t="shared" si="22"/>
        <v>32703181.205087375</v>
      </c>
      <c r="V54" s="5" t="str">
        <f t="shared" si="23"/>
        <v>n/a</v>
      </c>
      <c r="W54" s="5" t="str">
        <f t="shared" si="24"/>
        <v>n/a</v>
      </c>
      <c r="X54" s="6" t="str">
        <f t="shared" si="25"/>
        <v>n/a</v>
      </c>
      <c r="Y54" s="16" t="str">
        <f t="shared" si="26"/>
        <v>error</v>
      </c>
      <c r="Z54" s="16" t="str">
        <f t="shared" si="27"/>
        <v>error</v>
      </c>
      <c r="AA54" s="16" t="str">
        <f t="shared" si="28"/>
        <v>error</v>
      </c>
      <c r="AB54" s="16" t="str">
        <f t="shared" si="29"/>
        <v>error</v>
      </c>
      <c r="AC54" s="18" t="str">
        <f t="shared" si="30"/>
        <v>error</v>
      </c>
      <c r="AD54" s="16" t="str">
        <f t="shared" si="31"/>
        <v>error</v>
      </c>
      <c r="AE54" s="16" t="str">
        <f t="shared" si="32"/>
        <v>error</v>
      </c>
      <c r="AF54" s="16" t="str">
        <f t="shared" si="33"/>
        <v>error</v>
      </c>
      <c r="AG54" s="16" t="str">
        <f t="shared" si="34"/>
        <v>error</v>
      </c>
      <c r="AH54" s="16" t="str">
        <f t="shared" si="35"/>
        <v>error</v>
      </c>
    </row>
    <row r="55" spans="1:34" x14ac:dyDescent="0.25">
      <c r="A55" s="12">
        <v>2603</v>
      </c>
      <c r="B55" s="13">
        <v>44.437980000000003</v>
      </c>
      <c r="C55" s="12">
        <v>89.505650000000003</v>
      </c>
      <c r="D55" s="13">
        <v>0</v>
      </c>
      <c r="T55" s="5">
        <f t="shared" si="21"/>
        <v>32704380.376627892</v>
      </c>
      <c r="U55" s="5">
        <f t="shared" si="22"/>
        <v>32704380.376627892</v>
      </c>
      <c r="V55" s="5" t="str">
        <f t="shared" si="23"/>
        <v>n/a</v>
      </c>
      <c r="W55" s="5" t="str">
        <f t="shared" si="24"/>
        <v>n/a</v>
      </c>
      <c r="X55" s="6" t="str">
        <f t="shared" si="25"/>
        <v>n/a</v>
      </c>
      <c r="Y55" s="16" t="str">
        <f t="shared" si="26"/>
        <v>error</v>
      </c>
      <c r="Z55" s="16" t="str">
        <f t="shared" si="27"/>
        <v>error</v>
      </c>
      <c r="AA55" s="16" t="str">
        <f t="shared" si="28"/>
        <v>error</v>
      </c>
      <c r="AB55" s="16" t="str">
        <f t="shared" si="29"/>
        <v>error</v>
      </c>
      <c r="AC55" s="18" t="str">
        <f t="shared" si="30"/>
        <v>error</v>
      </c>
      <c r="AD55" s="16" t="str">
        <f t="shared" si="31"/>
        <v>error</v>
      </c>
      <c r="AE55" s="16" t="str">
        <f t="shared" si="32"/>
        <v>error</v>
      </c>
      <c r="AF55" s="16" t="str">
        <f t="shared" si="33"/>
        <v>error</v>
      </c>
      <c r="AG55" s="16" t="str">
        <f t="shared" si="34"/>
        <v>error</v>
      </c>
      <c r="AH55" s="16" t="str">
        <f t="shared" si="35"/>
        <v>error</v>
      </c>
    </row>
    <row r="56" spans="1:34" x14ac:dyDescent="0.25">
      <c r="A56" s="12">
        <v>2615</v>
      </c>
      <c r="B56" s="13">
        <v>44.459072800000001</v>
      </c>
      <c r="C56" s="12">
        <v>89.603034500000007</v>
      </c>
      <c r="D56" s="13">
        <v>0</v>
      </c>
      <c r="T56" s="5">
        <f t="shared" si="21"/>
        <v>32729783.997565586</v>
      </c>
      <c r="U56" s="5">
        <f t="shared" si="22"/>
        <v>32729783.997565586</v>
      </c>
      <c r="V56" s="5" t="str">
        <f t="shared" si="23"/>
        <v>n/a</v>
      </c>
      <c r="W56" s="5" t="str">
        <f t="shared" si="24"/>
        <v>n/a</v>
      </c>
      <c r="X56" s="6" t="str">
        <f t="shared" si="25"/>
        <v>n/a</v>
      </c>
      <c r="Y56" s="16" t="str">
        <f t="shared" si="26"/>
        <v>error</v>
      </c>
      <c r="Z56" s="16" t="str">
        <f t="shared" si="27"/>
        <v>error</v>
      </c>
      <c r="AA56" s="16" t="str">
        <f t="shared" si="28"/>
        <v>error</v>
      </c>
      <c r="AB56" s="16" t="str">
        <f t="shared" si="29"/>
        <v>error</v>
      </c>
      <c r="AC56" s="18" t="str">
        <f t="shared" si="30"/>
        <v>error</v>
      </c>
      <c r="AD56" s="16" t="str">
        <f t="shared" si="31"/>
        <v>error</v>
      </c>
      <c r="AE56" s="16" t="str">
        <f t="shared" si="32"/>
        <v>error</v>
      </c>
      <c r="AF56" s="16" t="str">
        <f t="shared" si="33"/>
        <v>error</v>
      </c>
      <c r="AG56" s="16" t="str">
        <f t="shared" si="34"/>
        <v>error</v>
      </c>
      <c r="AH56" s="16" t="str">
        <f t="shared" si="35"/>
        <v>error</v>
      </c>
    </row>
    <row r="57" spans="1:34" x14ac:dyDescent="0.25">
      <c r="A57" s="12">
        <v>2750</v>
      </c>
      <c r="B57" s="13">
        <v>44.402859999999997</v>
      </c>
      <c r="C57" s="12">
        <v>89.434233300000002</v>
      </c>
      <c r="D57" s="14">
        <v>5</v>
      </c>
      <c r="E57" s="13" t="s">
        <v>42</v>
      </c>
      <c r="F57" s="13">
        <v>44.467849999999999</v>
      </c>
      <c r="G57" s="12">
        <v>89.487679999999997</v>
      </c>
      <c r="H57" s="13" t="s">
        <v>44</v>
      </c>
      <c r="I57" s="13">
        <v>44.400129999999997</v>
      </c>
      <c r="J57" s="12">
        <v>89.480549999999994</v>
      </c>
      <c r="K57" s="13" t="s">
        <v>51</v>
      </c>
      <c r="L57" s="13">
        <v>44.37968</v>
      </c>
      <c r="M57" s="12">
        <v>89.436890000000005</v>
      </c>
      <c r="N57" s="13" t="s">
        <v>46</v>
      </c>
      <c r="O57" s="13">
        <v>44.382379999999998</v>
      </c>
      <c r="P57" s="12">
        <v>89.367450000000005</v>
      </c>
      <c r="Q57" s="13" t="s">
        <v>43</v>
      </c>
      <c r="R57" s="13">
        <v>44.436579999999999</v>
      </c>
      <c r="S57" s="12">
        <v>89.376000000000005</v>
      </c>
      <c r="T57" s="5">
        <f t="shared" si="21"/>
        <v>27494.694649217534</v>
      </c>
      <c r="U57" s="5">
        <f t="shared" si="22"/>
        <v>12113.093533138019</v>
      </c>
      <c r="V57" s="5">
        <f t="shared" si="23"/>
        <v>8484.6725905087751</v>
      </c>
      <c r="W57" s="5">
        <f t="shared" si="24"/>
        <v>18944.676644834621</v>
      </c>
      <c r="X57" s="6">
        <f t="shared" si="25"/>
        <v>19533.462455624485</v>
      </c>
      <c r="Y57" s="16">
        <f t="shared" si="26"/>
        <v>0.10673235774223354</v>
      </c>
      <c r="Z57" s="16">
        <f t="shared" si="27"/>
        <v>0.24226458561436778</v>
      </c>
      <c r="AA57" s="16">
        <f t="shared" si="28"/>
        <v>0.34586762824489747</v>
      </c>
      <c r="AB57" s="16">
        <f t="shared" si="29"/>
        <v>0.15490227890027825</v>
      </c>
      <c r="AC57" s="18">
        <f t="shared" si="30"/>
        <v>0.15023314949822303</v>
      </c>
      <c r="AD57" s="16">
        <f t="shared" si="31"/>
        <v>4.821453757039261E-2</v>
      </c>
      <c r="AE57" s="16">
        <f t="shared" si="32"/>
        <v>0.24840805024144616</v>
      </c>
      <c r="AF57" s="16">
        <f t="shared" si="33"/>
        <v>0.5062973227995069</v>
      </c>
      <c r="AG57" s="16">
        <f t="shared" si="34"/>
        <v>0.10155502409513451</v>
      </c>
      <c r="AH57" s="16">
        <f t="shared" si="35"/>
        <v>9.5525065293519951E-2</v>
      </c>
    </row>
    <row r="58" spans="1:34" x14ac:dyDescent="0.25">
      <c r="A58" s="12">
        <v>2772</v>
      </c>
      <c r="B58" s="13">
        <v>44.501399999999997</v>
      </c>
      <c r="C58" s="12">
        <v>89.407799999999995</v>
      </c>
      <c r="D58" s="13">
        <v>0</v>
      </c>
      <c r="T58" s="5">
        <f t="shared" si="21"/>
        <v>32679060.54449904</v>
      </c>
      <c r="U58" s="5">
        <f t="shared" si="22"/>
        <v>32679060.54449904</v>
      </c>
      <c r="V58" s="5" t="str">
        <f t="shared" si="23"/>
        <v>n/a</v>
      </c>
      <c r="W58" s="5" t="str">
        <f t="shared" si="24"/>
        <v>n/a</v>
      </c>
      <c r="X58" s="6" t="str">
        <f t="shared" si="25"/>
        <v>n/a</v>
      </c>
      <c r="Y58" s="16" t="str">
        <f t="shared" si="26"/>
        <v>error</v>
      </c>
      <c r="Z58" s="16" t="str">
        <f t="shared" si="27"/>
        <v>error</v>
      </c>
      <c r="AA58" s="16" t="str">
        <f t="shared" si="28"/>
        <v>error</v>
      </c>
      <c r="AB58" s="16" t="str">
        <f t="shared" si="29"/>
        <v>error</v>
      </c>
      <c r="AC58" s="18" t="str">
        <f t="shared" si="30"/>
        <v>error</v>
      </c>
      <c r="AD58" s="16" t="str">
        <f t="shared" si="31"/>
        <v>error</v>
      </c>
      <c r="AE58" s="16" t="str">
        <f t="shared" si="32"/>
        <v>error</v>
      </c>
      <c r="AF58" s="16" t="str">
        <f t="shared" si="33"/>
        <v>error</v>
      </c>
      <c r="AG58" s="16" t="str">
        <f t="shared" si="34"/>
        <v>error</v>
      </c>
      <c r="AH58" s="16" t="str">
        <f t="shared" si="35"/>
        <v>error</v>
      </c>
    </row>
    <row r="59" spans="1:34" x14ac:dyDescent="0.25">
      <c r="A59" s="12">
        <v>2886</v>
      </c>
      <c r="B59" s="13">
        <v>44.439935699999999</v>
      </c>
      <c r="C59" s="12">
        <v>89.519461899999996</v>
      </c>
      <c r="D59" s="14">
        <v>5</v>
      </c>
      <c r="E59" s="13" t="s">
        <v>42</v>
      </c>
      <c r="F59" s="13">
        <v>44.470669999999998</v>
      </c>
      <c r="G59" s="12">
        <v>89.514169999999993</v>
      </c>
      <c r="H59" s="13" t="s">
        <v>48</v>
      </c>
      <c r="I59" s="13">
        <v>44.462690000000002</v>
      </c>
      <c r="J59" s="12">
        <v>89.556100000000001</v>
      </c>
      <c r="K59" s="13" t="s">
        <v>50</v>
      </c>
      <c r="L59" s="13">
        <v>44.429989999999997</v>
      </c>
      <c r="M59" s="12">
        <v>89.568950000000001</v>
      </c>
      <c r="N59" s="13" t="s">
        <v>44</v>
      </c>
      <c r="O59" s="13">
        <v>44.396389999999997</v>
      </c>
      <c r="P59" s="12">
        <v>89.503820000000005</v>
      </c>
      <c r="Q59" s="13" t="s">
        <v>43</v>
      </c>
      <c r="R59" s="13">
        <v>44.436520000000002</v>
      </c>
      <c r="S59" s="12">
        <v>89.376499999999993</v>
      </c>
      <c r="T59" s="5">
        <f t="shared" si="21"/>
        <v>11296.628818933648</v>
      </c>
      <c r="U59" s="5">
        <f t="shared" si="22"/>
        <v>12646.892691566565</v>
      </c>
      <c r="V59" s="5">
        <f t="shared" si="23"/>
        <v>13392.173800318356</v>
      </c>
      <c r="W59" s="5">
        <f t="shared" si="24"/>
        <v>16400.542274571002</v>
      </c>
      <c r="X59" s="6">
        <f t="shared" si="25"/>
        <v>37259.322928492998</v>
      </c>
      <c r="Y59" s="16">
        <f t="shared" si="26"/>
        <v>0.26818685124389402</v>
      </c>
      <c r="Z59" s="16">
        <f t="shared" si="27"/>
        <v>0.23955349242751964</v>
      </c>
      <c r="AA59" s="16">
        <f t="shared" si="28"/>
        <v>0.22622222185832339</v>
      </c>
      <c r="AB59" s="16">
        <f t="shared" si="29"/>
        <v>0.18472604514536345</v>
      </c>
      <c r="AC59" s="18">
        <f t="shared" si="30"/>
        <v>8.1311389324899397E-2</v>
      </c>
      <c r="AD59" s="16">
        <f t="shared" si="31"/>
        <v>0.32512249610999083</v>
      </c>
      <c r="AE59" s="16">
        <f t="shared" si="32"/>
        <v>0.25940424065475276</v>
      </c>
      <c r="AF59" s="16">
        <f t="shared" si="33"/>
        <v>0.23133566070128209</v>
      </c>
      <c r="AG59" s="16">
        <f t="shared" si="34"/>
        <v>0.15425111881425646</v>
      </c>
      <c r="AH59" s="16">
        <f t="shared" si="35"/>
        <v>2.9886483719717982E-2</v>
      </c>
    </row>
    <row r="60" spans="1:34" x14ac:dyDescent="0.25">
      <c r="A60" s="12">
        <v>2974</v>
      </c>
      <c r="B60" s="13">
        <v>44.437246000000002</v>
      </c>
      <c r="C60" s="12">
        <v>89.664999899999998</v>
      </c>
      <c r="D60" s="14">
        <v>0</v>
      </c>
      <c r="T60" s="5">
        <f t="shared" si="21"/>
        <v>32745886.121760607</v>
      </c>
      <c r="U60" s="5">
        <f t="shared" si="22"/>
        <v>32745886.121760607</v>
      </c>
      <c r="V60" s="5" t="str">
        <f t="shared" si="23"/>
        <v>n/a</v>
      </c>
      <c r="W60" s="5" t="str">
        <f t="shared" si="24"/>
        <v>n/a</v>
      </c>
      <c r="X60" s="6" t="str">
        <f t="shared" si="25"/>
        <v>n/a</v>
      </c>
      <c r="Y60" s="16" t="str">
        <f t="shared" si="26"/>
        <v>error</v>
      </c>
      <c r="Z60" s="16" t="str">
        <f t="shared" si="27"/>
        <v>error</v>
      </c>
      <c r="AA60" s="16" t="str">
        <f t="shared" si="28"/>
        <v>error</v>
      </c>
      <c r="AB60" s="16" t="str">
        <f t="shared" si="29"/>
        <v>error</v>
      </c>
      <c r="AC60" s="18" t="str">
        <f t="shared" si="30"/>
        <v>error</v>
      </c>
      <c r="AD60" s="16" t="str">
        <f t="shared" si="31"/>
        <v>error</v>
      </c>
      <c r="AE60" s="16" t="str">
        <f t="shared" si="32"/>
        <v>error</v>
      </c>
      <c r="AF60" s="16" t="str">
        <f t="shared" si="33"/>
        <v>error</v>
      </c>
      <c r="AG60" s="16" t="str">
        <f t="shared" si="34"/>
        <v>error</v>
      </c>
      <c r="AH60" s="16" t="str">
        <f t="shared" si="35"/>
        <v>error</v>
      </c>
    </row>
    <row r="61" spans="1:34" x14ac:dyDescent="0.25">
      <c r="A61" s="12">
        <v>3239</v>
      </c>
      <c r="B61" s="13">
        <v>44.419312599999998</v>
      </c>
      <c r="C61" s="12">
        <v>89.592090799999994</v>
      </c>
      <c r="D61" s="14">
        <v>0</v>
      </c>
      <c r="T61" s="5">
        <f t="shared" si="21"/>
        <v>32726862.149321608</v>
      </c>
      <c r="U61" s="5">
        <f t="shared" si="22"/>
        <v>32726862.149321608</v>
      </c>
      <c r="V61" s="5" t="str">
        <f t="shared" si="23"/>
        <v>n/a</v>
      </c>
      <c r="W61" s="5" t="str">
        <f t="shared" si="24"/>
        <v>n/a</v>
      </c>
      <c r="X61" s="6" t="str">
        <f t="shared" si="25"/>
        <v>n/a</v>
      </c>
      <c r="Y61" s="16" t="str">
        <f t="shared" si="26"/>
        <v>error</v>
      </c>
      <c r="Z61" s="16" t="str">
        <f t="shared" si="27"/>
        <v>error</v>
      </c>
      <c r="AA61" s="16" t="str">
        <f t="shared" si="28"/>
        <v>error</v>
      </c>
      <c r="AB61" s="16" t="str">
        <f t="shared" si="29"/>
        <v>error</v>
      </c>
      <c r="AC61" s="18" t="str">
        <f t="shared" si="30"/>
        <v>error</v>
      </c>
      <c r="AD61" s="16" t="str">
        <f t="shared" si="31"/>
        <v>error</v>
      </c>
      <c r="AE61" s="16" t="str">
        <f t="shared" si="32"/>
        <v>error</v>
      </c>
      <c r="AF61" s="16" t="str">
        <f t="shared" si="33"/>
        <v>error</v>
      </c>
      <c r="AG61" s="16" t="str">
        <f t="shared" si="34"/>
        <v>error</v>
      </c>
      <c r="AH61" s="16" t="str">
        <f t="shared" si="35"/>
        <v>error</v>
      </c>
    </row>
    <row r="62" spans="1:34" x14ac:dyDescent="0.25">
      <c r="A62" s="12">
        <v>3356</v>
      </c>
      <c r="B62" s="13">
        <v>44.4101517</v>
      </c>
      <c r="C62" s="12">
        <v>89.489398300000005</v>
      </c>
      <c r="D62" s="14">
        <v>0</v>
      </c>
      <c r="T62" s="5">
        <f t="shared" si="21"/>
        <v>32700083.894062903</v>
      </c>
      <c r="U62" s="5">
        <f t="shared" si="22"/>
        <v>32700083.894062903</v>
      </c>
      <c r="V62" s="5" t="str">
        <f t="shared" si="23"/>
        <v>n/a</v>
      </c>
      <c r="W62" s="5" t="str">
        <f t="shared" si="24"/>
        <v>n/a</v>
      </c>
      <c r="X62" s="6" t="str">
        <f t="shared" si="25"/>
        <v>n/a</v>
      </c>
      <c r="Y62" s="16" t="str">
        <f t="shared" si="26"/>
        <v>error</v>
      </c>
      <c r="Z62" s="16" t="str">
        <f t="shared" si="27"/>
        <v>error</v>
      </c>
      <c r="AA62" s="16" t="str">
        <f t="shared" si="28"/>
        <v>error</v>
      </c>
      <c r="AB62" s="16" t="str">
        <f t="shared" si="29"/>
        <v>error</v>
      </c>
      <c r="AC62" s="18" t="str">
        <f t="shared" si="30"/>
        <v>error</v>
      </c>
      <c r="AD62" s="16" t="str">
        <f t="shared" si="31"/>
        <v>error</v>
      </c>
      <c r="AE62" s="16" t="str">
        <f t="shared" si="32"/>
        <v>error</v>
      </c>
      <c r="AF62" s="16" t="str">
        <f t="shared" si="33"/>
        <v>error</v>
      </c>
      <c r="AG62" s="16" t="str">
        <f t="shared" si="34"/>
        <v>error</v>
      </c>
      <c r="AH62" s="16" t="str">
        <f t="shared" si="35"/>
        <v>error</v>
      </c>
    </row>
    <row r="63" spans="1:34" x14ac:dyDescent="0.25">
      <c r="A63" s="12">
        <v>3357</v>
      </c>
      <c r="B63" s="13">
        <v>44.4101517</v>
      </c>
      <c r="C63" s="12">
        <v>89.489398300000005</v>
      </c>
      <c r="D63" s="13">
        <v>0</v>
      </c>
      <c r="T63" s="5">
        <f t="shared" si="21"/>
        <v>32700083.894062903</v>
      </c>
      <c r="U63" s="5">
        <f t="shared" si="22"/>
        <v>32700083.894062903</v>
      </c>
      <c r="V63" s="5" t="str">
        <f t="shared" si="23"/>
        <v>n/a</v>
      </c>
      <c r="W63" s="5" t="str">
        <f t="shared" si="24"/>
        <v>n/a</v>
      </c>
      <c r="X63" s="6" t="str">
        <f t="shared" si="25"/>
        <v>n/a</v>
      </c>
      <c r="Y63" s="16" t="str">
        <f t="shared" si="26"/>
        <v>error</v>
      </c>
      <c r="Z63" s="16" t="str">
        <f t="shared" si="27"/>
        <v>error</v>
      </c>
      <c r="AA63" s="16" t="str">
        <f t="shared" si="28"/>
        <v>error</v>
      </c>
      <c r="AB63" s="16" t="str">
        <f t="shared" si="29"/>
        <v>error</v>
      </c>
      <c r="AC63" s="18" t="str">
        <f t="shared" si="30"/>
        <v>error</v>
      </c>
      <c r="AD63" s="16" t="str">
        <f t="shared" si="31"/>
        <v>error</v>
      </c>
      <c r="AE63" s="16" t="str">
        <f t="shared" si="32"/>
        <v>error</v>
      </c>
      <c r="AF63" s="16" t="str">
        <f t="shared" si="33"/>
        <v>error</v>
      </c>
      <c r="AG63" s="16" t="str">
        <f t="shared" si="34"/>
        <v>error</v>
      </c>
      <c r="AH63" s="16" t="str">
        <f t="shared" si="35"/>
        <v>error</v>
      </c>
    </row>
    <row r="64" spans="1:34" x14ac:dyDescent="0.25">
      <c r="A64" s="12">
        <v>3358</v>
      </c>
      <c r="B64" s="13">
        <v>44.4101517</v>
      </c>
      <c r="C64" s="12">
        <v>89.489398300000005</v>
      </c>
      <c r="D64" s="13">
        <v>0</v>
      </c>
      <c r="T64" s="5">
        <f t="shared" si="21"/>
        <v>32700083.894062903</v>
      </c>
      <c r="U64" s="5">
        <f t="shared" si="22"/>
        <v>32700083.894062903</v>
      </c>
      <c r="V64" s="5" t="str">
        <f t="shared" si="23"/>
        <v>n/a</v>
      </c>
      <c r="W64" s="5" t="str">
        <f t="shared" si="24"/>
        <v>n/a</v>
      </c>
      <c r="X64" s="6" t="str">
        <f t="shared" si="25"/>
        <v>n/a</v>
      </c>
      <c r="Y64" s="16" t="str">
        <f t="shared" si="26"/>
        <v>error</v>
      </c>
      <c r="Z64" s="16" t="str">
        <f t="shared" si="27"/>
        <v>error</v>
      </c>
      <c r="AA64" s="16" t="str">
        <f t="shared" si="28"/>
        <v>error</v>
      </c>
      <c r="AB64" s="16" t="str">
        <f t="shared" si="29"/>
        <v>error</v>
      </c>
      <c r="AC64" s="18" t="str">
        <f t="shared" si="30"/>
        <v>error</v>
      </c>
      <c r="AD64" s="16" t="str">
        <f t="shared" si="31"/>
        <v>error</v>
      </c>
      <c r="AE64" s="16" t="str">
        <f t="shared" si="32"/>
        <v>error</v>
      </c>
      <c r="AF64" s="16" t="str">
        <f t="shared" si="33"/>
        <v>error</v>
      </c>
      <c r="AG64" s="16" t="str">
        <f t="shared" si="34"/>
        <v>error</v>
      </c>
      <c r="AH64" s="16" t="str">
        <f t="shared" si="35"/>
        <v>error</v>
      </c>
    </row>
    <row r="65" spans="1:34" x14ac:dyDescent="0.25">
      <c r="A65" s="12">
        <v>3359</v>
      </c>
      <c r="B65" s="13">
        <v>44.4101517</v>
      </c>
      <c r="C65" s="12">
        <v>89.489398300000005</v>
      </c>
      <c r="D65" s="13">
        <v>0</v>
      </c>
      <c r="T65" s="5">
        <f t="shared" si="21"/>
        <v>32700083.894062903</v>
      </c>
      <c r="U65" s="5">
        <f t="shared" si="22"/>
        <v>32700083.894062903</v>
      </c>
      <c r="V65" s="5" t="str">
        <f t="shared" si="23"/>
        <v>n/a</v>
      </c>
      <c r="W65" s="5" t="str">
        <f t="shared" si="24"/>
        <v>n/a</v>
      </c>
      <c r="X65" s="6" t="str">
        <f t="shared" si="25"/>
        <v>n/a</v>
      </c>
      <c r="Y65" s="16" t="str">
        <f t="shared" si="26"/>
        <v>error</v>
      </c>
      <c r="Z65" s="16" t="str">
        <f t="shared" si="27"/>
        <v>error</v>
      </c>
      <c r="AA65" s="16" t="str">
        <f t="shared" si="28"/>
        <v>error</v>
      </c>
      <c r="AB65" s="16" t="str">
        <f t="shared" si="29"/>
        <v>error</v>
      </c>
      <c r="AC65" s="18" t="str">
        <f t="shared" si="30"/>
        <v>error</v>
      </c>
      <c r="AD65" s="16" t="str">
        <f t="shared" si="31"/>
        <v>error</v>
      </c>
      <c r="AE65" s="16" t="str">
        <f t="shared" si="32"/>
        <v>error</v>
      </c>
      <c r="AF65" s="16" t="str">
        <f t="shared" si="33"/>
        <v>error</v>
      </c>
      <c r="AG65" s="16" t="str">
        <f t="shared" si="34"/>
        <v>error</v>
      </c>
      <c r="AH65" s="16" t="str">
        <f t="shared" si="35"/>
        <v>error</v>
      </c>
    </row>
    <row r="66" spans="1:34" x14ac:dyDescent="0.25">
      <c r="A66" s="12">
        <v>3360</v>
      </c>
      <c r="B66" s="13">
        <v>44.4101517</v>
      </c>
      <c r="C66" s="12">
        <v>89.489398300000005</v>
      </c>
      <c r="D66" s="13">
        <v>0</v>
      </c>
      <c r="T66" s="5">
        <f t="shared" si="21"/>
        <v>32700083.894062903</v>
      </c>
      <c r="U66" s="5">
        <f t="shared" si="22"/>
        <v>32700083.894062903</v>
      </c>
      <c r="V66" s="5" t="str">
        <f t="shared" si="23"/>
        <v>n/a</v>
      </c>
      <c r="W66" s="5" t="str">
        <f t="shared" si="24"/>
        <v>n/a</v>
      </c>
      <c r="X66" s="6" t="str">
        <f t="shared" si="25"/>
        <v>n/a</v>
      </c>
      <c r="Y66" s="16" t="str">
        <f t="shared" si="26"/>
        <v>error</v>
      </c>
      <c r="Z66" s="16" t="str">
        <f t="shared" si="27"/>
        <v>error</v>
      </c>
      <c r="AA66" s="16" t="str">
        <f t="shared" si="28"/>
        <v>error</v>
      </c>
      <c r="AB66" s="16" t="str">
        <f t="shared" si="29"/>
        <v>error</v>
      </c>
      <c r="AC66" s="18" t="str">
        <f t="shared" si="30"/>
        <v>error</v>
      </c>
      <c r="AD66" s="16" t="str">
        <f t="shared" si="31"/>
        <v>error</v>
      </c>
      <c r="AE66" s="16" t="str">
        <f t="shared" si="32"/>
        <v>error</v>
      </c>
      <c r="AF66" s="16" t="str">
        <f t="shared" si="33"/>
        <v>error</v>
      </c>
      <c r="AG66" s="16" t="str">
        <f t="shared" si="34"/>
        <v>error</v>
      </c>
      <c r="AH66" s="16" t="str">
        <f t="shared" si="35"/>
        <v>error</v>
      </c>
    </row>
    <row r="67" spans="1:34" x14ac:dyDescent="0.25">
      <c r="A67" s="12">
        <v>3363</v>
      </c>
      <c r="B67" s="13">
        <v>44.4209763</v>
      </c>
      <c r="C67" s="12">
        <v>89.662760199999994</v>
      </c>
      <c r="D67" s="13">
        <v>0</v>
      </c>
      <c r="T67" s="5">
        <f t="shared" si="21"/>
        <v>32745278.267664891</v>
      </c>
      <c r="U67" s="5">
        <f t="shared" si="22"/>
        <v>32745278.267664891</v>
      </c>
      <c r="V67" s="5" t="str">
        <f t="shared" si="23"/>
        <v>n/a</v>
      </c>
      <c r="W67" s="5" t="str">
        <f t="shared" si="24"/>
        <v>n/a</v>
      </c>
      <c r="X67" s="6" t="str">
        <f t="shared" si="25"/>
        <v>n/a</v>
      </c>
      <c r="Y67" s="16" t="str">
        <f t="shared" si="26"/>
        <v>error</v>
      </c>
      <c r="Z67" s="16" t="str">
        <f t="shared" si="27"/>
        <v>error</v>
      </c>
      <c r="AA67" s="16" t="str">
        <f t="shared" si="28"/>
        <v>error</v>
      </c>
      <c r="AB67" s="16" t="str">
        <f t="shared" si="29"/>
        <v>error</v>
      </c>
      <c r="AC67" s="18" t="str">
        <f t="shared" si="30"/>
        <v>error</v>
      </c>
      <c r="AD67" s="16" t="str">
        <f t="shared" si="31"/>
        <v>error</v>
      </c>
      <c r="AE67" s="16" t="str">
        <f t="shared" si="32"/>
        <v>error</v>
      </c>
      <c r="AF67" s="16" t="str">
        <f t="shared" si="33"/>
        <v>error</v>
      </c>
      <c r="AG67" s="16" t="str">
        <f t="shared" si="34"/>
        <v>error</v>
      </c>
      <c r="AH67" s="16" t="str">
        <f t="shared" si="35"/>
        <v>error</v>
      </c>
    </row>
    <row r="68" spans="1:34" x14ac:dyDescent="0.25">
      <c r="A68" s="12">
        <v>3457</v>
      </c>
      <c r="B68" s="13">
        <v>44.419232000000001</v>
      </c>
      <c r="C68" s="12">
        <v>89.655139000000005</v>
      </c>
      <c r="D68" s="14">
        <v>0</v>
      </c>
      <c r="T68" s="5">
        <f t="shared" si="21"/>
        <v>32743289.860238083</v>
      </c>
      <c r="U68" s="5">
        <f t="shared" si="22"/>
        <v>32743289.860238083</v>
      </c>
      <c r="V68" s="5" t="str">
        <f t="shared" si="23"/>
        <v>n/a</v>
      </c>
      <c r="W68" s="5" t="str">
        <f t="shared" si="24"/>
        <v>n/a</v>
      </c>
      <c r="X68" s="6" t="str">
        <f t="shared" si="25"/>
        <v>n/a</v>
      </c>
      <c r="Y68" s="16" t="str">
        <f t="shared" si="26"/>
        <v>error</v>
      </c>
      <c r="Z68" s="16" t="str">
        <f t="shared" si="27"/>
        <v>error</v>
      </c>
      <c r="AA68" s="16" t="str">
        <f t="shared" si="28"/>
        <v>error</v>
      </c>
      <c r="AB68" s="16" t="str">
        <f t="shared" si="29"/>
        <v>error</v>
      </c>
      <c r="AC68" s="18" t="str">
        <f t="shared" si="30"/>
        <v>error</v>
      </c>
      <c r="AD68" s="16" t="str">
        <f t="shared" si="31"/>
        <v>error</v>
      </c>
      <c r="AE68" s="16" t="str">
        <f t="shared" si="32"/>
        <v>error</v>
      </c>
      <c r="AF68" s="16" t="str">
        <f t="shared" si="33"/>
        <v>error</v>
      </c>
      <c r="AG68" s="16" t="str">
        <f t="shared" si="34"/>
        <v>error</v>
      </c>
      <c r="AH68" s="16" t="str">
        <f t="shared" si="35"/>
        <v>error</v>
      </c>
    </row>
    <row r="69" spans="1:34" x14ac:dyDescent="0.25">
      <c r="A69" s="12">
        <v>3473</v>
      </c>
      <c r="B69" s="13">
        <v>44.5484194</v>
      </c>
      <c r="C69" s="12">
        <v>89.448700299999999</v>
      </c>
      <c r="D69" s="14">
        <v>4</v>
      </c>
      <c r="E69" s="13" t="s">
        <v>42</v>
      </c>
      <c r="F69" s="13">
        <v>44.481119999999997</v>
      </c>
      <c r="G69" s="12">
        <v>89.479669999999999</v>
      </c>
      <c r="H69" s="13" t="s">
        <v>39</v>
      </c>
      <c r="I69" s="13">
        <v>44.558810000000001</v>
      </c>
      <c r="J69" s="12">
        <v>89.506240000000005</v>
      </c>
      <c r="K69" s="13" t="s">
        <v>40</v>
      </c>
      <c r="L69" s="13">
        <v>44.554780000000001</v>
      </c>
      <c r="M69" s="13">
        <v>89.461330000000004</v>
      </c>
      <c r="N69" s="13" t="s">
        <v>41</v>
      </c>
      <c r="O69" s="13">
        <v>44.54806</v>
      </c>
      <c r="P69" s="12">
        <v>89.354929999999996</v>
      </c>
      <c r="T69" s="5">
        <f t="shared" si="21"/>
        <v>25839.696362614399</v>
      </c>
      <c r="U69" s="5">
        <f t="shared" si="22"/>
        <v>15431.045515644628</v>
      </c>
      <c r="V69" s="5">
        <f t="shared" si="23"/>
        <v>4020.5637725572669</v>
      </c>
      <c r="W69" s="5">
        <f t="shared" si="24"/>
        <v>24379.455378946303</v>
      </c>
      <c r="X69" s="6" t="str">
        <f t="shared" si="25"/>
        <v>n/a</v>
      </c>
      <c r="Y69" s="16">
        <f t="shared" si="26"/>
        <v>9.8412538516134337E-2</v>
      </c>
      <c r="Z69" s="16">
        <f t="shared" si="27"/>
        <v>0.1647944146722177</v>
      </c>
      <c r="AA69" s="16">
        <f t="shared" si="28"/>
        <v>0.6324859540565303</v>
      </c>
      <c r="AB69" s="16">
        <f t="shared" si="29"/>
        <v>0.10430709275511774</v>
      </c>
      <c r="AC69" s="18" t="e">
        <f t="shared" si="30"/>
        <v>#VALUE!</v>
      </c>
      <c r="AD69" s="16">
        <f t="shared" si="31"/>
        <v>2.1629920182261012E-2</v>
      </c>
      <c r="AE69" s="16">
        <f t="shared" si="32"/>
        <v>6.0651147833683756E-2</v>
      </c>
      <c r="AF69" s="16">
        <f t="shared" si="33"/>
        <v>0.89342030523787941</v>
      </c>
      <c r="AG69" s="16">
        <f t="shared" si="34"/>
        <v>2.4298626746175903E-2</v>
      </c>
      <c r="AH69" s="16" t="e">
        <f t="shared" si="35"/>
        <v>#VALUE!</v>
      </c>
    </row>
    <row r="70" spans="1:34" x14ac:dyDescent="0.25">
      <c r="A70" s="12">
        <v>3476</v>
      </c>
      <c r="B70" s="13">
        <v>44.400786799999999</v>
      </c>
      <c r="C70" s="12">
        <v>89.695500999999993</v>
      </c>
      <c r="D70" s="14">
        <v>0</v>
      </c>
      <c r="T70" s="5">
        <f t="shared" si="21"/>
        <v>32753781.597773183</v>
      </c>
      <c r="U70" s="5">
        <f t="shared" si="22"/>
        <v>32753781.597773183</v>
      </c>
      <c r="V70" s="5" t="str">
        <f t="shared" si="23"/>
        <v>n/a</v>
      </c>
      <c r="W70" s="5" t="str">
        <f t="shared" si="24"/>
        <v>n/a</v>
      </c>
      <c r="X70" s="6" t="str">
        <f t="shared" si="25"/>
        <v>n/a</v>
      </c>
      <c r="Y70" s="16" t="str">
        <f t="shared" si="26"/>
        <v>error</v>
      </c>
      <c r="Z70" s="16" t="str">
        <f t="shared" si="27"/>
        <v>error</v>
      </c>
      <c r="AA70" s="16" t="str">
        <f t="shared" si="28"/>
        <v>error</v>
      </c>
      <c r="AB70" s="16" t="str">
        <f t="shared" si="29"/>
        <v>error</v>
      </c>
      <c r="AC70" s="18" t="str">
        <f t="shared" si="30"/>
        <v>error</v>
      </c>
      <c r="AD70" s="16" t="str">
        <f t="shared" si="31"/>
        <v>error</v>
      </c>
      <c r="AE70" s="16" t="str">
        <f t="shared" si="32"/>
        <v>error</v>
      </c>
      <c r="AF70" s="16" t="str">
        <f t="shared" si="33"/>
        <v>error</v>
      </c>
      <c r="AG70" s="16" t="str">
        <f t="shared" si="34"/>
        <v>error</v>
      </c>
      <c r="AH70" s="16" t="str">
        <f t="shared" si="35"/>
        <v>error</v>
      </c>
    </row>
    <row r="71" spans="1:34" x14ac:dyDescent="0.25">
      <c r="A71" s="12">
        <v>3519</v>
      </c>
      <c r="B71" s="13">
        <v>44.391800000000003</v>
      </c>
      <c r="C71" s="12">
        <v>89.6828</v>
      </c>
      <c r="D71" s="13">
        <v>0</v>
      </c>
      <c r="T71" s="5">
        <f t="shared" si="21"/>
        <v>32750458.468099121</v>
      </c>
      <c r="U71" s="5">
        <f t="shared" si="22"/>
        <v>32750458.468099121</v>
      </c>
      <c r="V71" s="5" t="str">
        <f t="shared" si="23"/>
        <v>n/a</v>
      </c>
      <c r="W71" s="5" t="str">
        <f t="shared" si="24"/>
        <v>n/a</v>
      </c>
      <c r="X71" s="6" t="str">
        <f t="shared" si="25"/>
        <v>n/a</v>
      </c>
      <c r="Y71" s="16" t="str">
        <f t="shared" si="26"/>
        <v>error</v>
      </c>
      <c r="Z71" s="16" t="str">
        <f t="shared" si="27"/>
        <v>error</v>
      </c>
      <c r="AA71" s="16" t="str">
        <f t="shared" si="28"/>
        <v>error</v>
      </c>
      <c r="AB71" s="16" t="str">
        <f t="shared" si="29"/>
        <v>error</v>
      </c>
      <c r="AC71" s="18" t="str">
        <f t="shared" si="30"/>
        <v>error</v>
      </c>
      <c r="AD71" s="16" t="str">
        <f t="shared" si="31"/>
        <v>error</v>
      </c>
      <c r="AE71" s="16" t="str">
        <f t="shared" si="32"/>
        <v>error</v>
      </c>
      <c r="AF71" s="16" t="str">
        <f t="shared" si="33"/>
        <v>error</v>
      </c>
      <c r="AG71" s="16" t="str">
        <f t="shared" si="34"/>
        <v>error</v>
      </c>
      <c r="AH71" s="16" t="str">
        <f t="shared" si="35"/>
        <v>error</v>
      </c>
    </row>
    <row r="72" spans="1:34" x14ac:dyDescent="0.25">
      <c r="A72" s="12">
        <v>3520</v>
      </c>
      <c r="B72" s="13">
        <v>44.426450699999997</v>
      </c>
      <c r="C72" s="12">
        <v>89.644874000000002</v>
      </c>
      <c r="D72" s="14">
        <v>0</v>
      </c>
      <c r="T72" s="5">
        <f t="shared" si="21"/>
        <v>32740626.629944418</v>
      </c>
      <c r="U72" s="5">
        <f t="shared" si="22"/>
        <v>32740626.629944418</v>
      </c>
      <c r="V72" s="5" t="str">
        <f t="shared" si="23"/>
        <v>n/a</v>
      </c>
      <c r="W72" s="5" t="str">
        <f t="shared" si="24"/>
        <v>n/a</v>
      </c>
      <c r="X72" s="6" t="str">
        <f t="shared" si="25"/>
        <v>n/a</v>
      </c>
      <c r="Y72" s="16" t="str">
        <f t="shared" si="26"/>
        <v>error</v>
      </c>
      <c r="Z72" s="16" t="str">
        <f t="shared" si="27"/>
        <v>error</v>
      </c>
      <c r="AA72" s="16" t="str">
        <f t="shared" si="28"/>
        <v>error</v>
      </c>
      <c r="AB72" s="16" t="str">
        <f t="shared" si="29"/>
        <v>error</v>
      </c>
      <c r="AC72" s="18" t="str">
        <f t="shared" si="30"/>
        <v>error</v>
      </c>
      <c r="AD72" s="16" t="str">
        <f t="shared" si="31"/>
        <v>error</v>
      </c>
      <c r="AE72" s="16" t="str">
        <f t="shared" si="32"/>
        <v>error</v>
      </c>
      <c r="AF72" s="16" t="str">
        <f t="shared" si="33"/>
        <v>error</v>
      </c>
      <c r="AG72" s="16" t="str">
        <f t="shared" si="34"/>
        <v>error</v>
      </c>
      <c r="AH72" s="16" t="str">
        <f t="shared" si="35"/>
        <v>error</v>
      </c>
    </row>
    <row r="73" spans="1:34" x14ac:dyDescent="0.25">
      <c r="A73" s="12">
        <v>3676</v>
      </c>
      <c r="B73" s="13">
        <v>44.413787200000002</v>
      </c>
      <c r="C73" s="12">
        <v>89.632297600000001</v>
      </c>
      <c r="D73" s="14">
        <v>0</v>
      </c>
      <c r="T73" s="5">
        <f t="shared" si="21"/>
        <v>32737329.370074388</v>
      </c>
      <c r="U73" s="5">
        <f t="shared" si="22"/>
        <v>32737329.370074388</v>
      </c>
      <c r="V73" s="5" t="str">
        <f t="shared" si="23"/>
        <v>n/a</v>
      </c>
      <c r="W73" s="5" t="str">
        <f t="shared" si="24"/>
        <v>n/a</v>
      </c>
      <c r="X73" s="6" t="str">
        <f t="shared" si="25"/>
        <v>n/a</v>
      </c>
      <c r="Y73" s="16" t="str">
        <f t="shared" si="26"/>
        <v>error</v>
      </c>
      <c r="Z73" s="16" t="str">
        <f t="shared" si="27"/>
        <v>error</v>
      </c>
      <c r="AA73" s="16" t="str">
        <f t="shared" si="28"/>
        <v>error</v>
      </c>
      <c r="AB73" s="16" t="str">
        <f t="shared" si="29"/>
        <v>error</v>
      </c>
      <c r="AC73" s="18" t="str">
        <f t="shared" si="30"/>
        <v>error</v>
      </c>
      <c r="AD73" s="16" t="str">
        <f t="shared" si="31"/>
        <v>error</v>
      </c>
      <c r="AE73" s="16" t="str">
        <f t="shared" si="32"/>
        <v>error</v>
      </c>
      <c r="AF73" s="16" t="str">
        <f t="shared" si="33"/>
        <v>error</v>
      </c>
      <c r="AG73" s="16" t="str">
        <f t="shared" si="34"/>
        <v>error</v>
      </c>
      <c r="AH73" s="16" t="str">
        <f t="shared" si="35"/>
        <v>error</v>
      </c>
    </row>
    <row r="74" spans="1:34" x14ac:dyDescent="0.25">
      <c r="A74" s="12">
        <v>3719</v>
      </c>
      <c r="B74" s="13">
        <v>44.423180000000002</v>
      </c>
      <c r="C74" s="12">
        <v>89.275540000000007</v>
      </c>
      <c r="D74" s="14">
        <v>0</v>
      </c>
      <c r="T74" s="5">
        <f t="shared" si="21"/>
        <v>32644395.330834098</v>
      </c>
      <c r="U74" s="5">
        <f t="shared" si="22"/>
        <v>32644395.330834098</v>
      </c>
      <c r="V74" s="5" t="str">
        <f t="shared" si="23"/>
        <v>n/a</v>
      </c>
      <c r="W74" s="5" t="str">
        <f t="shared" si="24"/>
        <v>n/a</v>
      </c>
      <c r="X74" s="6" t="str">
        <f t="shared" si="25"/>
        <v>n/a</v>
      </c>
      <c r="Y74" s="16" t="str">
        <f t="shared" si="26"/>
        <v>error</v>
      </c>
      <c r="Z74" s="16" t="str">
        <f t="shared" si="27"/>
        <v>error</v>
      </c>
      <c r="AA74" s="16" t="str">
        <f t="shared" si="28"/>
        <v>error</v>
      </c>
      <c r="AB74" s="16" t="str">
        <f t="shared" si="29"/>
        <v>error</v>
      </c>
      <c r="AC74" s="18" t="str">
        <f t="shared" si="30"/>
        <v>error</v>
      </c>
      <c r="AD74" s="16" t="str">
        <f t="shared" si="31"/>
        <v>error</v>
      </c>
      <c r="AE74" s="16" t="str">
        <f t="shared" si="32"/>
        <v>error</v>
      </c>
      <c r="AF74" s="16" t="str">
        <f t="shared" si="33"/>
        <v>error</v>
      </c>
      <c r="AG74" s="16" t="str">
        <f t="shared" si="34"/>
        <v>error</v>
      </c>
      <c r="AH74" s="16" t="str">
        <f t="shared" si="35"/>
        <v>error</v>
      </c>
    </row>
    <row r="75" spans="1:34" x14ac:dyDescent="0.25">
      <c r="A75" s="12">
        <v>3949</v>
      </c>
      <c r="B75" s="13">
        <v>44.508650000000003</v>
      </c>
      <c r="C75" s="12">
        <v>89.487695000000002</v>
      </c>
      <c r="D75" s="14">
        <v>3</v>
      </c>
      <c r="E75" s="13" t="s">
        <v>42</v>
      </c>
      <c r="F75" s="13">
        <v>44.48272</v>
      </c>
      <c r="G75" s="12">
        <v>89.479929999999996</v>
      </c>
      <c r="H75" s="13" t="s">
        <v>39</v>
      </c>
      <c r="I75" s="13">
        <v>44.51238</v>
      </c>
      <c r="J75" s="12">
        <v>89.53989</v>
      </c>
      <c r="K75" s="13" t="s">
        <v>41</v>
      </c>
      <c r="L75" s="13">
        <v>44.52478</v>
      </c>
      <c r="M75" s="12">
        <v>89.33896</v>
      </c>
      <c r="T75" s="5">
        <f t="shared" si="21"/>
        <v>9672.9961674193128</v>
      </c>
      <c r="U75" s="5">
        <f t="shared" si="22"/>
        <v>13646.849368516703</v>
      </c>
      <c r="V75" s="5">
        <f t="shared" si="23"/>
        <v>39135.096050435575</v>
      </c>
      <c r="W75" s="5" t="str">
        <f t="shared" si="24"/>
        <v>n/a</v>
      </c>
      <c r="X75" s="6" t="str">
        <f t="shared" si="25"/>
        <v>n/a</v>
      </c>
      <c r="Y75" s="16">
        <f t="shared" si="26"/>
        <v>0.51125336145397482</v>
      </c>
      <c r="Z75" s="16">
        <f t="shared" si="27"/>
        <v>0.36238047862779754</v>
      </c>
      <c r="AA75" s="16">
        <f t="shared" si="28"/>
        <v>0.12636615991822761</v>
      </c>
      <c r="AB75" s="16" t="e">
        <f t="shared" si="29"/>
        <v>#VALUE!</v>
      </c>
      <c r="AC75" s="18" t="e">
        <f t="shared" si="30"/>
        <v>#VALUE!</v>
      </c>
      <c r="AD75" s="16">
        <f t="shared" si="31"/>
        <v>0.63959005490529708</v>
      </c>
      <c r="AE75" s="16">
        <f t="shared" si="32"/>
        <v>0.32133567038266581</v>
      </c>
      <c r="AF75" s="16">
        <f t="shared" si="33"/>
        <v>3.907427471203722E-2</v>
      </c>
      <c r="AG75" s="16" t="e">
        <f t="shared" si="34"/>
        <v>#VALUE!</v>
      </c>
      <c r="AH75" s="16" t="e">
        <f t="shared" si="35"/>
        <v>#VALUE!</v>
      </c>
    </row>
    <row r="76" spans="1:34" x14ac:dyDescent="0.25">
      <c r="A76" s="12">
        <v>4153</v>
      </c>
      <c r="B76" s="13">
        <v>44.495638300000003</v>
      </c>
      <c r="C76" s="12">
        <v>89.478103300000001</v>
      </c>
      <c r="D76" s="13">
        <v>0</v>
      </c>
      <c r="T76" s="5">
        <f t="shared" si="21"/>
        <v>32697339.380068418</v>
      </c>
      <c r="U76" s="5">
        <f t="shared" si="22"/>
        <v>32697339.380068418</v>
      </c>
      <c r="V76" s="5" t="str">
        <f t="shared" si="23"/>
        <v>n/a</v>
      </c>
      <c r="W76" s="5" t="str">
        <f t="shared" si="24"/>
        <v>n/a</v>
      </c>
      <c r="X76" s="6" t="str">
        <f t="shared" si="25"/>
        <v>n/a</v>
      </c>
      <c r="Y76" s="16" t="str">
        <f t="shared" si="26"/>
        <v>error</v>
      </c>
      <c r="Z76" s="16" t="str">
        <f t="shared" si="27"/>
        <v>error</v>
      </c>
      <c r="AA76" s="16" t="str">
        <f t="shared" si="28"/>
        <v>error</v>
      </c>
      <c r="AB76" s="16" t="str">
        <f t="shared" si="29"/>
        <v>error</v>
      </c>
      <c r="AC76" s="18" t="str">
        <f t="shared" si="30"/>
        <v>error</v>
      </c>
      <c r="AD76" s="16" t="str">
        <f t="shared" si="31"/>
        <v>error</v>
      </c>
      <c r="AE76" s="16" t="str">
        <f t="shared" si="32"/>
        <v>error</v>
      </c>
      <c r="AF76" s="16" t="str">
        <f t="shared" si="33"/>
        <v>error</v>
      </c>
      <c r="AG76" s="16" t="str">
        <f t="shared" si="34"/>
        <v>error</v>
      </c>
      <c r="AH76" s="16" t="str">
        <f t="shared" si="35"/>
        <v>error</v>
      </c>
    </row>
    <row r="77" spans="1:34" x14ac:dyDescent="0.25">
      <c r="A77" s="12">
        <v>4154</v>
      </c>
      <c r="B77" s="13">
        <v>44.493346699999996</v>
      </c>
      <c r="C77" s="12">
        <v>89.486980099999997</v>
      </c>
      <c r="D77" s="13">
        <v>0</v>
      </c>
      <c r="T77" s="5">
        <f t="shared" si="21"/>
        <v>32699644.029139224</v>
      </c>
      <c r="U77" s="5">
        <f t="shared" si="22"/>
        <v>32699644.029139224</v>
      </c>
      <c r="V77" s="5" t="str">
        <f t="shared" si="23"/>
        <v>n/a</v>
      </c>
      <c r="W77" s="5" t="str">
        <f t="shared" si="24"/>
        <v>n/a</v>
      </c>
      <c r="X77" s="6" t="str">
        <f t="shared" si="25"/>
        <v>n/a</v>
      </c>
      <c r="Y77" s="16" t="str">
        <f t="shared" si="26"/>
        <v>error</v>
      </c>
      <c r="Z77" s="16" t="str">
        <f t="shared" si="27"/>
        <v>error</v>
      </c>
      <c r="AA77" s="16" t="str">
        <f t="shared" si="28"/>
        <v>error</v>
      </c>
      <c r="AB77" s="16" t="str">
        <f t="shared" si="29"/>
        <v>error</v>
      </c>
      <c r="AC77" s="18" t="str">
        <f t="shared" si="30"/>
        <v>error</v>
      </c>
      <c r="AD77" s="16" t="str">
        <f t="shared" si="31"/>
        <v>error</v>
      </c>
      <c r="AE77" s="16" t="str">
        <f t="shared" si="32"/>
        <v>error</v>
      </c>
      <c r="AF77" s="16" t="str">
        <f t="shared" si="33"/>
        <v>error</v>
      </c>
      <c r="AG77" s="16" t="str">
        <f t="shared" si="34"/>
        <v>error</v>
      </c>
      <c r="AH77" s="16" t="str">
        <f t="shared" si="35"/>
        <v>error</v>
      </c>
    </row>
    <row r="78" spans="1:34" x14ac:dyDescent="0.25">
      <c r="A78" s="12">
        <v>4171</v>
      </c>
      <c r="B78" s="13">
        <v>44.529069999999997</v>
      </c>
      <c r="C78" s="12">
        <v>89.497799999999998</v>
      </c>
      <c r="D78" s="14">
        <v>3</v>
      </c>
      <c r="E78" s="13" t="s">
        <v>42</v>
      </c>
      <c r="F78" s="13">
        <v>44.48272</v>
      </c>
      <c r="G78" s="12">
        <v>89.479929999999996</v>
      </c>
      <c r="H78" s="13" t="s">
        <v>39</v>
      </c>
      <c r="I78" s="13">
        <v>44.534509999999997</v>
      </c>
      <c r="J78" s="12">
        <v>89.521159999999995</v>
      </c>
      <c r="K78" s="13" t="s">
        <v>41</v>
      </c>
      <c r="L78" s="13">
        <v>44.547960000000003</v>
      </c>
      <c r="M78" s="12">
        <v>89.354939999999999</v>
      </c>
      <c r="T78" s="5">
        <f t="shared" si="21"/>
        <v>17536.623952870203</v>
      </c>
      <c r="U78" s="5">
        <f t="shared" si="22"/>
        <v>6390.9682862462741</v>
      </c>
      <c r="V78" s="5">
        <f t="shared" si="23"/>
        <v>37781.806726398238</v>
      </c>
      <c r="W78" s="5" t="str">
        <f t="shared" si="24"/>
        <v>n/a</v>
      </c>
      <c r="X78" s="6" t="str">
        <f t="shared" si="25"/>
        <v>n/a</v>
      </c>
      <c r="Y78" s="16">
        <f t="shared" si="26"/>
        <v>0.23763552383150552</v>
      </c>
      <c r="Z78" s="16">
        <f t="shared" si="27"/>
        <v>0.65206470015580531</v>
      </c>
      <c r="AA78" s="16">
        <f t="shared" si="28"/>
        <v>0.11029977601268916</v>
      </c>
      <c r="AB78" s="16" t="e">
        <f t="shared" si="29"/>
        <v>#VALUE!</v>
      </c>
      <c r="AC78" s="18" t="e">
        <f t="shared" si="30"/>
        <v>#VALUE!</v>
      </c>
      <c r="AD78" s="16">
        <f t="shared" si="31"/>
        <v>0.11435353776529435</v>
      </c>
      <c r="AE78" s="16">
        <f t="shared" si="32"/>
        <v>0.8610101250511053</v>
      </c>
      <c r="AF78" s="16">
        <f t="shared" si="33"/>
        <v>2.4636337183600417E-2</v>
      </c>
      <c r="AG78" s="16" t="e">
        <f t="shared" si="34"/>
        <v>#VALUE!</v>
      </c>
      <c r="AH78" s="16" t="e">
        <f t="shared" si="35"/>
        <v>#VALUE!</v>
      </c>
    </row>
    <row r="79" spans="1:34" x14ac:dyDescent="0.25">
      <c r="A79" s="12">
        <v>4172</v>
      </c>
      <c r="B79" s="13">
        <v>44.529051000000003</v>
      </c>
      <c r="C79" s="12">
        <v>89.496579400000002</v>
      </c>
      <c r="D79" s="14">
        <v>3</v>
      </c>
      <c r="E79" s="13" t="s">
        <v>42</v>
      </c>
      <c r="F79" s="13">
        <v>44.48272</v>
      </c>
      <c r="G79" s="12">
        <v>89.479929999999996</v>
      </c>
      <c r="H79" s="13" t="s">
        <v>39</v>
      </c>
      <c r="I79" s="13">
        <v>44.534509999999997</v>
      </c>
      <c r="J79" s="12">
        <v>89.521159999999995</v>
      </c>
      <c r="K79" s="13" t="s">
        <v>41</v>
      </c>
      <c r="L79" s="13">
        <v>44.547960000000003</v>
      </c>
      <c r="M79" s="12">
        <v>89.354939999999999</v>
      </c>
      <c r="T79" s="5">
        <f t="shared" si="21"/>
        <v>17448.40028202414</v>
      </c>
      <c r="U79" s="5">
        <f t="shared" si="22"/>
        <v>6695.4914125295018</v>
      </c>
      <c r="V79" s="5">
        <f t="shared" si="23"/>
        <v>37471.063499362273</v>
      </c>
      <c r="W79" s="5" t="str">
        <f t="shared" si="24"/>
        <v>n/a</v>
      </c>
      <c r="X79" s="6" t="str">
        <f t="shared" si="25"/>
        <v>n/a</v>
      </c>
      <c r="Y79" s="16">
        <f t="shared" si="26"/>
        <v>0.24560113206568246</v>
      </c>
      <c r="Z79" s="16">
        <f t="shared" si="27"/>
        <v>0.64003470364863524</v>
      </c>
      <c r="AA79" s="16">
        <f t="shared" si="28"/>
        <v>0.11436416428568233</v>
      </c>
      <c r="AB79" s="16" t="e">
        <f t="shared" si="29"/>
        <v>#VALUE!</v>
      </c>
      <c r="AC79" s="18" t="e">
        <f t="shared" si="30"/>
        <v>#VALUE!</v>
      </c>
      <c r="AD79" s="16">
        <f t="shared" si="31"/>
        <v>0.12487470811538558</v>
      </c>
      <c r="AE79" s="16">
        <f t="shared" si="32"/>
        <v>0.8480487199563308</v>
      </c>
      <c r="AF79" s="16">
        <f t="shared" si="33"/>
        <v>2.7076571928283607E-2</v>
      </c>
      <c r="AG79" s="16" t="e">
        <f t="shared" si="34"/>
        <v>#VALUE!</v>
      </c>
      <c r="AH79" s="16" t="e">
        <f t="shared" si="35"/>
        <v>#VALUE!</v>
      </c>
    </row>
    <row r="80" spans="1:34" x14ac:dyDescent="0.25">
      <c r="A80" s="12">
        <v>4209</v>
      </c>
      <c r="B80" s="13">
        <v>44.426290999999999</v>
      </c>
      <c r="C80" s="12">
        <v>89.601994599999998</v>
      </c>
      <c r="D80" s="14">
        <v>0</v>
      </c>
      <c r="T80" s="5">
        <f t="shared" si="21"/>
        <v>32729455.057123702</v>
      </c>
      <c r="U80" s="5">
        <f t="shared" si="22"/>
        <v>32729455.057123702</v>
      </c>
      <c r="V80" s="5" t="str">
        <f t="shared" si="23"/>
        <v>n/a</v>
      </c>
      <c r="W80" s="5" t="str">
        <f t="shared" si="24"/>
        <v>n/a</v>
      </c>
      <c r="X80" s="6" t="str">
        <f t="shared" si="25"/>
        <v>n/a</v>
      </c>
      <c r="Y80" s="16" t="str">
        <f t="shared" si="26"/>
        <v>error</v>
      </c>
      <c r="Z80" s="16" t="str">
        <f t="shared" si="27"/>
        <v>error</v>
      </c>
      <c r="AA80" s="16" t="str">
        <f t="shared" si="28"/>
        <v>error</v>
      </c>
      <c r="AB80" s="16" t="str">
        <f t="shared" si="29"/>
        <v>error</v>
      </c>
      <c r="AC80" s="18" t="str">
        <f t="shared" si="30"/>
        <v>error</v>
      </c>
      <c r="AD80" s="16" t="str">
        <f t="shared" si="31"/>
        <v>error</v>
      </c>
      <c r="AE80" s="16" t="str">
        <f t="shared" si="32"/>
        <v>error</v>
      </c>
      <c r="AF80" s="16" t="str">
        <f t="shared" si="33"/>
        <v>error</v>
      </c>
      <c r="AG80" s="16" t="str">
        <f t="shared" si="34"/>
        <v>error</v>
      </c>
      <c r="AH80" s="16" t="str">
        <f t="shared" si="35"/>
        <v>error</v>
      </c>
    </row>
    <row r="81" spans="1:34" x14ac:dyDescent="0.25">
      <c r="A81" s="12">
        <v>4224</v>
      </c>
      <c r="B81" s="13">
        <v>44.523539999999997</v>
      </c>
      <c r="C81" s="12">
        <v>89.482093300000003</v>
      </c>
      <c r="D81" s="13">
        <v>0</v>
      </c>
      <c r="T81" s="5">
        <f t="shared" si="21"/>
        <v>32698442.147436693</v>
      </c>
      <c r="U81" s="5">
        <f t="shared" si="22"/>
        <v>32698442.147436693</v>
      </c>
      <c r="V81" s="5" t="str">
        <f t="shared" si="23"/>
        <v>n/a</v>
      </c>
      <c r="W81" s="5" t="str">
        <f t="shared" si="24"/>
        <v>n/a</v>
      </c>
      <c r="X81" s="6" t="str">
        <f t="shared" si="25"/>
        <v>n/a</v>
      </c>
      <c r="Y81" s="16" t="str">
        <f t="shared" si="26"/>
        <v>error</v>
      </c>
      <c r="Z81" s="16" t="str">
        <f t="shared" si="27"/>
        <v>error</v>
      </c>
      <c r="AA81" s="16" t="str">
        <f t="shared" si="28"/>
        <v>error</v>
      </c>
      <c r="AB81" s="16" t="str">
        <f t="shared" si="29"/>
        <v>error</v>
      </c>
      <c r="AC81" s="18" t="str">
        <f t="shared" si="30"/>
        <v>error</v>
      </c>
      <c r="AD81" s="16" t="str">
        <f t="shared" si="31"/>
        <v>error</v>
      </c>
      <c r="AE81" s="16" t="str">
        <f t="shared" si="32"/>
        <v>error</v>
      </c>
      <c r="AF81" s="16" t="str">
        <f t="shared" si="33"/>
        <v>error</v>
      </c>
      <c r="AG81" s="16" t="str">
        <f t="shared" si="34"/>
        <v>error</v>
      </c>
      <c r="AH81" s="16" t="str">
        <f t="shared" si="35"/>
        <v>error</v>
      </c>
    </row>
    <row r="82" spans="1:34" x14ac:dyDescent="0.25">
      <c r="A82" s="12">
        <v>4225</v>
      </c>
      <c r="B82" s="13">
        <v>44.5241483</v>
      </c>
      <c r="C82" s="12">
        <v>89.481565000000003</v>
      </c>
      <c r="D82" s="13">
        <v>0</v>
      </c>
      <c r="T82" s="5">
        <f t="shared" si="21"/>
        <v>32698306.148559596</v>
      </c>
      <c r="U82" s="5">
        <f t="shared" si="22"/>
        <v>32698306.148559596</v>
      </c>
      <c r="V82" s="5" t="str">
        <f t="shared" si="23"/>
        <v>n/a</v>
      </c>
      <c r="W82" s="5" t="str">
        <f t="shared" si="24"/>
        <v>n/a</v>
      </c>
      <c r="X82" s="6" t="str">
        <f t="shared" si="25"/>
        <v>n/a</v>
      </c>
      <c r="Y82" s="16" t="str">
        <f t="shared" si="26"/>
        <v>error</v>
      </c>
      <c r="Z82" s="16" t="str">
        <f t="shared" si="27"/>
        <v>error</v>
      </c>
      <c r="AA82" s="16" t="str">
        <f t="shared" si="28"/>
        <v>error</v>
      </c>
      <c r="AB82" s="16" t="str">
        <f t="shared" si="29"/>
        <v>error</v>
      </c>
      <c r="AC82" s="18" t="str">
        <f t="shared" si="30"/>
        <v>error</v>
      </c>
      <c r="AD82" s="16" t="str">
        <f t="shared" si="31"/>
        <v>error</v>
      </c>
      <c r="AE82" s="16" t="str">
        <f t="shared" si="32"/>
        <v>error</v>
      </c>
      <c r="AF82" s="16" t="str">
        <f t="shared" si="33"/>
        <v>error</v>
      </c>
      <c r="AG82" s="16" t="str">
        <f t="shared" si="34"/>
        <v>error</v>
      </c>
      <c r="AH82" s="16" t="str">
        <f t="shared" si="35"/>
        <v>error</v>
      </c>
    </row>
    <row r="83" spans="1:34" x14ac:dyDescent="0.25">
      <c r="A83" s="12">
        <v>4226</v>
      </c>
      <c r="B83" s="13">
        <v>44.528790000000001</v>
      </c>
      <c r="C83" s="12">
        <v>89.485325099999997</v>
      </c>
      <c r="D83" s="13">
        <v>0</v>
      </c>
      <c r="T83" s="5">
        <f t="shared" si="21"/>
        <v>32699294.779083762</v>
      </c>
      <c r="U83" s="5">
        <f t="shared" si="22"/>
        <v>32699294.779083762</v>
      </c>
      <c r="V83" s="5" t="str">
        <f t="shared" si="23"/>
        <v>n/a</v>
      </c>
      <c r="W83" s="5" t="str">
        <f t="shared" si="24"/>
        <v>n/a</v>
      </c>
      <c r="X83" s="6" t="str">
        <f t="shared" si="25"/>
        <v>n/a</v>
      </c>
      <c r="Y83" s="16" t="str">
        <f t="shared" si="26"/>
        <v>error</v>
      </c>
      <c r="Z83" s="16" t="str">
        <f t="shared" si="27"/>
        <v>error</v>
      </c>
      <c r="AA83" s="16" t="str">
        <f t="shared" si="28"/>
        <v>error</v>
      </c>
      <c r="AB83" s="16" t="str">
        <f t="shared" si="29"/>
        <v>error</v>
      </c>
      <c r="AC83" s="18" t="str">
        <f t="shared" si="30"/>
        <v>error</v>
      </c>
      <c r="AD83" s="16" t="str">
        <f t="shared" si="31"/>
        <v>error</v>
      </c>
      <c r="AE83" s="16" t="str">
        <f t="shared" si="32"/>
        <v>error</v>
      </c>
      <c r="AF83" s="16" t="str">
        <f t="shared" si="33"/>
        <v>error</v>
      </c>
      <c r="AG83" s="16" t="str">
        <f t="shared" si="34"/>
        <v>error</v>
      </c>
      <c r="AH83" s="16" t="str">
        <f t="shared" si="35"/>
        <v>error</v>
      </c>
    </row>
    <row r="84" spans="1:34" x14ac:dyDescent="0.25">
      <c r="A84" s="12">
        <v>4661</v>
      </c>
      <c r="B84" s="13">
        <v>44.4961561</v>
      </c>
      <c r="C84" s="12">
        <v>89.423774800000004</v>
      </c>
      <c r="D84" s="14">
        <v>4</v>
      </c>
      <c r="E84" s="13" t="s">
        <v>42</v>
      </c>
      <c r="F84" s="13">
        <v>4.4829999999999997</v>
      </c>
      <c r="G84" s="12">
        <v>89.480320000000006</v>
      </c>
      <c r="H84" s="13" t="s">
        <v>39</v>
      </c>
      <c r="I84" s="13">
        <v>44.53407</v>
      </c>
      <c r="J84" s="12">
        <v>89.521389999999997</v>
      </c>
      <c r="K84" s="13" t="s">
        <v>41</v>
      </c>
      <c r="L84" s="13">
        <v>44.515210000000003</v>
      </c>
      <c r="M84" s="12">
        <v>89.335499999999996</v>
      </c>
      <c r="N84" s="13" t="s">
        <v>43</v>
      </c>
      <c r="O84" s="13">
        <v>44.436839999999997</v>
      </c>
      <c r="P84" s="12">
        <v>89.377089999999995</v>
      </c>
      <c r="T84" s="5">
        <f t="shared" si="21"/>
        <v>14597320.828620657</v>
      </c>
      <c r="U84" s="5">
        <f t="shared" si="22"/>
        <v>28915.783943587707</v>
      </c>
      <c r="V84" s="5">
        <f t="shared" si="23"/>
        <v>23995.962855207523</v>
      </c>
      <c r="W84" s="5">
        <f t="shared" si="24"/>
        <v>24819.140127347189</v>
      </c>
      <c r="X84" s="6" t="str">
        <f t="shared" si="25"/>
        <v>n/a</v>
      </c>
      <c r="Y84" s="16">
        <f t="shared" si="26"/>
        <v>5.8744271278210567E-4</v>
      </c>
      <c r="Z84" s="16">
        <f t="shared" si="27"/>
        <v>0.29655394312133959</v>
      </c>
      <c r="AA84" s="16">
        <f t="shared" si="28"/>
        <v>0.35735551845358504</v>
      </c>
      <c r="AB84" s="16">
        <f t="shared" si="29"/>
        <v>0.34550309571229321</v>
      </c>
      <c r="AC84" s="18" t="e">
        <f t="shared" si="30"/>
        <v>#VALUE!</v>
      </c>
      <c r="AD84" s="16">
        <f t="shared" si="31"/>
        <v>1.0300549237617121E-6</v>
      </c>
      <c r="AE84" s="16">
        <f t="shared" si="32"/>
        <v>0.26250449647726248</v>
      </c>
      <c r="AF84" s="16">
        <f t="shared" si="33"/>
        <v>0.38118019426633709</v>
      </c>
      <c r="AG84" s="16">
        <f t="shared" si="34"/>
        <v>0.35631427920147657</v>
      </c>
      <c r="AH84" s="16" t="e">
        <f t="shared" si="35"/>
        <v>#VALUE!</v>
      </c>
    </row>
    <row r="85" spans="1:34" x14ac:dyDescent="0.25">
      <c r="A85" s="12">
        <v>4662</v>
      </c>
      <c r="B85" s="13">
        <v>44.494383300000003</v>
      </c>
      <c r="C85" s="12">
        <v>89.423416700000004</v>
      </c>
      <c r="D85" s="13">
        <v>0</v>
      </c>
      <c r="T85" s="5">
        <f t="shared" si="21"/>
        <v>32683105.798299637</v>
      </c>
      <c r="U85" s="5">
        <f t="shared" si="22"/>
        <v>32683105.798299637</v>
      </c>
      <c r="V85" s="5" t="str">
        <f t="shared" si="23"/>
        <v>n/a</v>
      </c>
      <c r="W85" s="5" t="str">
        <f t="shared" si="24"/>
        <v>n/a</v>
      </c>
      <c r="X85" s="6" t="str">
        <f t="shared" si="25"/>
        <v>n/a</v>
      </c>
      <c r="Y85" s="16" t="str">
        <f t="shared" si="26"/>
        <v>error</v>
      </c>
      <c r="Z85" s="16" t="str">
        <f t="shared" si="27"/>
        <v>error</v>
      </c>
      <c r="AA85" s="16" t="str">
        <f t="shared" si="28"/>
        <v>error</v>
      </c>
      <c r="AB85" s="16" t="str">
        <f t="shared" si="29"/>
        <v>error</v>
      </c>
      <c r="AC85" s="18" t="str">
        <f t="shared" si="30"/>
        <v>error</v>
      </c>
      <c r="AD85" s="16" t="str">
        <f t="shared" si="31"/>
        <v>error</v>
      </c>
      <c r="AE85" s="16" t="str">
        <f t="shared" si="32"/>
        <v>error</v>
      </c>
      <c r="AF85" s="16" t="str">
        <f t="shared" si="33"/>
        <v>error</v>
      </c>
      <c r="AG85" s="16" t="str">
        <f t="shared" si="34"/>
        <v>error</v>
      </c>
      <c r="AH85" s="16" t="str">
        <f t="shared" si="35"/>
        <v>error</v>
      </c>
    </row>
    <row r="86" spans="1:34" x14ac:dyDescent="0.25">
      <c r="A86" s="12">
        <v>23610</v>
      </c>
      <c r="B86" s="13">
        <v>44.457473299999997</v>
      </c>
      <c r="C86" s="12">
        <v>89.440953300000004</v>
      </c>
      <c r="D86" s="14">
        <v>3</v>
      </c>
      <c r="E86" s="13" t="s">
        <v>42</v>
      </c>
      <c r="F86" s="13">
        <v>44.469299999999997</v>
      </c>
      <c r="G86" s="12">
        <v>89.482860000000002</v>
      </c>
      <c r="H86" s="13" t="s">
        <v>44</v>
      </c>
      <c r="I86" s="13">
        <v>44.399990000000003</v>
      </c>
      <c r="J86" s="12">
        <v>89.479410000000001</v>
      </c>
      <c r="K86" s="13" t="s">
        <v>43</v>
      </c>
      <c r="L86" s="13">
        <v>44.436500000000002</v>
      </c>
      <c r="M86" s="12">
        <v>89.375810000000001</v>
      </c>
      <c r="N86" s="13" t="s">
        <v>41</v>
      </c>
      <c r="O86" s="13">
        <v>44.479730000000004</v>
      </c>
      <c r="P86" s="12">
        <v>89.300120000000007</v>
      </c>
      <c r="T86" s="5">
        <f t="shared" si="21"/>
        <v>11733.159152579583</v>
      </c>
      <c r="U86" s="5">
        <f t="shared" si="22"/>
        <v>23240.986089060625</v>
      </c>
      <c r="V86" s="5">
        <f t="shared" si="23"/>
        <v>18611.388761871545</v>
      </c>
      <c r="W86" s="5" t="str">
        <f t="shared" si="24"/>
        <v>n/a</v>
      </c>
      <c r="X86" s="6" t="str">
        <f t="shared" si="25"/>
        <v>n/a</v>
      </c>
      <c r="Y86" s="16">
        <f t="shared" si="26"/>
        <v>0.46832337262186169</v>
      </c>
      <c r="Z86" s="16">
        <f t="shared" si="27"/>
        <v>0.23643199323765152</v>
      </c>
      <c r="AA86" s="16">
        <f t="shared" si="28"/>
        <v>0.29524463414048691</v>
      </c>
      <c r="AB86" s="16" t="e">
        <f t="shared" si="29"/>
        <v>#VALUE!</v>
      </c>
      <c r="AC86" s="18" t="e">
        <f t="shared" si="30"/>
        <v>#VALUE!</v>
      </c>
      <c r="AD86" s="16">
        <f t="shared" si="31"/>
        <v>0.60521259152657148</v>
      </c>
      <c r="AE86" s="16">
        <f t="shared" si="32"/>
        <v>0.15425128007874733</v>
      </c>
      <c r="AF86" s="16">
        <f t="shared" si="33"/>
        <v>0.24053612839468116</v>
      </c>
      <c r="AG86" s="16" t="e">
        <f t="shared" si="34"/>
        <v>#VALUE!</v>
      </c>
      <c r="AH86" s="16" t="e">
        <f t="shared" si="35"/>
        <v>#VALUE!</v>
      </c>
    </row>
    <row r="87" spans="1:34" x14ac:dyDescent="0.25">
      <c r="A87" s="12">
        <v>23611</v>
      </c>
      <c r="B87" s="13">
        <v>44.493763999999999</v>
      </c>
      <c r="C87" s="12">
        <v>89.513486</v>
      </c>
      <c r="D87" s="14">
        <v>2</v>
      </c>
      <c r="E87" s="13" t="s">
        <v>42</v>
      </c>
      <c r="F87" s="13">
        <v>44.471870000000003</v>
      </c>
      <c r="G87" s="12">
        <v>89.517060000000001</v>
      </c>
      <c r="H87" s="13" t="s">
        <v>39</v>
      </c>
      <c r="I87" s="13">
        <v>44.499789999999997</v>
      </c>
      <c r="J87" s="12">
        <v>89.545839999999998</v>
      </c>
      <c r="T87" s="5">
        <f t="shared" si="21"/>
        <v>8041.1985633508975</v>
      </c>
      <c r="U87" s="5">
        <f t="shared" si="22"/>
        <v>8701.3510259347368</v>
      </c>
      <c r="V87" s="5" t="str">
        <f t="shared" si="23"/>
        <v>n/a</v>
      </c>
      <c r="W87" s="5" t="str">
        <f t="shared" si="24"/>
        <v>n/a</v>
      </c>
      <c r="X87" s="6" t="str">
        <f t="shared" si="25"/>
        <v>n/a</v>
      </c>
      <c r="Y87" s="16">
        <f t="shared" si="26"/>
        <v>0.51971481282057252</v>
      </c>
      <c r="Z87" s="16">
        <f t="shared" si="27"/>
        <v>0.48028518717942748</v>
      </c>
      <c r="AA87" s="16" t="e">
        <f t="shared" si="28"/>
        <v>#VALUE!</v>
      </c>
      <c r="AB87" s="16" t="e">
        <f t="shared" si="29"/>
        <v>#VALUE!</v>
      </c>
      <c r="AC87" s="18" t="e">
        <f t="shared" si="30"/>
        <v>#VALUE!</v>
      </c>
      <c r="AD87" s="16">
        <f t="shared" si="31"/>
        <v>0.53936841974092675</v>
      </c>
      <c r="AE87" s="16">
        <f t="shared" si="32"/>
        <v>0.46063158025907325</v>
      </c>
      <c r="AF87" s="16" t="e">
        <f t="shared" si="33"/>
        <v>#VALUE!</v>
      </c>
      <c r="AG87" s="16" t="e">
        <f t="shared" si="34"/>
        <v>#VALUE!</v>
      </c>
      <c r="AH87" s="16" t="e">
        <f t="shared" si="35"/>
        <v>#VALUE!</v>
      </c>
    </row>
    <row r="88" spans="1:34" x14ac:dyDescent="0.25">
      <c r="A88" s="12">
        <v>23618</v>
      </c>
      <c r="B88" s="13">
        <v>44.493310999999999</v>
      </c>
      <c r="C88" s="12">
        <v>89.471873599999995</v>
      </c>
      <c r="D88" s="14">
        <v>3</v>
      </c>
      <c r="E88" s="13" t="s">
        <v>42</v>
      </c>
      <c r="F88" s="13">
        <v>44.471870000000003</v>
      </c>
      <c r="G88" s="12">
        <v>89.517060000000001</v>
      </c>
      <c r="H88" s="13" t="s">
        <v>39</v>
      </c>
      <c r="I88" s="13">
        <v>44.499789999999997</v>
      </c>
      <c r="J88" s="12">
        <v>89.545839999999998</v>
      </c>
      <c r="K88" s="13" t="s">
        <v>41</v>
      </c>
      <c r="L88" s="13">
        <v>44.515169999999998</v>
      </c>
      <c r="M88" s="12">
        <v>89.336449999999999</v>
      </c>
      <c r="T88" s="5">
        <f t="shared" si="21"/>
        <v>14124.706208687607</v>
      </c>
      <c r="U88" s="5">
        <f t="shared" si="22"/>
        <v>19391.992467641638</v>
      </c>
      <c r="V88" s="5">
        <f t="shared" si="23"/>
        <v>36126.164663160132</v>
      </c>
      <c r="W88" s="5" t="str">
        <f t="shared" si="24"/>
        <v>n/a</v>
      </c>
      <c r="X88" s="6" t="str">
        <f t="shared" si="25"/>
        <v>n/a</v>
      </c>
      <c r="Y88" s="16">
        <f t="shared" si="26"/>
        <v>0.47184033145340548</v>
      </c>
      <c r="Z88" s="16">
        <f t="shared" si="27"/>
        <v>0.34367825123230633</v>
      </c>
      <c r="AA88" s="16">
        <f t="shared" si="28"/>
        <v>0.18448141731428816</v>
      </c>
      <c r="AB88" s="16" t="e">
        <f t="shared" si="29"/>
        <v>#VALUE!</v>
      </c>
      <c r="AC88" s="18" t="e">
        <f t="shared" si="30"/>
        <v>#VALUE!</v>
      </c>
      <c r="AD88" s="16">
        <f t="shared" si="31"/>
        <v>0.59403502768070016</v>
      </c>
      <c r="AE88" s="16">
        <f t="shared" si="32"/>
        <v>0.31515632914704311</v>
      </c>
      <c r="AF88" s="16">
        <f t="shared" si="33"/>
        <v>9.0808643172256745E-2</v>
      </c>
      <c r="AG88" s="16" t="e">
        <f t="shared" si="34"/>
        <v>#VALUE!</v>
      </c>
      <c r="AH88" s="16" t="e">
        <f t="shared" si="35"/>
        <v>#VALUE!</v>
      </c>
    </row>
    <row r="89" spans="1:34" x14ac:dyDescent="0.25">
      <c r="A89" s="12">
        <v>23620</v>
      </c>
      <c r="B89" s="13">
        <v>44.481884999999998</v>
      </c>
      <c r="C89" s="12">
        <v>89.352924999999999</v>
      </c>
      <c r="D89" s="14">
        <v>4</v>
      </c>
      <c r="E89" s="13" t="s">
        <v>42</v>
      </c>
      <c r="F89" s="13">
        <v>44.472119999999997</v>
      </c>
      <c r="G89" s="12">
        <v>89.482460000000003</v>
      </c>
      <c r="H89" s="13" t="s">
        <v>41</v>
      </c>
      <c r="I89" s="13">
        <v>44.474519999999998</v>
      </c>
      <c r="J89" s="12">
        <v>89.295339999999996</v>
      </c>
      <c r="K89" s="13" t="s">
        <v>43</v>
      </c>
      <c r="L89" s="13">
        <v>44.43627</v>
      </c>
      <c r="M89" s="12">
        <v>89.307379999999995</v>
      </c>
      <c r="N89" s="13" t="s">
        <v>45</v>
      </c>
      <c r="O89" s="13">
        <v>44.49091</v>
      </c>
      <c r="P89" s="12">
        <v>89.345470000000006</v>
      </c>
      <c r="T89" s="5">
        <f t="shared" si="21"/>
        <v>33906.327973770276</v>
      </c>
      <c r="U89" s="5">
        <f t="shared" si="22"/>
        <v>15228.286590079295</v>
      </c>
      <c r="V89" s="5">
        <f t="shared" si="23"/>
        <v>20434.34723881567</v>
      </c>
      <c r="W89" s="5">
        <f t="shared" si="24"/>
        <v>3821.6169592150004</v>
      </c>
      <c r="X89" s="6" t="str">
        <f t="shared" si="25"/>
        <v>n/a</v>
      </c>
      <c r="Y89" s="16">
        <f t="shared" si="26"/>
        <v>7.2684646536340131E-2</v>
      </c>
      <c r="Z89" s="16">
        <f t="shared" si="27"/>
        <v>0.16183498055022366</v>
      </c>
      <c r="AA89" s="16">
        <f t="shared" si="28"/>
        <v>0.12060426669452788</v>
      </c>
      <c r="AB89" s="16">
        <f t="shared" si="29"/>
        <v>0.64487610621890834</v>
      </c>
      <c r="AC89" s="18" t="e">
        <f t="shared" si="30"/>
        <v>#VALUE!</v>
      </c>
      <c r="AD89" s="16">
        <f t="shared" si="31"/>
        <v>1.1438057068870312E-2</v>
      </c>
      <c r="AE89" s="16">
        <f t="shared" si="32"/>
        <v>5.6703738541642713E-2</v>
      </c>
      <c r="AF89" s="16">
        <f t="shared" si="33"/>
        <v>3.1491419571897911E-2</v>
      </c>
      <c r="AG89" s="16">
        <f t="shared" si="34"/>
        <v>0.90036678481758903</v>
      </c>
      <c r="AH89" s="16" t="e">
        <f t="shared" si="35"/>
        <v>#VALUE!</v>
      </c>
    </row>
    <row r="90" spans="1:34" x14ac:dyDescent="0.25">
      <c r="A90" s="12">
        <v>23624</v>
      </c>
      <c r="B90" s="13">
        <v>44.424385999999998</v>
      </c>
      <c r="C90" s="12">
        <v>89.657566000000003</v>
      </c>
      <c r="D90" s="14">
        <v>0</v>
      </c>
      <c r="T90" s="5">
        <f t="shared" si="21"/>
        <v>32743930.106724206</v>
      </c>
      <c r="U90" s="5">
        <f t="shared" si="22"/>
        <v>32743930.106724206</v>
      </c>
      <c r="V90" s="5" t="str">
        <f t="shared" si="23"/>
        <v>n/a</v>
      </c>
      <c r="W90" s="5" t="str">
        <f t="shared" si="24"/>
        <v>n/a</v>
      </c>
      <c r="X90" s="6" t="str">
        <f t="shared" si="25"/>
        <v>n/a</v>
      </c>
      <c r="Y90" s="16" t="str">
        <f t="shared" si="26"/>
        <v>error</v>
      </c>
      <c r="Z90" s="16" t="str">
        <f t="shared" si="27"/>
        <v>error</v>
      </c>
      <c r="AA90" s="16" t="str">
        <f t="shared" si="28"/>
        <v>error</v>
      </c>
      <c r="AB90" s="16" t="str">
        <f t="shared" si="29"/>
        <v>error</v>
      </c>
      <c r="AC90" s="18" t="str">
        <f t="shared" si="30"/>
        <v>error</v>
      </c>
      <c r="AD90" s="16" t="str">
        <f t="shared" si="31"/>
        <v>error</v>
      </c>
      <c r="AE90" s="16" t="str">
        <f t="shared" si="32"/>
        <v>error</v>
      </c>
      <c r="AF90" s="16" t="str">
        <f t="shared" si="33"/>
        <v>error</v>
      </c>
      <c r="AG90" s="16" t="str">
        <f t="shared" si="34"/>
        <v>error</v>
      </c>
      <c r="AH90" s="16" t="str">
        <f t="shared" si="35"/>
        <v>error</v>
      </c>
    </row>
    <row r="91" spans="1:34" x14ac:dyDescent="0.25">
      <c r="A91" s="12">
        <v>23625</v>
      </c>
      <c r="B91" s="13">
        <v>44.413831000000002</v>
      </c>
      <c r="C91" s="12">
        <v>89.652742000000003</v>
      </c>
      <c r="D91" s="14">
        <v>0</v>
      </c>
      <c r="T91" s="5">
        <f t="shared" si="21"/>
        <v>32742656.938375007</v>
      </c>
      <c r="U91" s="5">
        <f t="shared" si="22"/>
        <v>32742656.938375007</v>
      </c>
      <c r="V91" s="5" t="str">
        <f t="shared" si="23"/>
        <v>n/a</v>
      </c>
      <c r="W91" s="5" t="str">
        <f t="shared" si="24"/>
        <v>n/a</v>
      </c>
      <c r="X91" s="6" t="str">
        <f t="shared" si="25"/>
        <v>n/a</v>
      </c>
      <c r="Y91" s="16" t="str">
        <f t="shared" si="26"/>
        <v>error</v>
      </c>
      <c r="Z91" s="16" t="str">
        <f t="shared" si="27"/>
        <v>error</v>
      </c>
      <c r="AA91" s="16" t="str">
        <f t="shared" si="28"/>
        <v>error</v>
      </c>
      <c r="AB91" s="16" t="str">
        <f t="shared" si="29"/>
        <v>error</v>
      </c>
      <c r="AC91" s="18" t="str">
        <f t="shared" si="30"/>
        <v>error</v>
      </c>
      <c r="AD91" s="16" t="str">
        <f t="shared" si="31"/>
        <v>error</v>
      </c>
      <c r="AE91" s="16" t="str">
        <f t="shared" si="32"/>
        <v>error</v>
      </c>
      <c r="AF91" s="16" t="str">
        <f t="shared" si="33"/>
        <v>error</v>
      </c>
      <c r="AG91" s="16" t="str">
        <f t="shared" si="34"/>
        <v>error</v>
      </c>
      <c r="AH91" s="16" t="str">
        <f t="shared" si="35"/>
        <v>error</v>
      </c>
    </row>
    <row r="92" spans="1:34" x14ac:dyDescent="0.25">
      <c r="A92" s="12">
        <v>23626</v>
      </c>
      <c r="B92" s="13">
        <v>44.413758100000003</v>
      </c>
      <c r="C92" s="12">
        <v>89.662789799999999</v>
      </c>
      <c r="D92" s="14">
        <v>0</v>
      </c>
      <c r="T92" s="5">
        <f t="shared" si="21"/>
        <v>32745275.133230858</v>
      </c>
      <c r="U92" s="5">
        <f t="shared" si="22"/>
        <v>32745275.133230858</v>
      </c>
      <c r="V92" s="5" t="str">
        <f t="shared" si="23"/>
        <v>n/a</v>
      </c>
      <c r="W92" s="5" t="str">
        <f t="shared" si="24"/>
        <v>n/a</v>
      </c>
      <c r="X92" s="6" t="str">
        <f t="shared" si="25"/>
        <v>n/a</v>
      </c>
      <c r="Y92" s="16" t="str">
        <f t="shared" si="26"/>
        <v>error</v>
      </c>
      <c r="Z92" s="16" t="str">
        <f t="shared" si="27"/>
        <v>error</v>
      </c>
      <c r="AA92" s="16" t="str">
        <f t="shared" si="28"/>
        <v>error</v>
      </c>
      <c r="AB92" s="16" t="str">
        <f t="shared" si="29"/>
        <v>error</v>
      </c>
      <c r="AC92" s="18" t="str">
        <f t="shared" si="30"/>
        <v>error</v>
      </c>
      <c r="AD92" s="16" t="str">
        <f t="shared" si="31"/>
        <v>error</v>
      </c>
      <c r="AE92" s="16" t="str">
        <f t="shared" si="32"/>
        <v>error</v>
      </c>
      <c r="AF92" s="16" t="str">
        <f t="shared" si="33"/>
        <v>error</v>
      </c>
      <c r="AG92" s="16" t="str">
        <f t="shared" si="34"/>
        <v>error</v>
      </c>
      <c r="AH92" s="16" t="str">
        <f t="shared" si="35"/>
        <v>error</v>
      </c>
    </row>
    <row r="93" spans="1:34" x14ac:dyDescent="0.25">
      <c r="A93" s="12">
        <v>23627</v>
      </c>
      <c r="B93" s="13">
        <v>44.475731699999997</v>
      </c>
      <c r="C93" s="12">
        <v>89.484380000000002</v>
      </c>
      <c r="D93" s="14">
        <v>2</v>
      </c>
      <c r="E93" s="13" t="s">
        <v>42</v>
      </c>
      <c r="F93" s="13">
        <v>44.473689999999998</v>
      </c>
      <c r="G93" s="12">
        <v>89.480900000000005</v>
      </c>
      <c r="H93" s="13" t="s">
        <v>39</v>
      </c>
      <c r="I93" s="13">
        <v>44.495730000000002</v>
      </c>
      <c r="J93" s="12">
        <v>89.55001</v>
      </c>
      <c r="T93" s="5">
        <f t="shared" si="21"/>
        <v>1172.7899648066775</v>
      </c>
      <c r="U93" s="5">
        <f t="shared" si="22"/>
        <v>18574.089818219669</v>
      </c>
      <c r="V93" s="5" t="str">
        <f t="shared" si="23"/>
        <v>n/a</v>
      </c>
      <c r="W93" s="5" t="str">
        <f t="shared" si="24"/>
        <v>n/a</v>
      </c>
      <c r="X93" s="6" t="str">
        <f t="shared" si="25"/>
        <v>n/a</v>
      </c>
      <c r="Y93" s="16">
        <f t="shared" si="26"/>
        <v>0.94060884667891864</v>
      </c>
      <c r="Z93" s="16">
        <f t="shared" si="27"/>
        <v>5.9391153321081254E-2</v>
      </c>
      <c r="AA93" s="16" t="e">
        <f t="shared" si="28"/>
        <v>#VALUE!</v>
      </c>
      <c r="AB93" s="16" t="e">
        <f t="shared" si="29"/>
        <v>#VALUE!</v>
      </c>
      <c r="AC93" s="18" t="e">
        <f t="shared" si="30"/>
        <v>#VALUE!</v>
      </c>
      <c r="AD93" s="16">
        <f t="shared" si="31"/>
        <v>0.99602902280419037</v>
      </c>
      <c r="AE93" s="16">
        <f t="shared" si="32"/>
        <v>3.9709771958096511E-3</v>
      </c>
      <c r="AF93" s="16" t="e">
        <f t="shared" si="33"/>
        <v>#VALUE!</v>
      </c>
      <c r="AG93" s="16" t="e">
        <f t="shared" si="34"/>
        <v>#VALUE!</v>
      </c>
      <c r="AH93" s="16" t="e">
        <f t="shared" si="35"/>
        <v>#VALUE!</v>
      </c>
    </row>
    <row r="94" spans="1:34" x14ac:dyDescent="0.25">
      <c r="A94" s="12">
        <v>23629</v>
      </c>
      <c r="B94" s="13">
        <v>44.418199999999999</v>
      </c>
      <c r="C94" s="12">
        <v>89.490300000000005</v>
      </c>
      <c r="D94" s="14">
        <v>3</v>
      </c>
      <c r="E94" s="13" t="s">
        <v>42</v>
      </c>
      <c r="F94" s="13">
        <v>44.468649999999997</v>
      </c>
      <c r="G94" s="12">
        <v>89.498069999999998</v>
      </c>
      <c r="H94" s="13" t="s">
        <v>44</v>
      </c>
      <c r="I94" s="13">
        <v>44.396560000000001</v>
      </c>
      <c r="J94" s="12">
        <v>89.494640000000004</v>
      </c>
      <c r="K94" s="13" t="s">
        <v>50</v>
      </c>
      <c r="L94" s="13">
        <v>44.41048</v>
      </c>
      <c r="M94" s="12">
        <v>89.549909999999997</v>
      </c>
      <c r="T94" s="5">
        <f t="shared" si="21"/>
        <v>18515.73102583877</v>
      </c>
      <c r="U94" s="5">
        <f t="shared" si="22"/>
        <v>7975.1622540733015</v>
      </c>
      <c r="V94" s="5">
        <f t="shared" si="23"/>
        <v>15786.713259886008</v>
      </c>
      <c r="W94" s="5" t="str">
        <f t="shared" si="24"/>
        <v>n/a</v>
      </c>
      <c r="X94" s="6" t="str">
        <f t="shared" si="25"/>
        <v>n/a</v>
      </c>
      <c r="Y94" s="16">
        <f t="shared" si="26"/>
        <v>0.22249205379706793</v>
      </c>
      <c r="Z94" s="16">
        <f t="shared" si="27"/>
        <v>0.51655413297564934</v>
      </c>
      <c r="AA94" s="16">
        <f t="shared" si="28"/>
        <v>0.26095381322728267</v>
      </c>
      <c r="AB94" s="16" t="e">
        <f t="shared" si="29"/>
        <v>#VALUE!</v>
      </c>
      <c r="AC94" s="18" t="e">
        <f t="shared" si="30"/>
        <v>#VALUE!</v>
      </c>
      <c r="AD94" s="16">
        <f t="shared" si="31"/>
        <v>0.12876986709958205</v>
      </c>
      <c r="AE94" s="16">
        <f t="shared" si="32"/>
        <v>0.69409180843665075</v>
      </c>
      <c r="AF94" s="16">
        <f t="shared" si="33"/>
        <v>0.17713832446376718</v>
      </c>
      <c r="AG94" s="16" t="e">
        <f t="shared" si="34"/>
        <v>#VALUE!</v>
      </c>
      <c r="AH94" s="16" t="e">
        <f t="shared" si="35"/>
        <v>#VALUE!</v>
      </c>
    </row>
    <row r="95" spans="1:34" x14ac:dyDescent="0.25">
      <c r="A95" s="12">
        <v>23630</v>
      </c>
      <c r="B95" s="13">
        <v>44.414349999999999</v>
      </c>
      <c r="C95" s="12">
        <v>89.503050000000002</v>
      </c>
      <c r="D95" s="14">
        <v>4</v>
      </c>
      <c r="E95" s="13" t="s">
        <v>42</v>
      </c>
      <c r="F95" s="13">
        <v>44.470410000000001</v>
      </c>
      <c r="G95" s="12">
        <v>89.511759999999995</v>
      </c>
      <c r="H95" s="13" t="s">
        <v>44</v>
      </c>
      <c r="I95" s="13">
        <v>44.388379999999998</v>
      </c>
      <c r="J95" s="12">
        <v>89.530510000000007</v>
      </c>
      <c r="K95" s="13" t="s">
        <v>48</v>
      </c>
      <c r="L95" s="13">
        <v>44.462609999999998</v>
      </c>
      <c r="M95" s="12">
        <v>89.562640000000002</v>
      </c>
      <c r="N95" s="13" t="s">
        <v>49</v>
      </c>
      <c r="O95" s="13">
        <v>44.419539999999998</v>
      </c>
      <c r="P95" s="12">
        <v>89.569280000000006</v>
      </c>
      <c r="T95" s="5">
        <f t="shared" si="21"/>
        <v>20576.842512710333</v>
      </c>
      <c r="U95" s="5">
        <f t="shared" si="22"/>
        <v>11873.769853660866</v>
      </c>
      <c r="V95" s="5">
        <f t="shared" si="23"/>
        <v>23471.128576167965</v>
      </c>
      <c r="W95" s="5">
        <f t="shared" si="24"/>
        <v>17361.317666326064</v>
      </c>
      <c r="X95" s="6" t="str">
        <f t="shared" si="25"/>
        <v>n/a</v>
      </c>
      <c r="Y95" s="16">
        <f t="shared" si="26"/>
        <v>0.20855641577902023</v>
      </c>
      <c r="Z95" s="16">
        <f t="shared" si="27"/>
        <v>0.36142123145305205</v>
      </c>
      <c r="AA95" s="16">
        <f t="shared" si="28"/>
        <v>0.1828387803583359</v>
      </c>
      <c r="AB95" s="16">
        <f t="shared" si="29"/>
        <v>0.24718357240959191</v>
      </c>
      <c r="AC95" s="18" t="e">
        <f t="shared" si="30"/>
        <v>#VALUE!</v>
      </c>
      <c r="AD95" s="16">
        <f t="shared" si="31"/>
        <v>0.16190450506639037</v>
      </c>
      <c r="AE95" s="16">
        <f t="shared" si="32"/>
        <v>0.48622708465573533</v>
      </c>
      <c r="AF95" s="16">
        <f t="shared" si="33"/>
        <v>0.12443669149139196</v>
      </c>
      <c r="AG95" s="16">
        <f t="shared" si="34"/>
        <v>0.22743171878648233</v>
      </c>
      <c r="AH95" s="16" t="e">
        <f t="shared" si="35"/>
        <v>#VALUE!</v>
      </c>
    </row>
    <row r="96" spans="1:34" x14ac:dyDescent="0.25">
      <c r="A96" s="12">
        <v>23631</v>
      </c>
      <c r="B96" s="13">
        <v>44.421460000000003</v>
      </c>
      <c r="C96" s="12">
        <v>89.483435</v>
      </c>
      <c r="D96" s="14">
        <v>3</v>
      </c>
      <c r="E96" s="13" t="s">
        <v>42</v>
      </c>
      <c r="F96" s="13">
        <v>44.468649999999997</v>
      </c>
      <c r="G96" s="12">
        <v>89.498069999999998</v>
      </c>
      <c r="H96" s="13" t="s">
        <v>44</v>
      </c>
      <c r="I96" s="13">
        <v>44.396560000000001</v>
      </c>
      <c r="J96" s="12">
        <v>89.494640000000004</v>
      </c>
      <c r="K96" s="13" t="s">
        <v>50</v>
      </c>
      <c r="L96" s="13">
        <v>44.41048</v>
      </c>
      <c r="M96" s="12">
        <v>89.549909999999997</v>
      </c>
      <c r="T96" s="5">
        <f t="shared" si="21"/>
        <v>17632.431181883814</v>
      </c>
      <c r="U96" s="5">
        <f t="shared" si="22"/>
        <v>9541.6560718279507</v>
      </c>
      <c r="V96" s="5">
        <f t="shared" si="23"/>
        <v>17779.010635418545</v>
      </c>
      <c r="W96" s="5" t="str">
        <f t="shared" si="24"/>
        <v>n/a</v>
      </c>
      <c r="X96" s="6" t="str">
        <f t="shared" si="25"/>
        <v>n/a</v>
      </c>
      <c r="Y96" s="16">
        <f t="shared" si="26"/>
        <v>0.26043715471049006</v>
      </c>
      <c r="Z96" s="16">
        <f t="shared" si="27"/>
        <v>0.48127287056560208</v>
      </c>
      <c r="AA96" s="16">
        <f t="shared" si="28"/>
        <v>0.25828997472390786</v>
      </c>
      <c r="AB96" s="16" t="e">
        <f t="shared" si="29"/>
        <v>#VALUE!</v>
      </c>
      <c r="AC96" s="18" t="e">
        <f t="shared" si="30"/>
        <v>#VALUE!</v>
      </c>
      <c r="AD96" s="16">
        <f t="shared" si="31"/>
        <v>0.18523766299852656</v>
      </c>
      <c r="AE96" s="16">
        <f t="shared" si="32"/>
        <v>0.6325664751680582</v>
      </c>
      <c r="AF96" s="16">
        <f t="shared" si="33"/>
        <v>0.18219586183341516</v>
      </c>
      <c r="AG96" s="16" t="e">
        <f t="shared" si="34"/>
        <v>#VALUE!</v>
      </c>
      <c r="AH96" s="16" t="e">
        <f t="shared" si="35"/>
        <v>#VALUE!</v>
      </c>
    </row>
    <row r="97" spans="1:34" x14ac:dyDescent="0.25">
      <c r="A97" s="12">
        <v>23634</v>
      </c>
      <c r="B97" s="13">
        <v>44.414126000000003</v>
      </c>
      <c r="C97" s="12">
        <v>89.672832</v>
      </c>
      <c r="D97" s="14">
        <v>0</v>
      </c>
      <c r="T97" s="5">
        <f t="shared" si="21"/>
        <v>32747892.519283712</v>
      </c>
      <c r="U97" s="5">
        <f t="shared" si="22"/>
        <v>32747892.519283712</v>
      </c>
      <c r="V97" s="5" t="str">
        <f t="shared" si="23"/>
        <v>n/a</v>
      </c>
      <c r="W97" s="5" t="str">
        <f t="shared" si="24"/>
        <v>n/a</v>
      </c>
      <c r="X97" s="6" t="str">
        <f t="shared" si="25"/>
        <v>n/a</v>
      </c>
      <c r="Y97" s="16" t="str">
        <f t="shared" si="26"/>
        <v>error</v>
      </c>
      <c r="Z97" s="16" t="str">
        <f t="shared" si="27"/>
        <v>error</v>
      </c>
      <c r="AA97" s="16" t="str">
        <f t="shared" si="28"/>
        <v>error</v>
      </c>
      <c r="AB97" s="16" t="str">
        <f t="shared" si="29"/>
        <v>error</v>
      </c>
      <c r="AC97" s="18" t="str">
        <f t="shared" si="30"/>
        <v>error</v>
      </c>
      <c r="AD97" s="16" t="str">
        <f t="shared" si="31"/>
        <v>error</v>
      </c>
      <c r="AE97" s="16" t="str">
        <f t="shared" si="32"/>
        <v>error</v>
      </c>
      <c r="AF97" s="16" t="str">
        <f t="shared" si="33"/>
        <v>error</v>
      </c>
      <c r="AG97" s="16" t="str">
        <f t="shared" si="34"/>
        <v>error</v>
      </c>
      <c r="AH97" s="16" t="str">
        <f t="shared" si="35"/>
        <v>error</v>
      </c>
    </row>
    <row r="98" spans="1:34" x14ac:dyDescent="0.25">
      <c r="A98" s="12">
        <v>23635</v>
      </c>
      <c r="B98" s="13">
        <v>44.571579999999997</v>
      </c>
      <c r="C98" s="12">
        <v>89.443730000000002</v>
      </c>
      <c r="D98" s="14">
        <v>4</v>
      </c>
      <c r="E98" s="13" t="s">
        <v>42</v>
      </c>
      <c r="F98" s="13">
        <v>44.481119999999997</v>
      </c>
      <c r="G98" s="12">
        <v>89.479669999999999</v>
      </c>
      <c r="H98" s="13" t="s">
        <v>39</v>
      </c>
      <c r="I98" s="13">
        <v>44.58616</v>
      </c>
      <c r="J98" s="12">
        <v>89.487179999999995</v>
      </c>
      <c r="K98" s="13" t="s">
        <v>40</v>
      </c>
      <c r="L98" s="13">
        <v>44.554780000000001</v>
      </c>
      <c r="M98" s="13">
        <v>89.461330000000004</v>
      </c>
      <c r="N98" s="13" t="s">
        <v>41</v>
      </c>
      <c r="O98" s="13">
        <v>44.570529999999998</v>
      </c>
      <c r="P98" s="12">
        <v>89.378259999999997</v>
      </c>
      <c r="T98" s="5">
        <f t="shared" si="21"/>
        <v>34299.248664749379</v>
      </c>
      <c r="U98" s="5">
        <f t="shared" si="22"/>
        <v>12480.666983518628</v>
      </c>
      <c r="V98" s="5">
        <f t="shared" si="23"/>
        <v>7647.8666670354642</v>
      </c>
      <c r="W98" s="5">
        <f t="shared" si="24"/>
        <v>17019.018026071302</v>
      </c>
      <c r="X98" s="6" t="str">
        <f t="shared" si="25"/>
        <v>n/a</v>
      </c>
      <c r="Y98" s="16">
        <f t="shared" si="26"/>
        <v>9.7576671470016155E-2</v>
      </c>
      <c r="Z98" s="16">
        <f t="shared" si="27"/>
        <v>0.26815926769364756</v>
      </c>
      <c r="AA98" s="16">
        <f t="shared" si="28"/>
        <v>0.43761308405837573</v>
      </c>
      <c r="AB98" s="16">
        <f t="shared" si="29"/>
        <v>0.19665097677796059</v>
      </c>
      <c r="AC98" s="18" t="e">
        <f t="shared" si="30"/>
        <v>#VALUE!</v>
      </c>
      <c r="AD98" s="16">
        <f t="shared" si="31"/>
        <v>3.0555135324764546E-2</v>
      </c>
      <c r="AE98" s="16">
        <f t="shared" si="32"/>
        <v>0.2307691947362196</v>
      </c>
      <c r="AF98" s="16">
        <f t="shared" si="33"/>
        <v>0.61457205598578279</v>
      </c>
      <c r="AG98" s="16">
        <f t="shared" si="34"/>
        <v>0.12410361395323305</v>
      </c>
      <c r="AH98" s="16" t="e">
        <f t="shared" si="35"/>
        <v>#VALUE!</v>
      </c>
    </row>
    <row r="99" spans="1:34" x14ac:dyDescent="0.25">
      <c r="A99" s="12">
        <v>23637</v>
      </c>
      <c r="B99" s="13">
        <v>44.547821999999996</v>
      </c>
      <c r="C99" s="12">
        <v>89.451284999999999</v>
      </c>
      <c r="D99" s="14">
        <v>4</v>
      </c>
      <c r="E99" s="13" t="s">
        <v>42</v>
      </c>
      <c r="F99" s="13">
        <v>44.481119999999997</v>
      </c>
      <c r="G99" s="12">
        <v>89.479669999999999</v>
      </c>
      <c r="H99" s="13" t="s">
        <v>39</v>
      </c>
      <c r="I99" s="13">
        <v>44.558810000000001</v>
      </c>
      <c r="J99" s="12">
        <v>89.506240000000005</v>
      </c>
      <c r="K99" s="13" t="s">
        <v>40</v>
      </c>
      <c r="L99" s="13">
        <v>44.554780000000001</v>
      </c>
      <c r="M99" s="13">
        <v>89.461330000000004</v>
      </c>
      <c r="N99" s="13" t="s">
        <v>41</v>
      </c>
      <c r="O99" s="13">
        <v>44.54806</v>
      </c>
      <c r="P99" s="12">
        <v>89.354929999999996</v>
      </c>
      <c r="T99" s="5">
        <f t="shared" si="21"/>
        <v>25429.406337314216</v>
      </c>
      <c r="U99" s="5">
        <f t="shared" si="22"/>
        <v>14838.086644981786</v>
      </c>
      <c r="V99" s="5">
        <f t="shared" si="23"/>
        <v>3641.82789004302</v>
      </c>
      <c r="W99" s="5">
        <f t="shared" si="24"/>
        <v>25051.3713576277</v>
      </c>
      <c r="X99" s="6" t="str">
        <f t="shared" si="25"/>
        <v>n/a</v>
      </c>
      <c r="Y99" s="16">
        <f t="shared" si="26"/>
        <v>9.335780311892701E-2</v>
      </c>
      <c r="Z99" s="16">
        <f t="shared" si="27"/>
        <v>0.15999593256675509</v>
      </c>
      <c r="AA99" s="16">
        <f t="shared" si="28"/>
        <v>0.65187965547765936</v>
      </c>
      <c r="AB99" s="16">
        <f t="shared" si="29"/>
        <v>9.4766608836658509E-2</v>
      </c>
      <c r="AC99" s="18" t="e">
        <f t="shared" si="30"/>
        <v>#VALUE!</v>
      </c>
      <c r="AD99" s="16">
        <f t="shared" si="31"/>
        <v>1.8613614709903577E-2</v>
      </c>
      <c r="AE99" s="16">
        <f t="shared" si="32"/>
        <v>5.4669783932582684E-2</v>
      </c>
      <c r="AF99" s="16">
        <f t="shared" si="33"/>
        <v>0.90753697452318538</v>
      </c>
      <c r="AG99" s="16">
        <f t="shared" si="34"/>
        <v>1.9179626834328313E-2</v>
      </c>
      <c r="AH99" s="16" t="e">
        <f t="shared" si="35"/>
        <v>#VALUE!</v>
      </c>
    </row>
    <row r="100" spans="1:34" x14ac:dyDescent="0.25">
      <c r="A100" s="12">
        <v>23638</v>
      </c>
      <c r="B100" s="13">
        <v>44.473996999999997</v>
      </c>
      <c r="C100" s="12">
        <v>89.452977000000004</v>
      </c>
      <c r="D100" s="14">
        <v>4</v>
      </c>
      <c r="E100" s="13" t="s">
        <v>42</v>
      </c>
      <c r="F100" s="13">
        <v>44.475540000000002</v>
      </c>
      <c r="G100" s="12">
        <v>89.479789999999994</v>
      </c>
      <c r="H100" s="13" t="s">
        <v>41</v>
      </c>
      <c r="I100" s="13">
        <v>44.493580000000001</v>
      </c>
      <c r="J100" s="12">
        <v>89.312190000000001</v>
      </c>
      <c r="K100" s="13" t="s">
        <v>43</v>
      </c>
      <c r="L100" s="13">
        <v>44.436450000000001</v>
      </c>
      <c r="M100" s="12">
        <v>89.375839999999997</v>
      </c>
      <c r="N100" s="13" t="s">
        <v>44</v>
      </c>
      <c r="O100" s="13">
        <v>44.400089999999999</v>
      </c>
      <c r="P100" s="12">
        <v>89.480119999999999</v>
      </c>
      <c r="T100" s="5">
        <f t="shared" ref="T100:T163" si="36">ACOS( SIN($B100*PI()/180)*SIN(F100*PI()/180) + COS($B100*PI()/180) *COS(F100*PI()/180) *COS(G100*PI()/180 - $C100*PI()/180))*20902230.97</f>
        <v>7002.499462122908</v>
      </c>
      <c r="U100" s="5">
        <f t="shared" ref="U100:U163" si="37">ACOS( SIN($B100*PI()/180)*SIN(I100*PI()/180) + COS($B100*PI()/180) *COS(I100*PI()/180) *COS(J100*PI()/180 - $C100*PI()/180))*20902230.97</f>
        <v>37333.287087113255</v>
      </c>
      <c r="V100" s="5">
        <f t="shared" ref="V100:V163" si="38">IF(D100&lt;3,"n/a",ACOS( SIN($B100*PI()/180)*SIN(L100*PI()/180) + COS($B100*PI()/180) *COS(L100*PI()/180) *COS(M100*PI()/180 - $C100*PI()/180))*20902230.97)</f>
        <v>24312.535482589592</v>
      </c>
      <c r="W100" s="5">
        <f t="shared" ref="W100:W163" si="39">IF(D100&lt;4,"n/a",ACOS( SIN($B100*PI()/180)*SIN(O100*PI()/180) + COS($B100*PI()/180) *COS(O100*PI()/180) *COS(P100*PI()/180 - $C100*PI()/180))*20902230.97)</f>
        <v>27873.828626110622</v>
      </c>
      <c r="X100" s="6" t="str">
        <f t="shared" ref="X100:X163" si="40">IF(D100&lt;5,"n/a", ACOS( SIN($B100*PI()/180)*SIN(R100*PI()/180) + COS($B100*PI()/180) *COS(R100*PI()/180) *COS(S100*PI()/180 - $C100*PI()/180))*20902230.97)</f>
        <v>n/a</v>
      </c>
      <c r="Y100" s="16">
        <f t="shared" ref="Y100:Y163" si="41">IF($D100=2,(1/T100)/((1/$T100)+(1/$U100)),IF($D100=3,(1/T100)/((1/$T100)+(1/$U100)+(1/$V100)),IF($D100=4,(1/T100)/((1/$T100)+(1/$U100)+(1/$V100)+(1/$W100)),IF($D100=5,(1/T100)/((1/$T100)+(1/$U100)+(1/$V100)+(1/$W100)+(1/$X100)),"error"))))</f>
        <v>0.57910297467483196</v>
      </c>
      <c r="Z100" s="16">
        <f t="shared" ref="Z100:Z163" si="42">IF($D100=2,(1/U100)/((1/$T100)+(1/$U100)),IF($D100=3,(1/U100)/((1/$T100)+(1/$U100)+(1/$V100)),IF($D100=4,(1/U100)/((1/$T100)+(1/$U100)+(1/$V100)+(1/$W100)),IF($D100=5,(1/U100)/((1/$T100)+(1/$U100)+(1/$V100)+(1/$W100)+(1/$X100)),"error"))))</f>
        <v>0.10862071317781322</v>
      </c>
      <c r="AA100" s="16">
        <f t="shared" ref="AA100:AA163" si="43">IF($D100=2,(1/V100)/((1/$T100)+(1/$U100)),IF($D100=3,(1/V100)/((1/$T100)+(1/$U100)+(1/$V100)),IF($D100=4,(1/V100)/((1/$T100)+(1/$U100)+(1/$V100)+(1/$W100)),IF($D100=5,(1/V100)/((1/$T100)+(1/$U100)+(1/$V100)+(1/$W100)+(1/$X100)),"error"))))</f>
        <v>0.16679331004280595</v>
      </c>
      <c r="AB100" s="16">
        <f t="shared" ref="AB100:AB163" si="44">IF($D100=2,(1/W100)/((1/$T100)+(1/$U100)),IF($D100=3,(1/W100)/((1/$T100)+(1/$U100)+(1/$V100)),IF($D100=4,(1/W100)/((1/$T100)+(1/$U100)+(1/$V100)+(1/$W100)),IF($D100=5,(1/W100)/((1/$T100)+(1/$U100)+(1/$V100)+(1/$W100)+(1/$X100)),"error"))))</f>
        <v>0.1454830021045489</v>
      </c>
      <c r="AC100" s="18" t="e">
        <f t="shared" ref="AC100:AC163" si="45">IF($D100=2,(1/X100)/((1/$T100)+(1/$U100)),IF($D100=3,(1/X100)/((1/$T100)+(1/$U100)+(1/$V100)),IF($D100=4,(1/X100)/((1/$T100)+(1/$U100)+(1/$V100)+(1/$W100)),IF($D100=5,(1/X100)/((1/$T100)+(1/$U100)+(1/$V100)+(1/$W100)+(1/$X100)),"error"))))</f>
        <v>#VALUE!</v>
      </c>
      <c r="AD100" s="16">
        <f t="shared" ref="AD100:AD163" si="46">IF($D100=2,(1/T100^2)/((1/$T100^2)+(1/$U100^2)),IF($D100=3,(1/T100^2)/((1/$T100^2)+(1/$U100^2)+(1/$V100^2)),IF($D100=4,(1/T100^2)/((1/$T100^2)+(1/$U100^2)+(1/$V100^2)+(1/$W100^2)),IF($D100=5,(1/T100^2)/((1/$T100^2)+(1/$U100^2)+(1/$V100^2)+(1/$W100^2)+(1/$X100^2)),"error"))))</f>
        <v>0.84656143372659831</v>
      </c>
      <c r="AE100" s="16">
        <f t="shared" ref="AE100:AE163" si="47">IF($D100=2,(1/U100^2)/((1/$T100^2)+(1/$U100^2)),IF($D100=3,(1/U100^2)/((1/$T100^2)+(1/$U100^2)+(1/$V100^2)),IF($D100=4,(1/U100^2)/((1/$T100^2)+(1/$U100^2)+(1/$V100^2)+(1/$W100^2)),IF($D100=5,(1/U100^2)/((1/$T100^2)+(1/$U100^2)+(1/$V100^2)+(1/$W100^2)+(1/$X100^2)),"error"))))</f>
        <v>2.9783256930600226E-2</v>
      </c>
      <c r="AF100" s="16">
        <f t="shared" ref="AF100:AF163" si="48">IF($D100=2,(1/V100^2)/((1/$T100^2)+(1/$U100^2)),IF($D100=3,(1/V100^2)/((1/$T100^2)+(1/$U100^2)+(1/$V100^2)),IF($D100=4,(1/V100^2)/((1/$T100^2)+(1/$U100^2)+(1/$V100^2)+(1/$W100^2)),IF($D100=5,(1/V100^2)/((1/$T100^2)+(1/$U100^2)+(1/$V100^2)+(1/$W100^2)+(1/$X100^2)),"error"))))</f>
        <v>7.0227004306548782E-2</v>
      </c>
      <c r="AG100" s="16">
        <f t="shared" ref="AG100:AG163" si="49">IF($D100=2,(1/W100^2)/((1/$T100^2)+(1/$U100^2)),IF($D100=3,(1/W100^2)/((1/$T100^2)+(1/$U100^2)+(1/$V100^2)),IF($D100=4,(1/W100^2)/((1/$T100^2)+(1/$U100^2)+(1/$V100^2)+(1/$W100^2)),IF($D100=5,(1/W100^2)/((1/$T100^2)+(1/$U100^2)+(1/$V100^2)+(1/$W100^2)+(1/$X100^2)),"error"))))</f>
        <v>5.3428305036252587E-2</v>
      </c>
      <c r="AH100" s="16" t="e">
        <f t="shared" ref="AH100:AH163" si="50">IF($D100=2,(1/X100^2)/((1/$T100^2)+(1/$U100^2)),IF($D100=3,(1/X100^2)/((1/$T100^2)+(1/$U100^2)+(1/$V100^2)),IF($D100=4,(1/X100^2)/((1/$T100^2)+(1/$U100^2)+(1/$V100^2)+(1/$W100^2)),IF($D100=5,(1/X100^2)/((1/$T100^2)+(1/$U100^2)+(1/$V100^2)+(1/$W100^2)+(1/$X100^2)),"error"))))</f>
        <v>#VALUE!</v>
      </c>
    </row>
    <row r="101" spans="1:34" x14ac:dyDescent="0.25">
      <c r="A101" s="12">
        <v>23639</v>
      </c>
      <c r="B101" s="13">
        <v>44.442295999999999</v>
      </c>
      <c r="C101" s="12">
        <v>89.523703999999995</v>
      </c>
      <c r="D101" s="14">
        <v>4</v>
      </c>
      <c r="E101" s="13" t="s">
        <v>42</v>
      </c>
      <c r="F101" s="13">
        <v>44.471739999999997</v>
      </c>
      <c r="G101" s="12">
        <v>89.518829999999994</v>
      </c>
      <c r="H101" s="13" t="s">
        <v>48</v>
      </c>
      <c r="I101" s="13">
        <v>44.46199</v>
      </c>
      <c r="J101" s="12">
        <v>89.555289999999999</v>
      </c>
      <c r="K101" s="13" t="s">
        <v>50</v>
      </c>
      <c r="L101" s="13">
        <v>44.429729999999999</v>
      </c>
      <c r="M101" s="12">
        <v>89.569149999999993</v>
      </c>
      <c r="N101" s="13" t="s">
        <v>44</v>
      </c>
      <c r="O101" s="13">
        <v>44.395850000000003</v>
      </c>
      <c r="P101" s="12">
        <v>89.507069999999999</v>
      </c>
      <c r="T101" s="5">
        <f t="shared" si="36"/>
        <v>10816.265526315328</v>
      </c>
      <c r="U101" s="5">
        <f t="shared" si="37"/>
        <v>10921.438573500962</v>
      </c>
      <c r="V101" s="5">
        <f t="shared" si="38"/>
        <v>12694.76289285468</v>
      </c>
      <c r="W101" s="5">
        <f t="shared" si="39"/>
        <v>17489.646297205163</v>
      </c>
      <c r="X101" s="6" t="str">
        <f t="shared" si="40"/>
        <v>n/a</v>
      </c>
      <c r="Y101" s="16">
        <f t="shared" si="41"/>
        <v>0.28894768901524959</v>
      </c>
      <c r="Z101" s="16">
        <f t="shared" si="42"/>
        <v>0.2861651335188779</v>
      </c>
      <c r="AA101" s="16">
        <f t="shared" si="43"/>
        <v>0.24619088627194752</v>
      </c>
      <c r="AB101" s="16">
        <f t="shared" si="44"/>
        <v>0.17869629119392502</v>
      </c>
      <c r="AC101" s="18" t="e">
        <f t="shared" si="45"/>
        <v>#VALUE!</v>
      </c>
      <c r="AD101" s="16">
        <f t="shared" si="46"/>
        <v>0.32370352102554234</v>
      </c>
      <c r="AE101" s="16">
        <f t="shared" si="47"/>
        <v>0.31749903432324772</v>
      </c>
      <c r="AF101" s="16">
        <f t="shared" si="48"/>
        <v>0.23499191271116321</v>
      </c>
      <c r="AG101" s="16">
        <f t="shared" si="49"/>
        <v>0.12380553194004673</v>
      </c>
      <c r="AH101" s="16" t="e">
        <f t="shared" si="50"/>
        <v>#VALUE!</v>
      </c>
    </row>
    <row r="102" spans="1:34" x14ac:dyDescent="0.25">
      <c r="A102" s="12">
        <v>23645</v>
      </c>
      <c r="B102" s="13">
        <v>44.464844999999997</v>
      </c>
      <c r="C102" s="12">
        <v>89.515370000000004</v>
      </c>
      <c r="D102" s="14">
        <v>4</v>
      </c>
      <c r="E102" s="13" t="s">
        <v>42</v>
      </c>
      <c r="F102" s="13">
        <v>44.470440000000004</v>
      </c>
      <c r="G102" s="12">
        <v>89.513620000000003</v>
      </c>
      <c r="H102" s="13" t="s">
        <v>48</v>
      </c>
      <c r="I102" s="13">
        <v>44.46199</v>
      </c>
      <c r="J102" s="12">
        <v>89.555289999999999</v>
      </c>
      <c r="K102" s="13" t="s">
        <v>50</v>
      </c>
      <c r="L102" s="13">
        <v>44.429729999999999</v>
      </c>
      <c r="M102" s="12">
        <v>89.569149999999993</v>
      </c>
      <c r="N102" s="13" t="s">
        <v>44</v>
      </c>
      <c r="O102" s="13">
        <v>44.395850000000003</v>
      </c>
      <c r="P102" s="12">
        <v>89.507069999999999</v>
      </c>
      <c r="T102" s="5">
        <f t="shared" si="36"/>
        <v>2091.3582132282513</v>
      </c>
      <c r="U102" s="5">
        <f t="shared" si="37"/>
        <v>10445.868125761861</v>
      </c>
      <c r="V102" s="5">
        <f t="shared" si="38"/>
        <v>18981.156495989904</v>
      </c>
      <c r="W102" s="5">
        <f t="shared" si="39"/>
        <v>25262.960072634665</v>
      </c>
      <c r="X102" s="6" t="str">
        <f t="shared" si="40"/>
        <v>n/a</v>
      </c>
      <c r="Y102" s="16">
        <f t="shared" si="41"/>
        <v>0.71778570411528075</v>
      </c>
      <c r="Z102" s="16">
        <f t="shared" si="42"/>
        <v>0.14370725434845857</v>
      </c>
      <c r="AA102" s="16">
        <f t="shared" si="43"/>
        <v>7.9086173066243826E-2</v>
      </c>
      <c r="AB102" s="16">
        <f t="shared" si="44"/>
        <v>5.9420868470017006E-2</v>
      </c>
      <c r="AC102" s="18" t="e">
        <f t="shared" si="45"/>
        <v>#VALUE!</v>
      </c>
      <c r="AD102" s="16">
        <f t="shared" si="46"/>
        <v>0.94421874999456601</v>
      </c>
      <c r="AE102" s="16">
        <f t="shared" si="47"/>
        <v>3.784777866318427E-2</v>
      </c>
      <c r="AF102" s="16">
        <f t="shared" si="48"/>
        <v>1.1462626276753209E-2</v>
      </c>
      <c r="AG102" s="16">
        <f t="shared" si="49"/>
        <v>6.4708450654965468E-3</v>
      </c>
      <c r="AH102" s="16" t="e">
        <f t="shared" si="50"/>
        <v>#VALUE!</v>
      </c>
    </row>
    <row r="103" spans="1:34" x14ac:dyDescent="0.25">
      <c r="A103" s="12">
        <v>23646</v>
      </c>
      <c r="B103" s="13">
        <v>44.460811999999997</v>
      </c>
      <c r="C103" s="12">
        <v>89.518877000000003</v>
      </c>
      <c r="D103" s="14">
        <v>4</v>
      </c>
      <c r="E103" s="13" t="s">
        <v>42</v>
      </c>
      <c r="F103" s="13">
        <v>44.470440000000004</v>
      </c>
      <c r="G103" s="12">
        <v>89.513620000000003</v>
      </c>
      <c r="H103" s="13" t="s">
        <v>48</v>
      </c>
      <c r="I103" s="13">
        <v>44.46199</v>
      </c>
      <c r="J103" s="12">
        <v>89.555289999999999</v>
      </c>
      <c r="K103" s="13" t="s">
        <v>50</v>
      </c>
      <c r="L103" s="13">
        <v>44.429729999999999</v>
      </c>
      <c r="M103" s="12">
        <v>89.569149999999993</v>
      </c>
      <c r="N103" s="13" t="s">
        <v>44</v>
      </c>
      <c r="O103" s="13">
        <v>44.395850000000003</v>
      </c>
      <c r="P103" s="12">
        <v>89.507069999999999</v>
      </c>
      <c r="T103" s="5">
        <f t="shared" si="36"/>
        <v>3769.6676131183876</v>
      </c>
      <c r="U103" s="5">
        <f t="shared" si="37"/>
        <v>9490.7716610055595</v>
      </c>
      <c r="V103" s="5">
        <f t="shared" si="38"/>
        <v>17320.90816464266</v>
      </c>
      <c r="W103" s="5">
        <f t="shared" si="39"/>
        <v>23897.754976661108</v>
      </c>
      <c r="X103" s="6" t="str">
        <f t="shared" si="40"/>
        <v>n/a</v>
      </c>
      <c r="Y103" s="16">
        <f t="shared" si="41"/>
        <v>0.56415220667442956</v>
      </c>
      <c r="Z103" s="16">
        <f t="shared" si="42"/>
        <v>0.22407728036568789</v>
      </c>
      <c r="AA103" s="16">
        <f t="shared" si="43"/>
        <v>0.12278030009483297</v>
      </c>
      <c r="AB103" s="16">
        <f t="shared" si="44"/>
        <v>8.8990212865049503E-2</v>
      </c>
      <c r="AC103" s="18" t="e">
        <f t="shared" si="45"/>
        <v>#VALUE!</v>
      </c>
      <c r="AD103" s="16">
        <f t="shared" si="46"/>
        <v>0.81300124794738848</v>
      </c>
      <c r="AE103" s="16">
        <f t="shared" si="47"/>
        <v>0.12826089893045628</v>
      </c>
      <c r="AF103" s="16">
        <f t="shared" si="48"/>
        <v>3.8508447572950792E-2</v>
      </c>
      <c r="AG103" s="16">
        <f t="shared" si="49"/>
        <v>2.0229405549204327E-2</v>
      </c>
      <c r="AH103" s="16" t="e">
        <f t="shared" si="50"/>
        <v>#VALUE!</v>
      </c>
    </row>
    <row r="104" spans="1:34" x14ac:dyDescent="0.25">
      <c r="A104" s="12">
        <v>23647</v>
      </c>
      <c r="B104" s="13">
        <v>44.572763299999998</v>
      </c>
      <c r="C104" s="12">
        <v>89.4607168</v>
      </c>
      <c r="D104" s="13">
        <v>0</v>
      </c>
      <c r="T104" s="5">
        <f t="shared" si="36"/>
        <v>32693000.852578145</v>
      </c>
      <c r="U104" s="5">
        <f t="shared" si="37"/>
        <v>32693000.852578145</v>
      </c>
      <c r="V104" s="5" t="str">
        <f t="shared" si="38"/>
        <v>n/a</v>
      </c>
      <c r="W104" s="5" t="str">
        <f t="shared" si="39"/>
        <v>n/a</v>
      </c>
      <c r="X104" s="6" t="str">
        <f t="shared" si="40"/>
        <v>n/a</v>
      </c>
      <c r="Y104" s="16" t="str">
        <f t="shared" si="41"/>
        <v>error</v>
      </c>
      <c r="Z104" s="16" t="str">
        <f t="shared" si="42"/>
        <v>error</v>
      </c>
      <c r="AA104" s="16" t="str">
        <f t="shared" si="43"/>
        <v>error</v>
      </c>
      <c r="AB104" s="16" t="str">
        <f t="shared" si="44"/>
        <v>error</v>
      </c>
      <c r="AC104" s="18" t="str">
        <f t="shared" si="45"/>
        <v>error</v>
      </c>
      <c r="AD104" s="16" t="str">
        <f t="shared" si="46"/>
        <v>error</v>
      </c>
      <c r="AE104" s="16" t="str">
        <f t="shared" si="47"/>
        <v>error</v>
      </c>
      <c r="AF104" s="16" t="str">
        <f t="shared" si="48"/>
        <v>error</v>
      </c>
      <c r="AG104" s="16" t="str">
        <f t="shared" si="49"/>
        <v>error</v>
      </c>
      <c r="AH104" s="16" t="str">
        <f t="shared" si="50"/>
        <v>error</v>
      </c>
    </row>
    <row r="105" spans="1:34" x14ac:dyDescent="0.25">
      <c r="A105" s="12">
        <v>23648</v>
      </c>
      <c r="B105" s="13">
        <v>44.569730800000002</v>
      </c>
      <c r="C105" s="12">
        <v>89.443743900000001</v>
      </c>
      <c r="D105" s="14">
        <v>4</v>
      </c>
      <c r="E105" s="13" t="s">
        <v>42</v>
      </c>
      <c r="F105" s="13">
        <v>44.481119999999997</v>
      </c>
      <c r="G105" s="12">
        <v>89.479669999999999</v>
      </c>
      <c r="H105" s="13" t="s">
        <v>39</v>
      </c>
      <c r="I105" s="13">
        <v>44.58616</v>
      </c>
      <c r="J105" s="12">
        <v>89.487179999999995</v>
      </c>
      <c r="K105" s="13" t="s">
        <v>40</v>
      </c>
      <c r="L105" s="13">
        <v>44.554780000000001</v>
      </c>
      <c r="M105" s="13">
        <v>89.461330000000004</v>
      </c>
      <c r="N105" s="13" t="s">
        <v>41</v>
      </c>
      <c r="O105" s="13">
        <v>44.570529999999998</v>
      </c>
      <c r="P105" s="12">
        <v>89.378259999999997</v>
      </c>
      <c r="T105" s="5">
        <f t="shared" si="36"/>
        <v>33649.711585238365</v>
      </c>
      <c r="U105" s="5">
        <f t="shared" si="37"/>
        <v>12779.715624243076</v>
      </c>
      <c r="V105" s="5">
        <f t="shared" si="38"/>
        <v>7116.4171939842035</v>
      </c>
      <c r="W105" s="5">
        <f t="shared" si="39"/>
        <v>17021.086940713376</v>
      </c>
      <c r="X105" s="6" t="str">
        <f t="shared" si="40"/>
        <v>n/a</v>
      </c>
      <c r="Y105" s="16">
        <f t="shared" si="41"/>
        <v>9.672619163747756E-2</v>
      </c>
      <c r="Z105" s="16">
        <f t="shared" si="42"/>
        <v>0.25468551468901662</v>
      </c>
      <c r="AA105" s="16">
        <f t="shared" si="43"/>
        <v>0.45736616651579071</v>
      </c>
      <c r="AB105" s="16">
        <f t="shared" si="44"/>
        <v>0.19122212715771497</v>
      </c>
      <c r="AC105" s="18" t="e">
        <f t="shared" si="45"/>
        <v>#VALUE!</v>
      </c>
      <c r="AD105" s="16">
        <f t="shared" si="46"/>
        <v>2.9240069523338703E-2</v>
      </c>
      <c r="AE105" s="16">
        <f t="shared" si="47"/>
        <v>0.20272098763426821</v>
      </c>
      <c r="AF105" s="16">
        <f t="shared" si="48"/>
        <v>0.65375992131023919</v>
      </c>
      <c r="AG105" s="16">
        <f t="shared" si="49"/>
        <v>0.11427902153215379</v>
      </c>
      <c r="AH105" s="16" t="e">
        <f t="shared" si="50"/>
        <v>#VALUE!</v>
      </c>
    </row>
    <row r="106" spans="1:34" x14ac:dyDescent="0.25">
      <c r="A106" s="12">
        <v>23653</v>
      </c>
      <c r="B106" s="13">
        <v>44.465116700000003</v>
      </c>
      <c r="C106" s="12">
        <v>89.498433300000002</v>
      </c>
      <c r="D106" s="14">
        <v>2</v>
      </c>
      <c r="E106" s="13" t="s">
        <v>42</v>
      </c>
      <c r="F106" s="13">
        <v>44.468710000000002</v>
      </c>
      <c r="G106" s="12">
        <v>89.499610000000004</v>
      </c>
      <c r="H106" s="13" t="s">
        <v>48</v>
      </c>
      <c r="I106" s="13">
        <v>44.466900000000003</v>
      </c>
      <c r="J106" s="12">
        <v>89.552930000000003</v>
      </c>
      <c r="T106" s="5">
        <f t="shared" si="36"/>
        <v>1346.2034519707686</v>
      </c>
      <c r="U106" s="5">
        <f t="shared" si="37"/>
        <v>14203.368628730124</v>
      </c>
      <c r="V106" s="5" t="str">
        <f t="shared" si="38"/>
        <v>n/a</v>
      </c>
      <c r="W106" s="5" t="str">
        <f t="shared" si="39"/>
        <v>n/a</v>
      </c>
      <c r="X106" s="6" t="str">
        <f t="shared" si="40"/>
        <v>n/a</v>
      </c>
      <c r="Y106" s="16">
        <f t="shared" si="41"/>
        <v>0.91342504829174131</v>
      </c>
      <c r="Z106" s="16">
        <f t="shared" si="42"/>
        <v>8.6574951708258768E-2</v>
      </c>
      <c r="AA106" s="16" t="e">
        <f t="shared" si="43"/>
        <v>#VALUE!</v>
      </c>
      <c r="AB106" s="16" t="e">
        <f t="shared" si="44"/>
        <v>#VALUE!</v>
      </c>
      <c r="AC106" s="18" t="e">
        <f t="shared" si="45"/>
        <v>#VALUE!</v>
      </c>
      <c r="AD106" s="16">
        <f t="shared" si="46"/>
        <v>0.9910966247201588</v>
      </c>
      <c r="AE106" s="16">
        <f t="shared" si="47"/>
        <v>8.9033752798410998E-3</v>
      </c>
      <c r="AF106" s="16" t="e">
        <f t="shared" si="48"/>
        <v>#VALUE!</v>
      </c>
      <c r="AG106" s="16" t="e">
        <f t="shared" si="49"/>
        <v>#VALUE!</v>
      </c>
      <c r="AH106" s="16" t="e">
        <f t="shared" si="50"/>
        <v>#VALUE!</v>
      </c>
    </row>
    <row r="107" spans="1:34" x14ac:dyDescent="0.25">
      <c r="A107" s="12">
        <v>23654</v>
      </c>
      <c r="B107" s="13">
        <v>44.381061000000003</v>
      </c>
      <c r="C107" s="12">
        <v>89.662773000000001</v>
      </c>
      <c r="D107" s="13">
        <v>0</v>
      </c>
      <c r="T107" s="5">
        <f t="shared" si="36"/>
        <v>32745221.63641813</v>
      </c>
      <c r="U107" s="5">
        <f t="shared" si="37"/>
        <v>32745221.63641813</v>
      </c>
      <c r="V107" s="5" t="str">
        <f t="shared" si="38"/>
        <v>n/a</v>
      </c>
      <c r="W107" s="5" t="str">
        <f t="shared" si="39"/>
        <v>n/a</v>
      </c>
      <c r="X107" s="6" t="str">
        <f t="shared" si="40"/>
        <v>n/a</v>
      </c>
      <c r="Y107" s="16" t="str">
        <f t="shared" si="41"/>
        <v>error</v>
      </c>
      <c r="Z107" s="16" t="str">
        <f t="shared" si="42"/>
        <v>error</v>
      </c>
      <c r="AA107" s="16" t="str">
        <f t="shared" si="43"/>
        <v>error</v>
      </c>
      <c r="AB107" s="16" t="str">
        <f t="shared" si="44"/>
        <v>error</v>
      </c>
      <c r="AC107" s="18" t="str">
        <f t="shared" si="45"/>
        <v>error</v>
      </c>
      <c r="AD107" s="16" t="str">
        <f t="shared" si="46"/>
        <v>error</v>
      </c>
      <c r="AE107" s="16" t="str">
        <f t="shared" si="47"/>
        <v>error</v>
      </c>
      <c r="AF107" s="16" t="str">
        <f t="shared" si="48"/>
        <v>error</v>
      </c>
      <c r="AG107" s="16" t="str">
        <f t="shared" si="49"/>
        <v>error</v>
      </c>
      <c r="AH107" s="16" t="str">
        <f t="shared" si="50"/>
        <v>error</v>
      </c>
    </row>
    <row r="108" spans="1:34" x14ac:dyDescent="0.25">
      <c r="A108" s="12">
        <v>23655</v>
      </c>
      <c r="B108" s="13">
        <v>44.440849999999998</v>
      </c>
      <c r="C108" s="12">
        <v>89.654719999999998</v>
      </c>
      <c r="D108" s="14">
        <v>0</v>
      </c>
      <c r="T108" s="5">
        <f t="shared" si="36"/>
        <v>32743213.955627885</v>
      </c>
      <c r="U108" s="5">
        <f t="shared" si="37"/>
        <v>32743213.955627885</v>
      </c>
      <c r="V108" s="5" t="str">
        <f t="shared" si="38"/>
        <v>n/a</v>
      </c>
      <c r="W108" s="5" t="str">
        <f t="shared" si="39"/>
        <v>n/a</v>
      </c>
      <c r="X108" s="6" t="str">
        <f t="shared" si="40"/>
        <v>n/a</v>
      </c>
      <c r="Y108" s="16" t="str">
        <f t="shared" si="41"/>
        <v>error</v>
      </c>
      <c r="Z108" s="16" t="str">
        <f t="shared" si="42"/>
        <v>error</v>
      </c>
      <c r="AA108" s="16" t="str">
        <f t="shared" si="43"/>
        <v>error</v>
      </c>
      <c r="AB108" s="16" t="str">
        <f t="shared" si="44"/>
        <v>error</v>
      </c>
      <c r="AC108" s="18" t="str">
        <f t="shared" si="45"/>
        <v>error</v>
      </c>
      <c r="AD108" s="16" t="str">
        <f t="shared" si="46"/>
        <v>error</v>
      </c>
      <c r="AE108" s="16" t="str">
        <f t="shared" si="47"/>
        <v>error</v>
      </c>
      <c r="AF108" s="16" t="str">
        <f t="shared" si="48"/>
        <v>error</v>
      </c>
      <c r="AG108" s="16" t="str">
        <f t="shared" si="49"/>
        <v>error</v>
      </c>
      <c r="AH108" s="16" t="str">
        <f t="shared" si="50"/>
        <v>error</v>
      </c>
    </row>
    <row r="109" spans="1:34" x14ac:dyDescent="0.25">
      <c r="A109" s="12">
        <v>23656</v>
      </c>
      <c r="B109" s="13">
        <v>44.434620000000002</v>
      </c>
      <c r="C109" s="12">
        <v>89.660669999999996</v>
      </c>
      <c r="D109" s="13">
        <v>0</v>
      </c>
      <c r="T109" s="5">
        <f t="shared" si="36"/>
        <v>32744754.294805139</v>
      </c>
      <c r="U109" s="5">
        <f t="shared" si="37"/>
        <v>32744754.294805139</v>
      </c>
      <c r="V109" s="5" t="str">
        <f t="shared" si="38"/>
        <v>n/a</v>
      </c>
      <c r="W109" s="5" t="str">
        <f t="shared" si="39"/>
        <v>n/a</v>
      </c>
      <c r="X109" s="6" t="str">
        <f t="shared" si="40"/>
        <v>n/a</v>
      </c>
      <c r="Y109" s="16" t="str">
        <f t="shared" si="41"/>
        <v>error</v>
      </c>
      <c r="Z109" s="16" t="str">
        <f t="shared" si="42"/>
        <v>error</v>
      </c>
      <c r="AA109" s="16" t="str">
        <f t="shared" si="43"/>
        <v>error</v>
      </c>
      <c r="AB109" s="16" t="str">
        <f t="shared" si="44"/>
        <v>error</v>
      </c>
      <c r="AC109" s="18" t="str">
        <f t="shared" si="45"/>
        <v>error</v>
      </c>
      <c r="AD109" s="16" t="str">
        <f t="shared" si="46"/>
        <v>error</v>
      </c>
      <c r="AE109" s="16" t="str">
        <f t="shared" si="47"/>
        <v>error</v>
      </c>
      <c r="AF109" s="16" t="str">
        <f t="shared" si="48"/>
        <v>error</v>
      </c>
      <c r="AG109" s="16" t="str">
        <f t="shared" si="49"/>
        <v>error</v>
      </c>
      <c r="AH109" s="16" t="str">
        <f t="shared" si="50"/>
        <v>error</v>
      </c>
    </row>
    <row r="110" spans="1:34" x14ac:dyDescent="0.25">
      <c r="A110" s="12">
        <v>23664</v>
      </c>
      <c r="B110" s="13">
        <v>44.388300000000001</v>
      </c>
      <c r="C110" s="12">
        <v>89.652799999999999</v>
      </c>
      <c r="D110" s="14">
        <v>0</v>
      </c>
      <c r="T110" s="5">
        <f t="shared" si="36"/>
        <v>32742632.56169549</v>
      </c>
      <c r="U110" s="5">
        <f t="shared" si="37"/>
        <v>32742632.56169549</v>
      </c>
      <c r="V110" s="5" t="str">
        <f t="shared" si="38"/>
        <v>n/a</v>
      </c>
      <c r="W110" s="5" t="str">
        <f t="shared" si="39"/>
        <v>n/a</v>
      </c>
      <c r="X110" s="6" t="str">
        <f t="shared" si="40"/>
        <v>n/a</v>
      </c>
      <c r="Y110" s="16" t="str">
        <f t="shared" si="41"/>
        <v>error</v>
      </c>
      <c r="Z110" s="16" t="str">
        <f t="shared" si="42"/>
        <v>error</v>
      </c>
      <c r="AA110" s="16" t="str">
        <f t="shared" si="43"/>
        <v>error</v>
      </c>
      <c r="AB110" s="16" t="str">
        <f t="shared" si="44"/>
        <v>error</v>
      </c>
      <c r="AC110" s="18" t="str">
        <f t="shared" si="45"/>
        <v>error</v>
      </c>
      <c r="AD110" s="16" t="str">
        <f t="shared" si="46"/>
        <v>error</v>
      </c>
      <c r="AE110" s="16" t="str">
        <f t="shared" si="47"/>
        <v>error</v>
      </c>
      <c r="AF110" s="16" t="str">
        <f t="shared" si="48"/>
        <v>error</v>
      </c>
      <c r="AG110" s="16" t="str">
        <f t="shared" si="49"/>
        <v>error</v>
      </c>
      <c r="AH110" s="16" t="str">
        <f t="shared" si="50"/>
        <v>error</v>
      </c>
    </row>
    <row r="111" spans="1:34" x14ac:dyDescent="0.25">
      <c r="A111" s="12">
        <v>23669</v>
      </c>
      <c r="B111" s="13">
        <v>44.386517599999998</v>
      </c>
      <c r="C111" s="12">
        <v>89.650136599999996</v>
      </c>
      <c r="D111" s="13">
        <v>0</v>
      </c>
      <c r="T111" s="5">
        <f t="shared" si="36"/>
        <v>32741935.439872589</v>
      </c>
      <c r="U111" s="5">
        <f t="shared" si="37"/>
        <v>32741935.439872589</v>
      </c>
      <c r="V111" s="5" t="str">
        <f t="shared" si="38"/>
        <v>n/a</v>
      </c>
      <c r="W111" s="5" t="str">
        <f t="shared" si="39"/>
        <v>n/a</v>
      </c>
      <c r="X111" s="6" t="str">
        <f t="shared" si="40"/>
        <v>n/a</v>
      </c>
      <c r="Y111" s="16" t="str">
        <f t="shared" si="41"/>
        <v>error</v>
      </c>
      <c r="Z111" s="16" t="str">
        <f t="shared" si="42"/>
        <v>error</v>
      </c>
      <c r="AA111" s="16" t="str">
        <f t="shared" si="43"/>
        <v>error</v>
      </c>
      <c r="AB111" s="16" t="str">
        <f t="shared" si="44"/>
        <v>error</v>
      </c>
      <c r="AC111" s="18" t="str">
        <f t="shared" si="45"/>
        <v>error</v>
      </c>
      <c r="AD111" s="16" t="str">
        <f t="shared" si="46"/>
        <v>error</v>
      </c>
      <c r="AE111" s="16" t="str">
        <f t="shared" si="47"/>
        <v>error</v>
      </c>
      <c r="AF111" s="16" t="str">
        <f t="shared" si="48"/>
        <v>error</v>
      </c>
      <c r="AG111" s="16" t="str">
        <f t="shared" si="49"/>
        <v>error</v>
      </c>
      <c r="AH111" s="16" t="str">
        <f t="shared" si="50"/>
        <v>error</v>
      </c>
    </row>
    <row r="112" spans="1:34" x14ac:dyDescent="0.25">
      <c r="A112" s="12">
        <v>23670</v>
      </c>
      <c r="B112" s="13">
        <v>44.383499999999998</v>
      </c>
      <c r="C112" s="12">
        <v>89.652900000000002</v>
      </c>
      <c r="D112" s="13">
        <v>0</v>
      </c>
      <c r="T112" s="5">
        <f t="shared" si="36"/>
        <v>32742651.211193904</v>
      </c>
      <c r="U112" s="5">
        <f t="shared" si="37"/>
        <v>32742651.211193904</v>
      </c>
      <c r="V112" s="5" t="str">
        <f t="shared" si="38"/>
        <v>n/a</v>
      </c>
      <c r="W112" s="5" t="str">
        <f t="shared" si="39"/>
        <v>n/a</v>
      </c>
      <c r="X112" s="6" t="str">
        <f t="shared" si="40"/>
        <v>n/a</v>
      </c>
      <c r="Y112" s="16" t="str">
        <f t="shared" si="41"/>
        <v>error</v>
      </c>
      <c r="Z112" s="16" t="str">
        <f t="shared" si="42"/>
        <v>error</v>
      </c>
      <c r="AA112" s="16" t="str">
        <f t="shared" si="43"/>
        <v>error</v>
      </c>
      <c r="AB112" s="16" t="str">
        <f t="shared" si="44"/>
        <v>error</v>
      </c>
      <c r="AC112" s="18" t="str">
        <f t="shared" si="45"/>
        <v>error</v>
      </c>
      <c r="AD112" s="16" t="str">
        <f t="shared" si="46"/>
        <v>error</v>
      </c>
      <c r="AE112" s="16" t="str">
        <f t="shared" si="47"/>
        <v>error</v>
      </c>
      <c r="AF112" s="16" t="str">
        <f t="shared" si="48"/>
        <v>error</v>
      </c>
      <c r="AG112" s="16" t="str">
        <f t="shared" si="49"/>
        <v>error</v>
      </c>
      <c r="AH112" s="16" t="str">
        <f t="shared" si="50"/>
        <v>error</v>
      </c>
    </row>
    <row r="113" spans="1:34" x14ac:dyDescent="0.25">
      <c r="A113" s="12">
        <v>23671</v>
      </c>
      <c r="B113" s="13">
        <v>44.416831999999999</v>
      </c>
      <c r="C113" s="12">
        <v>89.683024000000003</v>
      </c>
      <c r="D113" s="14">
        <v>0</v>
      </c>
      <c r="T113" s="5">
        <f t="shared" si="36"/>
        <v>32750552.21145431</v>
      </c>
      <c r="U113" s="5">
        <f t="shared" si="37"/>
        <v>32750552.21145431</v>
      </c>
      <c r="V113" s="5" t="str">
        <f t="shared" si="38"/>
        <v>n/a</v>
      </c>
      <c r="W113" s="5" t="str">
        <f t="shared" si="39"/>
        <v>n/a</v>
      </c>
      <c r="X113" s="6" t="str">
        <f t="shared" si="40"/>
        <v>n/a</v>
      </c>
      <c r="Y113" s="16" t="str">
        <f t="shared" si="41"/>
        <v>error</v>
      </c>
      <c r="Z113" s="16" t="str">
        <f t="shared" si="42"/>
        <v>error</v>
      </c>
      <c r="AA113" s="16" t="str">
        <f t="shared" si="43"/>
        <v>error</v>
      </c>
      <c r="AB113" s="16" t="str">
        <f t="shared" si="44"/>
        <v>error</v>
      </c>
      <c r="AC113" s="18" t="str">
        <f t="shared" si="45"/>
        <v>error</v>
      </c>
      <c r="AD113" s="16" t="str">
        <f t="shared" si="46"/>
        <v>error</v>
      </c>
      <c r="AE113" s="16" t="str">
        <f t="shared" si="47"/>
        <v>error</v>
      </c>
      <c r="AF113" s="16" t="str">
        <f t="shared" si="48"/>
        <v>error</v>
      </c>
      <c r="AG113" s="16" t="str">
        <f t="shared" si="49"/>
        <v>error</v>
      </c>
      <c r="AH113" s="16" t="str">
        <f t="shared" si="50"/>
        <v>error</v>
      </c>
    </row>
    <row r="114" spans="1:34" x14ac:dyDescent="0.25">
      <c r="A114" s="12">
        <v>23674</v>
      </c>
      <c r="B114" s="13">
        <v>44.428150000000002</v>
      </c>
      <c r="C114" s="12">
        <v>89.62697</v>
      </c>
      <c r="D114" s="14">
        <v>0</v>
      </c>
      <c r="T114" s="5">
        <f t="shared" si="36"/>
        <v>32735964.956486396</v>
      </c>
      <c r="U114" s="5">
        <f t="shared" si="37"/>
        <v>32735964.956486396</v>
      </c>
      <c r="V114" s="5" t="str">
        <f t="shared" si="38"/>
        <v>n/a</v>
      </c>
      <c r="W114" s="5" t="str">
        <f t="shared" si="39"/>
        <v>n/a</v>
      </c>
      <c r="X114" s="6" t="str">
        <f t="shared" si="40"/>
        <v>n/a</v>
      </c>
      <c r="Y114" s="16" t="str">
        <f t="shared" si="41"/>
        <v>error</v>
      </c>
      <c r="Z114" s="16" t="str">
        <f t="shared" si="42"/>
        <v>error</v>
      </c>
      <c r="AA114" s="16" t="str">
        <f t="shared" si="43"/>
        <v>error</v>
      </c>
      <c r="AB114" s="16" t="str">
        <f t="shared" si="44"/>
        <v>error</v>
      </c>
      <c r="AC114" s="18" t="str">
        <f t="shared" si="45"/>
        <v>error</v>
      </c>
      <c r="AD114" s="16" t="str">
        <f t="shared" si="46"/>
        <v>error</v>
      </c>
      <c r="AE114" s="16" t="str">
        <f t="shared" si="47"/>
        <v>error</v>
      </c>
      <c r="AF114" s="16" t="str">
        <f t="shared" si="48"/>
        <v>error</v>
      </c>
      <c r="AG114" s="16" t="str">
        <f t="shared" si="49"/>
        <v>error</v>
      </c>
      <c r="AH114" s="16" t="str">
        <f t="shared" si="50"/>
        <v>error</v>
      </c>
    </row>
    <row r="115" spans="1:34" x14ac:dyDescent="0.25">
      <c r="A115" s="12">
        <v>23682</v>
      </c>
      <c r="B115" s="13">
        <v>44.4201883</v>
      </c>
      <c r="C115" s="12">
        <v>89.281316799999999</v>
      </c>
      <c r="D115" s="14">
        <v>0</v>
      </c>
      <c r="T115" s="5">
        <f t="shared" si="36"/>
        <v>32645890.80914434</v>
      </c>
      <c r="U115" s="5">
        <f t="shared" si="37"/>
        <v>32645890.80914434</v>
      </c>
      <c r="V115" s="5" t="str">
        <f t="shared" si="38"/>
        <v>n/a</v>
      </c>
      <c r="W115" s="5" t="str">
        <f t="shared" si="39"/>
        <v>n/a</v>
      </c>
      <c r="X115" s="6" t="str">
        <f t="shared" si="40"/>
        <v>n/a</v>
      </c>
      <c r="Y115" s="16" t="str">
        <f t="shared" si="41"/>
        <v>error</v>
      </c>
      <c r="Z115" s="16" t="str">
        <f t="shared" si="42"/>
        <v>error</v>
      </c>
      <c r="AA115" s="16" t="str">
        <f t="shared" si="43"/>
        <v>error</v>
      </c>
      <c r="AB115" s="16" t="str">
        <f t="shared" si="44"/>
        <v>error</v>
      </c>
      <c r="AC115" s="18" t="str">
        <f t="shared" si="45"/>
        <v>error</v>
      </c>
      <c r="AD115" s="16" t="str">
        <f t="shared" si="46"/>
        <v>error</v>
      </c>
      <c r="AE115" s="16" t="str">
        <f t="shared" si="47"/>
        <v>error</v>
      </c>
      <c r="AF115" s="16" t="str">
        <f t="shared" si="48"/>
        <v>error</v>
      </c>
      <c r="AG115" s="16" t="str">
        <f t="shared" si="49"/>
        <v>error</v>
      </c>
      <c r="AH115" s="16" t="str">
        <f t="shared" si="50"/>
        <v>error</v>
      </c>
    </row>
    <row r="116" spans="1:34" x14ac:dyDescent="0.25">
      <c r="A116" s="12">
        <v>23685</v>
      </c>
      <c r="B116" s="13">
        <v>44.428199999999997</v>
      </c>
      <c r="C116" s="12">
        <v>89.574200000000005</v>
      </c>
      <c r="D116" s="14">
        <v>0</v>
      </c>
      <c r="T116" s="5">
        <f t="shared" si="36"/>
        <v>32722217.40036599</v>
      </c>
      <c r="U116" s="5">
        <f t="shared" si="37"/>
        <v>32722217.40036599</v>
      </c>
      <c r="V116" s="5" t="str">
        <f t="shared" si="38"/>
        <v>n/a</v>
      </c>
      <c r="W116" s="5" t="str">
        <f t="shared" si="39"/>
        <v>n/a</v>
      </c>
      <c r="X116" s="6" t="str">
        <f t="shared" si="40"/>
        <v>n/a</v>
      </c>
      <c r="Y116" s="16" t="str">
        <f t="shared" si="41"/>
        <v>error</v>
      </c>
      <c r="Z116" s="16" t="str">
        <f t="shared" si="42"/>
        <v>error</v>
      </c>
      <c r="AA116" s="16" t="str">
        <f t="shared" si="43"/>
        <v>error</v>
      </c>
      <c r="AB116" s="16" t="str">
        <f t="shared" si="44"/>
        <v>error</v>
      </c>
      <c r="AC116" s="18" t="str">
        <f t="shared" si="45"/>
        <v>error</v>
      </c>
      <c r="AD116" s="16" t="str">
        <f t="shared" si="46"/>
        <v>error</v>
      </c>
      <c r="AE116" s="16" t="str">
        <f t="shared" si="47"/>
        <v>error</v>
      </c>
      <c r="AF116" s="16" t="str">
        <f t="shared" si="48"/>
        <v>error</v>
      </c>
      <c r="AG116" s="16" t="str">
        <f t="shared" si="49"/>
        <v>error</v>
      </c>
      <c r="AH116" s="16" t="str">
        <f t="shared" si="50"/>
        <v>error</v>
      </c>
    </row>
    <row r="117" spans="1:34" x14ac:dyDescent="0.25">
      <c r="A117" s="12">
        <v>23688</v>
      </c>
      <c r="B117" s="13">
        <v>44.438699999999997</v>
      </c>
      <c r="C117" s="12">
        <v>89.584400000000002</v>
      </c>
      <c r="D117" s="14">
        <v>0</v>
      </c>
      <c r="T117" s="5">
        <f t="shared" si="36"/>
        <v>32724894.152630191</v>
      </c>
      <c r="U117" s="5">
        <f t="shared" si="37"/>
        <v>32724894.152630191</v>
      </c>
      <c r="V117" s="5" t="str">
        <f t="shared" si="38"/>
        <v>n/a</v>
      </c>
      <c r="W117" s="5" t="str">
        <f t="shared" si="39"/>
        <v>n/a</v>
      </c>
      <c r="X117" s="6" t="str">
        <f t="shared" si="40"/>
        <v>n/a</v>
      </c>
      <c r="Y117" s="16" t="str">
        <f t="shared" si="41"/>
        <v>error</v>
      </c>
      <c r="Z117" s="16" t="str">
        <f t="shared" si="42"/>
        <v>error</v>
      </c>
      <c r="AA117" s="16" t="str">
        <f t="shared" si="43"/>
        <v>error</v>
      </c>
      <c r="AB117" s="16" t="str">
        <f t="shared" si="44"/>
        <v>error</v>
      </c>
      <c r="AC117" s="18" t="str">
        <f t="shared" si="45"/>
        <v>error</v>
      </c>
      <c r="AD117" s="16" t="str">
        <f t="shared" si="46"/>
        <v>error</v>
      </c>
      <c r="AE117" s="16" t="str">
        <f t="shared" si="47"/>
        <v>error</v>
      </c>
      <c r="AF117" s="16" t="str">
        <f t="shared" si="48"/>
        <v>error</v>
      </c>
      <c r="AG117" s="16" t="str">
        <f t="shared" si="49"/>
        <v>error</v>
      </c>
      <c r="AH117" s="16" t="str">
        <f t="shared" si="50"/>
        <v>error</v>
      </c>
    </row>
    <row r="118" spans="1:34" x14ac:dyDescent="0.25">
      <c r="A118" s="12">
        <v>23689</v>
      </c>
      <c r="B118" s="13">
        <v>44.445450000000001</v>
      </c>
      <c r="C118" s="12">
        <v>89.582949999999997</v>
      </c>
      <c r="D118" s="13">
        <v>0</v>
      </c>
      <c r="T118" s="5">
        <f t="shared" si="36"/>
        <v>32724529.017261714</v>
      </c>
      <c r="U118" s="5">
        <f t="shared" si="37"/>
        <v>32724529.017261714</v>
      </c>
      <c r="V118" s="5" t="str">
        <f t="shared" si="38"/>
        <v>n/a</v>
      </c>
      <c r="W118" s="5" t="str">
        <f t="shared" si="39"/>
        <v>n/a</v>
      </c>
      <c r="X118" s="6" t="str">
        <f t="shared" si="40"/>
        <v>n/a</v>
      </c>
      <c r="Y118" s="16" t="str">
        <f t="shared" si="41"/>
        <v>error</v>
      </c>
      <c r="Z118" s="16" t="str">
        <f t="shared" si="42"/>
        <v>error</v>
      </c>
      <c r="AA118" s="16" t="str">
        <f t="shared" si="43"/>
        <v>error</v>
      </c>
      <c r="AB118" s="16" t="str">
        <f t="shared" si="44"/>
        <v>error</v>
      </c>
      <c r="AC118" s="18" t="str">
        <f t="shared" si="45"/>
        <v>error</v>
      </c>
      <c r="AD118" s="16" t="str">
        <f t="shared" si="46"/>
        <v>error</v>
      </c>
      <c r="AE118" s="16" t="str">
        <f t="shared" si="47"/>
        <v>error</v>
      </c>
      <c r="AF118" s="16" t="str">
        <f t="shared" si="48"/>
        <v>error</v>
      </c>
      <c r="AG118" s="16" t="str">
        <f t="shared" si="49"/>
        <v>error</v>
      </c>
      <c r="AH118" s="16" t="str">
        <f t="shared" si="50"/>
        <v>error</v>
      </c>
    </row>
    <row r="119" spans="1:34" x14ac:dyDescent="0.25">
      <c r="A119" s="12">
        <v>23690</v>
      </c>
      <c r="B119" s="13">
        <v>44.442100000000003</v>
      </c>
      <c r="C119" s="12">
        <v>89.582099999999997</v>
      </c>
      <c r="D119" s="14">
        <v>0</v>
      </c>
      <c r="T119" s="5">
        <f t="shared" si="36"/>
        <v>32724301.3993074</v>
      </c>
      <c r="U119" s="5">
        <f t="shared" si="37"/>
        <v>32724301.3993074</v>
      </c>
      <c r="V119" s="5" t="str">
        <f t="shared" si="38"/>
        <v>n/a</v>
      </c>
      <c r="W119" s="5" t="str">
        <f t="shared" si="39"/>
        <v>n/a</v>
      </c>
      <c r="X119" s="6" t="str">
        <f t="shared" si="40"/>
        <v>n/a</v>
      </c>
      <c r="Y119" s="16" t="str">
        <f t="shared" si="41"/>
        <v>error</v>
      </c>
      <c r="Z119" s="16" t="str">
        <f t="shared" si="42"/>
        <v>error</v>
      </c>
      <c r="AA119" s="16" t="str">
        <f t="shared" si="43"/>
        <v>error</v>
      </c>
      <c r="AB119" s="16" t="str">
        <f t="shared" si="44"/>
        <v>error</v>
      </c>
      <c r="AC119" s="18" t="str">
        <f t="shared" si="45"/>
        <v>error</v>
      </c>
      <c r="AD119" s="16" t="str">
        <f t="shared" si="46"/>
        <v>error</v>
      </c>
      <c r="AE119" s="16" t="str">
        <f t="shared" si="47"/>
        <v>error</v>
      </c>
      <c r="AF119" s="16" t="str">
        <f t="shared" si="48"/>
        <v>error</v>
      </c>
      <c r="AG119" s="16" t="str">
        <f t="shared" si="49"/>
        <v>error</v>
      </c>
      <c r="AH119" s="16" t="str">
        <f t="shared" si="50"/>
        <v>error</v>
      </c>
    </row>
    <row r="120" spans="1:34" x14ac:dyDescent="0.25">
      <c r="A120" s="12">
        <v>23695</v>
      </c>
      <c r="B120" s="13">
        <v>44.405270000000002</v>
      </c>
      <c r="C120" s="12">
        <v>89.48518</v>
      </c>
      <c r="D120" s="14">
        <v>4</v>
      </c>
      <c r="E120" s="13" t="s">
        <v>42</v>
      </c>
      <c r="F120" s="13">
        <v>44.470410000000001</v>
      </c>
      <c r="G120" s="12">
        <v>89.511759999999995</v>
      </c>
      <c r="H120" s="13" t="s">
        <v>44</v>
      </c>
      <c r="I120" s="13">
        <v>44.388379999999998</v>
      </c>
      <c r="J120" s="12">
        <v>89.530510000000007</v>
      </c>
      <c r="K120" s="13" t="s">
        <v>48</v>
      </c>
      <c r="L120" s="13">
        <v>44.462609999999998</v>
      </c>
      <c r="M120" s="12">
        <v>89.562640000000002</v>
      </c>
      <c r="N120" s="13" t="s">
        <v>49</v>
      </c>
      <c r="O120" s="13">
        <v>44.410809999999998</v>
      </c>
      <c r="P120" s="12">
        <v>89.569749999999999</v>
      </c>
      <c r="T120" s="5">
        <f t="shared" si="36"/>
        <v>24751.944381019384</v>
      </c>
      <c r="U120" s="5">
        <f t="shared" si="37"/>
        <v>13325.939537934886</v>
      </c>
      <c r="V120" s="5">
        <f t="shared" si="38"/>
        <v>29064.324186235724</v>
      </c>
      <c r="W120" s="5">
        <f t="shared" si="39"/>
        <v>22132.505337418075</v>
      </c>
      <c r="X120" s="6" t="str">
        <f t="shared" si="40"/>
        <v>n/a</v>
      </c>
      <c r="Y120" s="16">
        <f t="shared" si="41"/>
        <v>0.20715064278818093</v>
      </c>
      <c r="Z120" s="16">
        <f t="shared" si="42"/>
        <v>0.38476695576993863</v>
      </c>
      <c r="AA120" s="16">
        <f t="shared" si="43"/>
        <v>0.17641494623892523</v>
      </c>
      <c r="AB120" s="16">
        <f t="shared" si="44"/>
        <v>0.2316674552029552</v>
      </c>
      <c r="AC120" s="18" t="e">
        <f t="shared" si="45"/>
        <v>#VALUE!</v>
      </c>
      <c r="AD120" s="16">
        <f t="shared" si="46"/>
        <v>0.15561754440979375</v>
      </c>
      <c r="AE120" s="16">
        <f t="shared" si="47"/>
        <v>0.53688531106411386</v>
      </c>
      <c r="AF120" s="16">
        <f t="shared" si="48"/>
        <v>0.11286433859418268</v>
      </c>
      <c r="AG120" s="16">
        <f t="shared" si="49"/>
        <v>0.19463280593190962</v>
      </c>
      <c r="AH120" s="16" t="e">
        <f t="shared" si="50"/>
        <v>#VALUE!</v>
      </c>
    </row>
    <row r="121" spans="1:34" x14ac:dyDescent="0.25">
      <c r="A121" s="12">
        <v>23697</v>
      </c>
      <c r="B121" s="13">
        <v>44.463240999999996</v>
      </c>
      <c r="C121" s="12">
        <v>89.312332999999995</v>
      </c>
      <c r="D121" s="14">
        <v>3</v>
      </c>
      <c r="E121" s="13" t="s">
        <v>42</v>
      </c>
      <c r="F121" s="13">
        <v>44.472119999999997</v>
      </c>
      <c r="G121" s="12">
        <v>89.482460000000003</v>
      </c>
      <c r="H121" s="13" t="s">
        <v>41</v>
      </c>
      <c r="I121" s="13">
        <v>44.453830000000004</v>
      </c>
      <c r="J121" s="12">
        <v>89.282889999999995</v>
      </c>
      <c r="K121" s="13" t="s">
        <v>43</v>
      </c>
      <c r="L121" s="13">
        <v>44.43627</v>
      </c>
      <c r="M121" s="12">
        <v>89.307379999999995</v>
      </c>
      <c r="T121" s="5">
        <f t="shared" si="36"/>
        <v>44410.340854131602</v>
      </c>
      <c r="U121" s="5">
        <f t="shared" si="37"/>
        <v>8400.2360825397282</v>
      </c>
      <c r="V121" s="5">
        <f t="shared" si="38"/>
        <v>9923.5541461145131</v>
      </c>
      <c r="W121" s="5" t="str">
        <f t="shared" si="39"/>
        <v>n/a</v>
      </c>
      <c r="X121" s="6" t="str">
        <f t="shared" si="40"/>
        <v>n/a</v>
      </c>
      <c r="Y121" s="16">
        <f t="shared" si="41"/>
        <v>9.2919167022749716E-2</v>
      </c>
      <c r="Z121" s="16">
        <f t="shared" si="42"/>
        <v>0.49124475060166062</v>
      </c>
      <c r="AA121" s="16">
        <f t="shared" si="43"/>
        <v>0.41583608237558967</v>
      </c>
      <c r="AB121" s="16" t="e">
        <f t="shared" si="44"/>
        <v>#VALUE!</v>
      </c>
      <c r="AC121" s="18" t="e">
        <f t="shared" si="45"/>
        <v>#VALUE!</v>
      </c>
      <c r="AD121" s="16">
        <f t="shared" si="46"/>
        <v>2.0417312705170713E-2</v>
      </c>
      <c r="AE121" s="16">
        <f t="shared" si="47"/>
        <v>0.57066838024950051</v>
      </c>
      <c r="AF121" s="16">
        <f t="shared" si="48"/>
        <v>0.40891430704532888</v>
      </c>
      <c r="AG121" s="16" t="e">
        <f t="shared" si="49"/>
        <v>#VALUE!</v>
      </c>
      <c r="AH121" s="16" t="e">
        <f t="shared" si="50"/>
        <v>#VALUE!</v>
      </c>
    </row>
    <row r="122" spans="1:34" x14ac:dyDescent="0.25">
      <c r="A122" s="12">
        <v>23698</v>
      </c>
      <c r="B122" s="13">
        <v>44.467346999999997</v>
      </c>
      <c r="C122" s="12">
        <v>89.323425999999998</v>
      </c>
      <c r="D122" s="14">
        <v>3</v>
      </c>
      <c r="E122" s="13" t="s">
        <v>42</v>
      </c>
      <c r="F122" s="13">
        <v>44.472119999999997</v>
      </c>
      <c r="G122" s="12">
        <v>89.482460000000003</v>
      </c>
      <c r="H122" s="13" t="s">
        <v>41</v>
      </c>
      <c r="I122" s="13">
        <v>44.474519999999998</v>
      </c>
      <c r="J122" s="12">
        <v>89.295339999999996</v>
      </c>
      <c r="K122" s="13" t="s">
        <v>43</v>
      </c>
      <c r="L122" s="13">
        <v>44.43627</v>
      </c>
      <c r="M122" s="12">
        <v>89.307379999999995</v>
      </c>
      <c r="T122" s="5">
        <f t="shared" si="36"/>
        <v>41439.169819752875</v>
      </c>
      <c r="U122" s="5">
        <f t="shared" si="37"/>
        <v>7765.86154476101</v>
      </c>
      <c r="V122" s="5">
        <f t="shared" si="38"/>
        <v>12082.85095776536</v>
      </c>
      <c r="W122" s="5" t="str">
        <f t="shared" si="39"/>
        <v>n/a</v>
      </c>
      <c r="X122" s="6" t="str">
        <f t="shared" si="40"/>
        <v>n/a</v>
      </c>
      <c r="Y122" s="16">
        <f t="shared" si="41"/>
        <v>0.10239969557015551</v>
      </c>
      <c r="Z122" s="16">
        <f t="shared" si="42"/>
        <v>0.54641179858341871</v>
      </c>
      <c r="AA122" s="16">
        <f t="shared" si="43"/>
        <v>0.35118850584642569</v>
      </c>
      <c r="AB122" s="16" t="e">
        <f t="shared" si="44"/>
        <v>#VALUE!</v>
      </c>
      <c r="AC122" s="18" t="e">
        <f t="shared" si="45"/>
        <v>#VALUE!</v>
      </c>
      <c r="AD122" s="16">
        <f t="shared" si="46"/>
        <v>2.4250840439202816E-2</v>
      </c>
      <c r="AE122" s="16">
        <f t="shared" si="47"/>
        <v>0.69050940783406844</v>
      </c>
      <c r="AF122" s="16">
        <f t="shared" si="48"/>
        <v>0.28523975172672866</v>
      </c>
      <c r="AG122" s="16" t="e">
        <f t="shared" si="49"/>
        <v>#VALUE!</v>
      </c>
      <c r="AH122" s="16" t="e">
        <f t="shared" si="50"/>
        <v>#VALUE!</v>
      </c>
    </row>
    <row r="123" spans="1:34" x14ac:dyDescent="0.25">
      <c r="A123" s="12">
        <v>23699</v>
      </c>
      <c r="B123" s="13">
        <v>44.568291000000002</v>
      </c>
      <c r="C123" s="12">
        <v>89.452978000000002</v>
      </c>
      <c r="D123" s="14">
        <v>4</v>
      </c>
      <c r="E123" s="13" t="s">
        <v>42</v>
      </c>
      <c r="F123" s="13">
        <v>44.481119999999997</v>
      </c>
      <c r="G123" s="12">
        <v>89.479669999999999</v>
      </c>
      <c r="H123" s="13" t="s">
        <v>39</v>
      </c>
      <c r="I123" s="13">
        <v>44.58616</v>
      </c>
      <c r="J123" s="12">
        <v>89.487179999999995</v>
      </c>
      <c r="K123" s="13" t="s">
        <v>40</v>
      </c>
      <c r="L123" s="13">
        <v>44.554780000000001</v>
      </c>
      <c r="M123" s="13">
        <v>89.461330000000004</v>
      </c>
      <c r="N123" s="13" t="s">
        <v>41</v>
      </c>
      <c r="O123" s="13">
        <v>44.570529999999998</v>
      </c>
      <c r="P123" s="12">
        <v>89.378259999999997</v>
      </c>
      <c r="T123" s="5">
        <f t="shared" si="36"/>
        <v>32550.057334857633</v>
      </c>
      <c r="U123" s="5">
        <f t="shared" si="37"/>
        <v>11022.059946502504</v>
      </c>
      <c r="V123" s="5">
        <f t="shared" si="38"/>
        <v>5385.8875677043725</v>
      </c>
      <c r="W123" s="5">
        <f t="shared" si="39"/>
        <v>19435.848568884176</v>
      </c>
      <c r="X123" s="6" t="str">
        <f t="shared" si="40"/>
        <v>n/a</v>
      </c>
      <c r="Y123" s="16">
        <f t="shared" si="41"/>
        <v>8.5678791947425337E-2</v>
      </c>
      <c r="Z123" s="16">
        <f t="shared" si="42"/>
        <v>0.25302435332471446</v>
      </c>
      <c r="AA123" s="16">
        <f t="shared" si="43"/>
        <v>0.51780687123751545</v>
      </c>
      <c r="AB123" s="16">
        <f t="shared" si="44"/>
        <v>0.14348998349034486</v>
      </c>
      <c r="AC123" s="18" t="e">
        <f t="shared" si="45"/>
        <v>#VALUE!</v>
      </c>
      <c r="AD123" s="16">
        <f t="shared" si="46"/>
        <v>2.0386988798553246E-2</v>
      </c>
      <c r="AE123" s="16">
        <f t="shared" si="47"/>
        <v>0.17779971587194673</v>
      </c>
      <c r="AF123" s="16">
        <f t="shared" si="48"/>
        <v>0.74463257964997609</v>
      </c>
      <c r="AG123" s="16">
        <f t="shared" si="49"/>
        <v>5.7180715679523882E-2</v>
      </c>
      <c r="AH123" s="16" t="e">
        <f t="shared" si="50"/>
        <v>#VALUE!</v>
      </c>
    </row>
    <row r="124" spans="1:34" x14ac:dyDescent="0.25">
      <c r="A124" s="12">
        <v>23700</v>
      </c>
      <c r="B124" s="13">
        <v>44.563969999999998</v>
      </c>
      <c r="C124" s="12">
        <v>89.436189999999996</v>
      </c>
      <c r="D124" s="14">
        <v>4</v>
      </c>
      <c r="E124" s="13" t="s">
        <v>42</v>
      </c>
      <c r="F124" s="13">
        <v>44.481119999999997</v>
      </c>
      <c r="G124" s="12">
        <v>89.479669999999999</v>
      </c>
      <c r="H124" s="13" t="s">
        <v>39</v>
      </c>
      <c r="I124" s="13">
        <v>44.566249999999997</v>
      </c>
      <c r="J124" s="12">
        <v>89.504400000000004</v>
      </c>
      <c r="K124" s="13" t="s">
        <v>40</v>
      </c>
      <c r="L124" s="13">
        <v>44.554780000000001</v>
      </c>
      <c r="M124" s="13">
        <v>89.461330000000004</v>
      </c>
      <c r="N124" s="13" t="s">
        <v>41</v>
      </c>
      <c r="O124" s="13">
        <v>44.570529999999998</v>
      </c>
      <c r="P124" s="12">
        <v>89.378259999999997</v>
      </c>
      <c r="T124" s="5">
        <f t="shared" si="36"/>
        <v>32271.250673431197</v>
      </c>
      <c r="U124" s="5">
        <f t="shared" si="37"/>
        <v>17748.106393520582</v>
      </c>
      <c r="V124" s="5">
        <f t="shared" si="38"/>
        <v>7344.6706784677417</v>
      </c>
      <c r="W124" s="5">
        <f t="shared" si="39"/>
        <v>15245.165269327606</v>
      </c>
      <c r="X124" s="6" t="str">
        <f t="shared" si="40"/>
        <v>n/a</v>
      </c>
      <c r="Y124" s="16">
        <f t="shared" si="41"/>
        <v>0.10719327421057422</v>
      </c>
      <c r="Z124" s="16">
        <f t="shared" si="42"/>
        <v>0.19490873819745544</v>
      </c>
      <c r="AA124" s="16">
        <f t="shared" si="43"/>
        <v>0.47098926200962971</v>
      </c>
      <c r="AB124" s="16">
        <f t="shared" si="44"/>
        <v>0.22690872558234065</v>
      </c>
      <c r="AC124" s="18" t="e">
        <f t="shared" si="45"/>
        <v>#VALUE!</v>
      </c>
      <c r="AD124" s="16">
        <f t="shared" si="46"/>
        <v>3.5596219502279418E-2</v>
      </c>
      <c r="AE124" s="16">
        <f t="shared" si="47"/>
        <v>0.11768779414773387</v>
      </c>
      <c r="AF124" s="16">
        <f t="shared" si="48"/>
        <v>0.68721212681816146</v>
      </c>
      <c r="AG124" s="16">
        <f t="shared" si="49"/>
        <v>0.15950385953182522</v>
      </c>
      <c r="AH124" s="16" t="e">
        <f t="shared" si="50"/>
        <v>#VALUE!</v>
      </c>
    </row>
    <row r="125" spans="1:34" x14ac:dyDescent="0.25">
      <c r="A125" s="12">
        <v>23702</v>
      </c>
      <c r="B125" s="13">
        <v>44.426499999999997</v>
      </c>
      <c r="C125" s="12">
        <v>89.566699999999997</v>
      </c>
      <c r="D125" s="14">
        <v>0</v>
      </c>
      <c r="T125" s="5">
        <f t="shared" si="36"/>
        <v>32720260.221010342</v>
      </c>
      <c r="U125" s="5">
        <f t="shared" si="37"/>
        <v>32720260.221010342</v>
      </c>
      <c r="V125" s="5" t="str">
        <f t="shared" si="38"/>
        <v>n/a</v>
      </c>
      <c r="W125" s="5" t="str">
        <f t="shared" si="39"/>
        <v>n/a</v>
      </c>
      <c r="X125" s="6" t="str">
        <f t="shared" si="40"/>
        <v>n/a</v>
      </c>
      <c r="Y125" s="16" t="str">
        <f t="shared" si="41"/>
        <v>error</v>
      </c>
      <c r="Z125" s="16" t="str">
        <f t="shared" si="42"/>
        <v>error</v>
      </c>
      <c r="AA125" s="16" t="str">
        <f t="shared" si="43"/>
        <v>error</v>
      </c>
      <c r="AB125" s="16" t="str">
        <f t="shared" si="44"/>
        <v>error</v>
      </c>
      <c r="AC125" s="18" t="str">
        <f t="shared" si="45"/>
        <v>error</v>
      </c>
      <c r="AD125" s="16" t="str">
        <f t="shared" si="46"/>
        <v>error</v>
      </c>
      <c r="AE125" s="16" t="str">
        <f t="shared" si="47"/>
        <v>error</v>
      </c>
      <c r="AF125" s="16" t="str">
        <f t="shared" si="48"/>
        <v>error</v>
      </c>
      <c r="AG125" s="16" t="str">
        <f t="shared" si="49"/>
        <v>error</v>
      </c>
      <c r="AH125" s="16" t="str">
        <f t="shared" si="50"/>
        <v>error</v>
      </c>
    </row>
    <row r="126" spans="1:34" x14ac:dyDescent="0.25">
      <c r="A126" s="12">
        <v>23709</v>
      </c>
      <c r="B126" s="13">
        <v>44.528615299999998</v>
      </c>
      <c r="C126" s="12">
        <v>89.451146899999998</v>
      </c>
      <c r="D126" s="14">
        <v>4</v>
      </c>
      <c r="E126" s="13" t="s">
        <v>42</v>
      </c>
      <c r="F126" s="13">
        <v>44.475769999999997</v>
      </c>
      <c r="G126" s="12">
        <v>89.479730000000004</v>
      </c>
      <c r="H126" s="13" t="s">
        <v>40</v>
      </c>
      <c r="I126" s="13">
        <v>44.551259999999999</v>
      </c>
      <c r="J126" s="12">
        <v>89.469080000000005</v>
      </c>
      <c r="K126" s="13" t="s">
        <v>39</v>
      </c>
      <c r="L126" s="13">
        <v>44.534610000000001</v>
      </c>
      <c r="M126" s="12">
        <v>89.521129999999999</v>
      </c>
      <c r="N126" s="13" t="s">
        <v>41</v>
      </c>
      <c r="O126" s="13">
        <v>44.528460000000003</v>
      </c>
      <c r="P126" s="12">
        <v>89.339870000000005</v>
      </c>
      <c r="T126" s="5">
        <f t="shared" si="36"/>
        <v>20663.415494919638</v>
      </c>
      <c r="U126" s="5">
        <f t="shared" si="37"/>
        <v>9486.2725213827689</v>
      </c>
      <c r="V126" s="5">
        <f t="shared" si="38"/>
        <v>18330.849033596522</v>
      </c>
      <c r="W126" s="5">
        <f t="shared" si="39"/>
        <v>28940.445086568248</v>
      </c>
      <c r="X126" s="6" t="str">
        <f t="shared" si="40"/>
        <v>n/a</v>
      </c>
      <c r="Y126" s="16">
        <f t="shared" si="41"/>
        <v>0.19922343050237126</v>
      </c>
      <c r="Z126" s="16">
        <f t="shared" si="42"/>
        <v>0.43395722730024217</v>
      </c>
      <c r="AA126" s="16">
        <f t="shared" si="43"/>
        <v>0.2245742416649022</v>
      </c>
      <c r="AB126" s="16">
        <f t="shared" si="44"/>
        <v>0.14224510053248438</v>
      </c>
      <c r="AC126" s="18" t="e">
        <f t="shared" si="45"/>
        <v>#VALUE!</v>
      </c>
      <c r="AD126" s="16">
        <f t="shared" si="46"/>
        <v>0.132886340958949</v>
      </c>
      <c r="AE126" s="16">
        <f t="shared" si="47"/>
        <v>0.63051201428992953</v>
      </c>
      <c r="AF126" s="16">
        <f t="shared" si="48"/>
        <v>0.16885712815397613</v>
      </c>
      <c r="AG126" s="16">
        <f t="shared" si="49"/>
        <v>6.7744516597145477E-2</v>
      </c>
      <c r="AH126" s="16" t="e">
        <f t="shared" si="50"/>
        <v>#VALUE!</v>
      </c>
    </row>
    <row r="127" spans="1:34" x14ac:dyDescent="0.25">
      <c r="A127" s="12">
        <v>23710</v>
      </c>
      <c r="B127" s="13">
        <v>44.394647999999997</v>
      </c>
      <c r="C127" s="12">
        <v>89.446686999999997</v>
      </c>
      <c r="D127" s="14">
        <v>5</v>
      </c>
      <c r="E127" s="13" t="s">
        <v>42</v>
      </c>
      <c r="F127" s="13">
        <v>44.467849999999999</v>
      </c>
      <c r="G127" s="12">
        <v>89.487679999999997</v>
      </c>
      <c r="H127" s="13" t="s">
        <v>44</v>
      </c>
      <c r="I127" s="13">
        <v>44.400129999999997</v>
      </c>
      <c r="J127" s="12">
        <v>89.480549999999994</v>
      </c>
      <c r="K127" s="13" t="s">
        <v>51</v>
      </c>
      <c r="L127" s="13">
        <v>44.37968</v>
      </c>
      <c r="M127" s="12">
        <v>89.436890000000005</v>
      </c>
      <c r="N127" s="13" t="s">
        <v>46</v>
      </c>
      <c r="O127" s="13">
        <v>44.382379999999998</v>
      </c>
      <c r="P127" s="12">
        <v>89.367450000000005</v>
      </c>
      <c r="Q127" s="13" t="s">
        <v>43</v>
      </c>
      <c r="R127" s="13">
        <v>44.436579999999999</v>
      </c>
      <c r="S127" s="12">
        <v>89.376000000000005</v>
      </c>
      <c r="T127" s="5">
        <f t="shared" si="36"/>
        <v>28761.095892022586</v>
      </c>
      <c r="U127" s="5">
        <f t="shared" si="37"/>
        <v>9050.4691718781887</v>
      </c>
      <c r="V127" s="5">
        <f t="shared" si="38"/>
        <v>6028.3379895421449</v>
      </c>
      <c r="W127" s="5">
        <f t="shared" si="39"/>
        <v>21136.346907803221</v>
      </c>
      <c r="X127" s="6">
        <f t="shared" si="40"/>
        <v>23943.441087563318</v>
      </c>
      <c r="Y127" s="16">
        <f t="shared" si="41"/>
        <v>8.687500708940199E-2</v>
      </c>
      <c r="Z127" s="16">
        <f t="shared" si="42"/>
        <v>0.27607634058156888</v>
      </c>
      <c r="AA127" s="16">
        <f t="shared" si="43"/>
        <v>0.41447915061381685</v>
      </c>
      <c r="AB127" s="16">
        <f t="shared" si="44"/>
        <v>0.11821439250677607</v>
      </c>
      <c r="AC127" s="18">
        <f t="shared" si="45"/>
        <v>0.10435510920843635</v>
      </c>
      <c r="AD127" s="16">
        <f t="shared" si="46"/>
        <v>2.6913864330210625E-2</v>
      </c>
      <c r="AE127" s="16">
        <f t="shared" si="47"/>
        <v>0.27179704590619169</v>
      </c>
      <c r="AF127" s="16">
        <f t="shared" si="48"/>
        <v>0.61262079047241824</v>
      </c>
      <c r="AG127" s="16">
        <f t="shared" si="49"/>
        <v>4.9834150828658733E-2</v>
      </c>
      <c r="AH127" s="16">
        <f t="shared" si="50"/>
        <v>3.8834148462520611E-2</v>
      </c>
    </row>
    <row r="128" spans="1:34" x14ac:dyDescent="0.25">
      <c r="A128" s="12">
        <v>23713</v>
      </c>
      <c r="B128" s="13">
        <v>44.419211900000001</v>
      </c>
      <c r="C128" s="12">
        <v>89.6297426</v>
      </c>
      <c r="D128" s="14">
        <v>0</v>
      </c>
      <c r="T128" s="5">
        <f t="shared" si="36"/>
        <v>32736672.526701361</v>
      </c>
      <c r="U128" s="5">
        <f t="shared" si="37"/>
        <v>32736672.526701361</v>
      </c>
      <c r="V128" s="5" t="str">
        <f t="shared" si="38"/>
        <v>n/a</v>
      </c>
      <c r="W128" s="5" t="str">
        <f t="shared" si="39"/>
        <v>n/a</v>
      </c>
      <c r="X128" s="6" t="str">
        <f t="shared" si="40"/>
        <v>n/a</v>
      </c>
      <c r="Y128" s="16" t="str">
        <f t="shared" si="41"/>
        <v>error</v>
      </c>
      <c r="Z128" s="16" t="str">
        <f t="shared" si="42"/>
        <v>error</v>
      </c>
      <c r="AA128" s="16" t="str">
        <f t="shared" si="43"/>
        <v>error</v>
      </c>
      <c r="AB128" s="16" t="str">
        <f t="shared" si="44"/>
        <v>error</v>
      </c>
      <c r="AC128" s="18" t="str">
        <f t="shared" si="45"/>
        <v>error</v>
      </c>
      <c r="AD128" s="16" t="str">
        <f t="shared" si="46"/>
        <v>error</v>
      </c>
      <c r="AE128" s="16" t="str">
        <f t="shared" si="47"/>
        <v>error</v>
      </c>
      <c r="AF128" s="16" t="str">
        <f t="shared" si="48"/>
        <v>error</v>
      </c>
      <c r="AG128" s="16" t="str">
        <f t="shared" si="49"/>
        <v>error</v>
      </c>
      <c r="AH128" s="16" t="str">
        <f t="shared" si="50"/>
        <v>error</v>
      </c>
    </row>
    <row r="129" spans="1:34" x14ac:dyDescent="0.25">
      <c r="A129" s="12">
        <v>23714</v>
      </c>
      <c r="B129" s="13">
        <v>44.41733</v>
      </c>
      <c r="C129" s="12">
        <v>89.622067000000001</v>
      </c>
      <c r="D129" s="14">
        <v>0</v>
      </c>
      <c r="T129" s="5">
        <f t="shared" si="36"/>
        <v>32734669.39962659</v>
      </c>
      <c r="U129" s="5">
        <f t="shared" si="37"/>
        <v>32734669.39962659</v>
      </c>
      <c r="V129" s="5" t="str">
        <f t="shared" si="38"/>
        <v>n/a</v>
      </c>
      <c r="W129" s="5" t="str">
        <f t="shared" si="39"/>
        <v>n/a</v>
      </c>
      <c r="X129" s="6" t="str">
        <f t="shared" si="40"/>
        <v>n/a</v>
      </c>
      <c r="Y129" s="16" t="str">
        <f t="shared" si="41"/>
        <v>error</v>
      </c>
      <c r="Z129" s="16" t="str">
        <f t="shared" si="42"/>
        <v>error</v>
      </c>
      <c r="AA129" s="16" t="str">
        <f t="shared" si="43"/>
        <v>error</v>
      </c>
      <c r="AB129" s="16" t="str">
        <f t="shared" si="44"/>
        <v>error</v>
      </c>
      <c r="AC129" s="18" t="str">
        <f t="shared" si="45"/>
        <v>error</v>
      </c>
      <c r="AD129" s="16" t="str">
        <f t="shared" si="46"/>
        <v>error</v>
      </c>
      <c r="AE129" s="16" t="str">
        <f t="shared" si="47"/>
        <v>error</v>
      </c>
      <c r="AF129" s="16" t="str">
        <f t="shared" si="48"/>
        <v>error</v>
      </c>
      <c r="AG129" s="16" t="str">
        <f t="shared" si="49"/>
        <v>error</v>
      </c>
      <c r="AH129" s="16" t="str">
        <f t="shared" si="50"/>
        <v>error</v>
      </c>
    </row>
    <row r="130" spans="1:34" x14ac:dyDescent="0.25">
      <c r="A130" s="12">
        <v>23715</v>
      </c>
      <c r="B130" s="13">
        <v>44.535843300000003</v>
      </c>
      <c r="C130" s="12">
        <v>89.451200099999994</v>
      </c>
      <c r="D130" s="14">
        <v>4</v>
      </c>
      <c r="E130" s="13" t="s">
        <v>42</v>
      </c>
      <c r="F130" s="13">
        <v>44.481119999999997</v>
      </c>
      <c r="G130" s="12">
        <v>89.479669999999999</v>
      </c>
      <c r="H130" s="13" t="s">
        <v>39</v>
      </c>
      <c r="I130" s="13">
        <v>44.558810000000001</v>
      </c>
      <c r="J130" s="12">
        <v>89.506240000000005</v>
      </c>
      <c r="K130" s="13" t="s">
        <v>40</v>
      </c>
      <c r="L130" s="13">
        <v>44.554780000000001</v>
      </c>
      <c r="M130" s="13">
        <v>89.461330000000004</v>
      </c>
      <c r="N130" s="13" t="s">
        <v>41</v>
      </c>
      <c r="O130" s="13">
        <v>44.54806</v>
      </c>
      <c r="P130" s="12">
        <v>89.354929999999996</v>
      </c>
      <c r="T130" s="5">
        <f t="shared" si="36"/>
        <v>21293.504875737784</v>
      </c>
      <c r="U130" s="5">
        <f t="shared" si="37"/>
        <v>16582.325136352028</v>
      </c>
      <c r="V130" s="5">
        <f t="shared" si="38"/>
        <v>7393.3814769629071</v>
      </c>
      <c r="W130" s="5">
        <f t="shared" si="39"/>
        <v>25425.386745396823</v>
      </c>
      <c r="X130" s="6" t="str">
        <f t="shared" si="40"/>
        <v>n/a</v>
      </c>
      <c r="Y130" s="16">
        <f t="shared" si="41"/>
        <v>0.1666201516272614</v>
      </c>
      <c r="Z130" s="16">
        <f t="shared" si="42"/>
        <v>0.21395835517019499</v>
      </c>
      <c r="AA130" s="16">
        <f t="shared" si="43"/>
        <v>0.47987879729001837</v>
      </c>
      <c r="AB130" s="16">
        <f t="shared" si="44"/>
        <v>0.13954269591252527</v>
      </c>
      <c r="AC130" s="18" t="e">
        <f t="shared" si="45"/>
        <v>#VALUE!</v>
      </c>
      <c r="AD130" s="16">
        <f t="shared" si="46"/>
        <v>8.5872547644779251E-2</v>
      </c>
      <c r="AE130" s="16">
        <f t="shared" si="47"/>
        <v>0.14159822132140953</v>
      </c>
      <c r="AF130" s="16">
        <f t="shared" si="48"/>
        <v>0.71229914060872035</v>
      </c>
      <c r="AG130" s="16">
        <f t="shared" si="49"/>
        <v>6.0230090425090824E-2</v>
      </c>
      <c r="AH130" s="16" t="e">
        <f t="shared" si="50"/>
        <v>#VALUE!</v>
      </c>
    </row>
    <row r="131" spans="1:34" x14ac:dyDescent="0.25">
      <c r="A131" s="12">
        <v>23716</v>
      </c>
      <c r="B131" s="13">
        <v>44.537798899999999</v>
      </c>
      <c r="C131" s="12">
        <v>89.453743200000005</v>
      </c>
      <c r="D131" s="14">
        <v>4</v>
      </c>
      <c r="E131" s="13" t="s">
        <v>42</v>
      </c>
      <c r="F131" s="13">
        <v>44.481119999999997</v>
      </c>
      <c r="G131" s="12">
        <v>89.479669999999999</v>
      </c>
      <c r="H131" s="13" t="s">
        <v>39</v>
      </c>
      <c r="I131" s="13">
        <v>44.558810000000001</v>
      </c>
      <c r="J131" s="12">
        <v>89.506240000000005</v>
      </c>
      <c r="K131" s="13" t="s">
        <v>40</v>
      </c>
      <c r="L131" s="13">
        <v>44.554780000000001</v>
      </c>
      <c r="M131" s="13">
        <v>89.461330000000004</v>
      </c>
      <c r="N131" s="13" t="s">
        <v>41</v>
      </c>
      <c r="O131" s="13">
        <v>44.54806</v>
      </c>
      <c r="P131" s="12">
        <v>89.354929999999996</v>
      </c>
      <c r="T131" s="5">
        <f t="shared" si="36"/>
        <v>21749.547143673968</v>
      </c>
      <c r="U131" s="5">
        <f t="shared" si="37"/>
        <v>15653.607903333985</v>
      </c>
      <c r="V131" s="5">
        <f t="shared" si="38"/>
        <v>6501.3819117564426</v>
      </c>
      <c r="W131" s="5">
        <f t="shared" si="39"/>
        <v>25963.808462610956</v>
      </c>
      <c r="X131" s="6" t="str">
        <f t="shared" si="40"/>
        <v>n/a</v>
      </c>
      <c r="Y131" s="16">
        <f t="shared" si="41"/>
        <v>0.15214940382175327</v>
      </c>
      <c r="Z131" s="16">
        <f t="shared" si="42"/>
        <v>0.2114005059880352</v>
      </c>
      <c r="AA131" s="16">
        <f t="shared" si="43"/>
        <v>0.50899649893188448</v>
      </c>
      <c r="AB131" s="16">
        <f t="shared" si="44"/>
        <v>0.12745359125832711</v>
      </c>
      <c r="AC131" s="18" t="e">
        <f t="shared" si="45"/>
        <v>#VALUE!</v>
      </c>
      <c r="AD131" s="16">
        <f t="shared" si="46"/>
        <v>6.7459325080667876E-2</v>
      </c>
      <c r="AE131" s="16">
        <f t="shared" si="47"/>
        <v>0.13023074554327368</v>
      </c>
      <c r="AF131" s="16">
        <f t="shared" si="48"/>
        <v>0.75497239472107847</v>
      </c>
      <c r="AG131" s="16">
        <f t="shared" si="49"/>
        <v>4.733753465497987E-2</v>
      </c>
      <c r="AH131" s="16" t="e">
        <f t="shared" si="50"/>
        <v>#VALUE!</v>
      </c>
    </row>
    <row r="132" spans="1:34" x14ac:dyDescent="0.25">
      <c r="A132" s="12">
        <v>23720</v>
      </c>
      <c r="B132" s="13">
        <v>44.449566699999998</v>
      </c>
      <c r="C132" s="12">
        <v>89.538866600000006</v>
      </c>
      <c r="D132" s="14">
        <v>4</v>
      </c>
      <c r="E132" s="13" t="s">
        <v>42</v>
      </c>
      <c r="F132" s="13">
        <v>44.472470000000001</v>
      </c>
      <c r="G132" s="12">
        <v>89.532640000000001</v>
      </c>
      <c r="H132" s="13" t="s">
        <v>48</v>
      </c>
      <c r="I132" s="13">
        <v>44.46237</v>
      </c>
      <c r="J132" s="12">
        <v>89.556089999999998</v>
      </c>
      <c r="K132" s="13" t="s">
        <v>50</v>
      </c>
      <c r="L132" s="13">
        <v>44.429670000000002</v>
      </c>
      <c r="M132" s="12">
        <v>89.568929999999995</v>
      </c>
      <c r="N132" s="13" t="s">
        <v>44</v>
      </c>
      <c r="O132" s="13">
        <v>44.394950000000001</v>
      </c>
      <c r="P132" s="12">
        <v>89.512540000000001</v>
      </c>
      <c r="T132" s="5">
        <f t="shared" si="36"/>
        <v>8511.2551940511312</v>
      </c>
      <c r="U132" s="5">
        <f t="shared" si="37"/>
        <v>6475.4393145292415</v>
      </c>
      <c r="V132" s="5">
        <f t="shared" si="38"/>
        <v>10677.376802486522</v>
      </c>
      <c r="W132" s="5">
        <f t="shared" si="39"/>
        <v>21072.530132518783</v>
      </c>
      <c r="X132" s="6" t="str">
        <f t="shared" si="40"/>
        <v>n/a</v>
      </c>
      <c r="Y132" s="16">
        <f t="shared" si="41"/>
        <v>0.28446078532085511</v>
      </c>
      <c r="Z132" s="16">
        <f t="shared" si="42"/>
        <v>0.37389252203068551</v>
      </c>
      <c r="AA132" s="16">
        <f t="shared" si="43"/>
        <v>0.22675216781730201</v>
      </c>
      <c r="AB132" s="16">
        <f t="shared" si="44"/>
        <v>0.11489452483115739</v>
      </c>
      <c r="AC132" s="18" t="e">
        <f t="shared" si="45"/>
        <v>#VALUE!</v>
      </c>
      <c r="AD132" s="16">
        <f t="shared" si="46"/>
        <v>0.28359336990782186</v>
      </c>
      <c r="AE132" s="16">
        <f t="shared" si="47"/>
        <v>0.48994217112655253</v>
      </c>
      <c r="AF132" s="16">
        <f t="shared" si="48"/>
        <v>0.18019973975454098</v>
      </c>
      <c r="AG132" s="16">
        <f t="shared" si="49"/>
        <v>4.6264719211084777E-2</v>
      </c>
      <c r="AH132" s="16" t="e">
        <f t="shared" si="50"/>
        <v>#VALUE!</v>
      </c>
    </row>
    <row r="133" spans="1:34" x14ac:dyDescent="0.25">
      <c r="A133" s="12">
        <v>23721</v>
      </c>
      <c r="B133" s="13">
        <v>44.442968999999998</v>
      </c>
      <c r="C133" s="12">
        <v>89.531509</v>
      </c>
      <c r="D133" s="14">
        <v>4</v>
      </c>
      <c r="E133" s="13" t="s">
        <v>42</v>
      </c>
      <c r="F133" s="13">
        <v>44.472470000000001</v>
      </c>
      <c r="G133" s="12">
        <v>89.532640000000001</v>
      </c>
      <c r="H133" s="13" t="s">
        <v>48</v>
      </c>
      <c r="I133" s="13">
        <v>44.46237</v>
      </c>
      <c r="J133" s="12">
        <v>89.556089999999998</v>
      </c>
      <c r="K133" s="13" t="s">
        <v>50</v>
      </c>
      <c r="L133" s="13">
        <v>44.429670000000002</v>
      </c>
      <c r="M133" s="12">
        <v>89.568929999999995</v>
      </c>
      <c r="N133" s="13" t="s">
        <v>44</v>
      </c>
      <c r="O133" s="13">
        <v>44.394950000000001</v>
      </c>
      <c r="P133" s="12">
        <v>89.512540000000001</v>
      </c>
      <c r="T133" s="5">
        <f t="shared" si="36"/>
        <v>10766.369640654229</v>
      </c>
      <c r="U133" s="5">
        <f t="shared" si="37"/>
        <v>9543.066561118183</v>
      </c>
      <c r="V133" s="5">
        <f t="shared" si="38"/>
        <v>10888.329492636882</v>
      </c>
      <c r="W133" s="5">
        <f t="shared" si="39"/>
        <v>18201.86981554504</v>
      </c>
      <c r="X133" s="6" t="str">
        <f t="shared" si="40"/>
        <v>n/a</v>
      </c>
      <c r="Y133" s="16">
        <f t="shared" si="41"/>
        <v>0.26965191746186223</v>
      </c>
      <c r="Z133" s="16">
        <f t="shared" si="42"/>
        <v>0.30421795752050401</v>
      </c>
      <c r="AA133" s="16">
        <f t="shared" si="43"/>
        <v>0.26663155442428826</v>
      </c>
      <c r="AB133" s="16">
        <f t="shared" si="44"/>
        <v>0.15949857059334541</v>
      </c>
      <c r="AC133" s="18" t="e">
        <f t="shared" si="45"/>
        <v>#VALUE!</v>
      </c>
      <c r="AD133" s="16">
        <f t="shared" si="46"/>
        <v>0.27774686023282769</v>
      </c>
      <c r="AE133" s="16">
        <f t="shared" si="47"/>
        <v>0.35351823878282534</v>
      </c>
      <c r="AF133" s="16">
        <f t="shared" si="48"/>
        <v>0.27155963833672703</v>
      </c>
      <c r="AG133" s="16">
        <f t="shared" si="49"/>
        <v>9.7175262647620067E-2</v>
      </c>
      <c r="AH133" s="16" t="e">
        <f t="shared" si="50"/>
        <v>#VALUE!</v>
      </c>
    </row>
    <row r="134" spans="1:34" x14ac:dyDescent="0.25">
      <c r="A134" s="12">
        <v>23722</v>
      </c>
      <c r="B134" s="13">
        <v>44.452086000000001</v>
      </c>
      <c r="C134" s="12">
        <v>89.452045999999996</v>
      </c>
      <c r="D134" s="14">
        <v>4</v>
      </c>
      <c r="E134" s="13" t="s">
        <v>42</v>
      </c>
      <c r="F134" s="13">
        <v>44.467680000000001</v>
      </c>
      <c r="G134" s="12">
        <v>89.487200000000001</v>
      </c>
      <c r="H134" s="13" t="s">
        <v>41</v>
      </c>
      <c r="I134" s="13">
        <v>44.482469999999999</v>
      </c>
      <c r="J134" s="12">
        <v>89.301029999999997</v>
      </c>
      <c r="K134" s="13" t="s">
        <v>43</v>
      </c>
      <c r="L134" s="13">
        <v>44.436570000000003</v>
      </c>
      <c r="M134" s="12">
        <v>89.376750000000001</v>
      </c>
      <c r="N134" s="13" t="s">
        <v>44</v>
      </c>
      <c r="O134" s="13">
        <v>44.400210000000001</v>
      </c>
      <c r="P134" s="12">
        <v>89.480350000000001</v>
      </c>
      <c r="T134" s="5">
        <f t="shared" si="36"/>
        <v>10777.260732163908</v>
      </c>
      <c r="U134" s="5">
        <f t="shared" si="37"/>
        <v>40849.466990132787</v>
      </c>
      <c r="V134" s="5">
        <f t="shared" si="38"/>
        <v>20411.496011606152</v>
      </c>
      <c r="W134" s="5">
        <f t="shared" si="39"/>
        <v>20310.9334811976</v>
      </c>
      <c r="X134" s="6" t="str">
        <f t="shared" si="40"/>
        <v>n/a</v>
      </c>
      <c r="Y134" s="16">
        <f t="shared" si="41"/>
        <v>0.43058126198705959</v>
      </c>
      <c r="Z134" s="16">
        <f t="shared" si="42"/>
        <v>0.11359968363698919</v>
      </c>
      <c r="AA134" s="16">
        <f t="shared" si="43"/>
        <v>0.22734671305719567</v>
      </c>
      <c r="AB134" s="16">
        <f t="shared" si="44"/>
        <v>0.22847234131875555</v>
      </c>
      <c r="AC134" s="18" t="e">
        <f t="shared" si="45"/>
        <v>#VALUE!</v>
      </c>
      <c r="AD134" s="16">
        <f t="shared" si="46"/>
        <v>0.61351949530365446</v>
      </c>
      <c r="AE134" s="16">
        <f t="shared" si="47"/>
        <v>4.2704373879708886E-2</v>
      </c>
      <c r="AF134" s="16">
        <f t="shared" si="48"/>
        <v>0.17103912817106709</v>
      </c>
      <c r="AG134" s="16">
        <f t="shared" si="49"/>
        <v>0.17273700264556949</v>
      </c>
      <c r="AH134" s="16" t="e">
        <f t="shared" si="50"/>
        <v>#VALUE!</v>
      </c>
    </row>
    <row r="135" spans="1:34" x14ac:dyDescent="0.25">
      <c r="A135" s="12">
        <v>23723</v>
      </c>
      <c r="B135" s="13">
        <v>44.431967999999998</v>
      </c>
      <c r="C135" s="12">
        <v>89.544048000000004</v>
      </c>
      <c r="D135" s="14">
        <v>4</v>
      </c>
      <c r="E135" s="13" t="s">
        <v>42</v>
      </c>
      <c r="F135" s="13">
        <v>44.470410000000001</v>
      </c>
      <c r="G135" s="12">
        <v>89.511759999999995</v>
      </c>
      <c r="H135" s="13" t="s">
        <v>44</v>
      </c>
      <c r="I135" s="13">
        <v>44.388379999999998</v>
      </c>
      <c r="J135" s="12">
        <v>89.530510000000007</v>
      </c>
      <c r="K135" s="13" t="s">
        <v>48</v>
      </c>
      <c r="L135" s="13">
        <v>44.462609999999998</v>
      </c>
      <c r="M135" s="12">
        <v>89.562640000000002</v>
      </c>
      <c r="N135" s="13" t="s">
        <v>49</v>
      </c>
      <c r="O135" s="13">
        <v>44.433489999999999</v>
      </c>
      <c r="P135" s="12">
        <v>89.562479999999994</v>
      </c>
      <c r="T135" s="5">
        <f t="shared" si="36"/>
        <v>16351.71140647309</v>
      </c>
      <c r="U135" s="5">
        <f t="shared" si="37"/>
        <v>16288.13988516622</v>
      </c>
      <c r="V135" s="5">
        <f t="shared" si="38"/>
        <v>12182.220611524275</v>
      </c>
      <c r="W135" s="5">
        <f t="shared" si="39"/>
        <v>4833.5864222388318</v>
      </c>
      <c r="X135" s="6" t="str">
        <f t="shared" si="40"/>
        <v>n/a</v>
      </c>
      <c r="Y135" s="16">
        <f t="shared" si="41"/>
        <v>0.14860830943450859</v>
      </c>
      <c r="Z135" s="16">
        <f t="shared" si="42"/>
        <v>0.14918831773356533</v>
      </c>
      <c r="AA135" s="16">
        <f t="shared" si="43"/>
        <v>0.19947103783182002</v>
      </c>
      <c r="AB135" s="16">
        <f t="shared" si="44"/>
        <v>0.50273233500010606</v>
      </c>
      <c r="AC135" s="18" t="e">
        <f t="shared" si="45"/>
        <v>#VALUE!</v>
      </c>
      <c r="AD135" s="16">
        <f t="shared" si="46"/>
        <v>6.5557706028139165E-2</v>
      </c>
      <c r="AE135" s="16">
        <f t="shared" si="47"/>
        <v>6.6070439351062563E-2</v>
      </c>
      <c r="AF135" s="16">
        <f t="shared" si="48"/>
        <v>0.11811287903090606</v>
      </c>
      <c r="AG135" s="16">
        <f t="shared" si="49"/>
        <v>0.7502589755898923</v>
      </c>
      <c r="AH135" s="16" t="e">
        <f t="shared" si="50"/>
        <v>#VALUE!</v>
      </c>
    </row>
    <row r="136" spans="1:34" x14ac:dyDescent="0.25">
      <c r="A136" s="12">
        <v>23726</v>
      </c>
      <c r="B136" s="13">
        <v>44.403409000000003</v>
      </c>
      <c r="C136" s="12">
        <v>89.502886000000004</v>
      </c>
      <c r="D136" s="14">
        <v>4</v>
      </c>
      <c r="E136" s="13" t="s">
        <v>42</v>
      </c>
      <c r="F136" s="13">
        <v>44.470410000000001</v>
      </c>
      <c r="G136" s="12">
        <v>89.511759999999995</v>
      </c>
      <c r="H136" s="13" t="s">
        <v>44</v>
      </c>
      <c r="I136" s="13">
        <v>44.388379999999998</v>
      </c>
      <c r="J136" s="12">
        <v>89.530510000000007</v>
      </c>
      <c r="K136" s="13" t="s">
        <v>48</v>
      </c>
      <c r="L136" s="13">
        <v>44.462609999999998</v>
      </c>
      <c r="M136" s="12">
        <v>89.562640000000002</v>
      </c>
      <c r="N136" s="13" t="s">
        <v>49</v>
      </c>
      <c r="O136" s="13">
        <v>44.410809999999998</v>
      </c>
      <c r="P136" s="12">
        <v>89.569749999999999</v>
      </c>
      <c r="T136" s="5">
        <f t="shared" si="36"/>
        <v>24551.875917190842</v>
      </c>
      <c r="U136" s="5">
        <f t="shared" si="37"/>
        <v>9050.4346244641401</v>
      </c>
      <c r="V136" s="5">
        <f t="shared" si="38"/>
        <v>26622.231920900926</v>
      </c>
      <c r="W136" s="5">
        <f t="shared" si="39"/>
        <v>17633.826925070302</v>
      </c>
      <c r="X136" s="6" t="str">
        <f t="shared" si="40"/>
        <v>n/a</v>
      </c>
      <c r="Y136" s="16">
        <f t="shared" si="41"/>
        <v>0.16591085455865787</v>
      </c>
      <c r="Z136" s="16">
        <f t="shared" si="42"/>
        <v>0.45008034237697669</v>
      </c>
      <c r="AA136" s="16">
        <f t="shared" si="43"/>
        <v>0.15300830999226814</v>
      </c>
      <c r="AB136" s="16">
        <f t="shared" si="44"/>
        <v>0.2310004930720973</v>
      </c>
      <c r="AC136" s="18" t="e">
        <f t="shared" si="45"/>
        <v>#VALUE!</v>
      </c>
      <c r="AD136" s="16">
        <f t="shared" si="46"/>
        <v>8.9700125072567818E-2</v>
      </c>
      <c r="AE136" s="16">
        <f t="shared" si="47"/>
        <v>0.66012098414877896</v>
      </c>
      <c r="AF136" s="16">
        <f t="shared" si="48"/>
        <v>7.6291031122237438E-2</v>
      </c>
      <c r="AG136" s="16">
        <f t="shared" si="49"/>
        <v>0.17388785965641582</v>
      </c>
      <c r="AH136" s="16" t="e">
        <f t="shared" si="50"/>
        <v>#VALUE!</v>
      </c>
    </row>
    <row r="137" spans="1:34" x14ac:dyDescent="0.25">
      <c r="A137" s="12">
        <v>23727</v>
      </c>
      <c r="B137" s="13">
        <v>44.407043999999999</v>
      </c>
      <c r="C137" s="12">
        <v>89.498024999999998</v>
      </c>
      <c r="D137" s="14">
        <v>4</v>
      </c>
      <c r="E137" s="13" t="s">
        <v>42</v>
      </c>
      <c r="F137" s="13">
        <v>44.470410000000001</v>
      </c>
      <c r="G137" s="12">
        <v>89.511759999999995</v>
      </c>
      <c r="H137" s="13" t="s">
        <v>44</v>
      </c>
      <c r="I137" s="13">
        <v>44.388379999999998</v>
      </c>
      <c r="J137" s="12">
        <v>89.530510000000007</v>
      </c>
      <c r="K137" s="13" t="s">
        <v>48</v>
      </c>
      <c r="L137" s="13">
        <v>44.462609999999998</v>
      </c>
      <c r="M137" s="12">
        <v>89.562640000000002</v>
      </c>
      <c r="N137" s="13" t="s">
        <v>49</v>
      </c>
      <c r="O137" s="13">
        <v>44.41066</v>
      </c>
      <c r="P137" s="12">
        <v>89.569760000000002</v>
      </c>
      <c r="T137" s="5">
        <f t="shared" si="36"/>
        <v>23391.931711394987</v>
      </c>
      <c r="U137" s="5">
        <f t="shared" si="37"/>
        <v>10865.509291430628</v>
      </c>
      <c r="V137" s="5">
        <f t="shared" si="38"/>
        <v>26348.245184621956</v>
      </c>
      <c r="W137" s="5">
        <f t="shared" si="39"/>
        <v>18741.29227562264</v>
      </c>
      <c r="X137" s="6" t="str">
        <f t="shared" si="40"/>
        <v>n/a</v>
      </c>
      <c r="Y137" s="16">
        <f t="shared" si="41"/>
        <v>0.18907849122300793</v>
      </c>
      <c r="Z137" s="16">
        <f t="shared" si="42"/>
        <v>0.40705971861534773</v>
      </c>
      <c r="AA137" s="16">
        <f t="shared" si="43"/>
        <v>0.16786359485388466</v>
      </c>
      <c r="AB137" s="16">
        <f t="shared" si="44"/>
        <v>0.23599819530775959</v>
      </c>
      <c r="AC137" s="18" t="e">
        <f t="shared" si="45"/>
        <v>#VALUE!</v>
      </c>
      <c r="AD137" s="16">
        <f t="shared" si="46"/>
        <v>0.12529956619881222</v>
      </c>
      <c r="AE137" s="16">
        <f t="shared" si="47"/>
        <v>0.58073976868332466</v>
      </c>
      <c r="AF137" s="16">
        <f t="shared" si="48"/>
        <v>9.8759378909634696E-2</v>
      </c>
      <c r="AG137" s="16">
        <f t="shared" si="49"/>
        <v>0.19520128620822846</v>
      </c>
      <c r="AH137" s="16" t="e">
        <f t="shared" si="50"/>
        <v>#VALUE!</v>
      </c>
    </row>
    <row r="138" spans="1:34" x14ac:dyDescent="0.25">
      <c r="A138" s="12">
        <v>23728</v>
      </c>
      <c r="B138" s="13">
        <v>44.421027000000002</v>
      </c>
      <c r="C138" s="12">
        <v>89.543655000000001</v>
      </c>
      <c r="D138" s="14">
        <v>4</v>
      </c>
      <c r="E138" s="13" t="s">
        <v>42</v>
      </c>
      <c r="F138" s="13">
        <v>44.470410000000001</v>
      </c>
      <c r="G138" s="12">
        <v>89.511759999999995</v>
      </c>
      <c r="H138" s="13" t="s">
        <v>44</v>
      </c>
      <c r="I138" s="13">
        <v>44.388379999999998</v>
      </c>
      <c r="J138" s="12">
        <v>89.530510000000007</v>
      </c>
      <c r="K138" s="13" t="s">
        <v>48</v>
      </c>
      <c r="L138" s="13">
        <v>44.462609999999998</v>
      </c>
      <c r="M138" s="12">
        <v>89.562640000000002</v>
      </c>
      <c r="N138" s="13" t="s">
        <v>49</v>
      </c>
      <c r="O138" s="13">
        <v>44.422449999999998</v>
      </c>
      <c r="P138" s="12">
        <v>89.56926</v>
      </c>
      <c r="T138" s="5">
        <f t="shared" si="36"/>
        <v>19838.458279314313</v>
      </c>
      <c r="U138" s="5">
        <f t="shared" si="37"/>
        <v>12392.991799980204</v>
      </c>
      <c r="V138" s="5">
        <f t="shared" si="38"/>
        <v>15955.593969902729</v>
      </c>
      <c r="W138" s="5">
        <f t="shared" si="39"/>
        <v>6691.5980950767025</v>
      </c>
      <c r="X138" s="6" t="str">
        <f t="shared" si="40"/>
        <v>n/a</v>
      </c>
      <c r="Y138" s="16">
        <f t="shared" si="41"/>
        <v>0.14686840234494428</v>
      </c>
      <c r="Z138" s="16">
        <f t="shared" si="42"/>
        <v>0.23510405876927792</v>
      </c>
      <c r="AA138" s="16">
        <f t="shared" si="43"/>
        <v>0.18260947715050735</v>
      </c>
      <c r="AB138" s="16">
        <f t="shared" si="44"/>
        <v>0.43541806173527031</v>
      </c>
      <c r="AC138" s="18" t="e">
        <f t="shared" si="45"/>
        <v>#VALUE!</v>
      </c>
      <c r="AD138" s="16">
        <f t="shared" si="46"/>
        <v>7.195401283680454E-2</v>
      </c>
      <c r="AE138" s="16">
        <f t="shared" si="47"/>
        <v>0.1843820043011376</v>
      </c>
      <c r="AF138" s="16">
        <f t="shared" si="48"/>
        <v>0.11123588236652585</v>
      </c>
      <c r="AG138" s="16">
        <f t="shared" si="49"/>
        <v>0.632428100495532</v>
      </c>
      <c r="AH138" s="16" t="e">
        <f t="shared" si="50"/>
        <v>#VALUE!</v>
      </c>
    </row>
    <row r="139" spans="1:34" x14ac:dyDescent="0.25">
      <c r="A139" s="12">
        <v>23729</v>
      </c>
      <c r="B139" s="13">
        <v>44.421149999999997</v>
      </c>
      <c r="C139" s="12">
        <v>89.533616699999996</v>
      </c>
      <c r="D139" s="14">
        <v>4</v>
      </c>
      <c r="E139" s="13" t="s">
        <v>42</v>
      </c>
      <c r="F139" s="13">
        <v>44.470410000000001</v>
      </c>
      <c r="G139" s="12">
        <v>89.511759999999995</v>
      </c>
      <c r="H139" s="13" t="s">
        <v>44</v>
      </c>
      <c r="I139" s="13">
        <v>44.388379999999998</v>
      </c>
      <c r="J139" s="12">
        <v>89.530510000000007</v>
      </c>
      <c r="K139" s="13" t="s">
        <v>48</v>
      </c>
      <c r="L139" s="13">
        <v>44.462609999999998</v>
      </c>
      <c r="M139" s="12">
        <v>89.562640000000002</v>
      </c>
      <c r="N139" s="13" t="s">
        <v>49</v>
      </c>
      <c r="O139" s="13">
        <v>44.442853999999997</v>
      </c>
      <c r="P139" s="12">
        <v>89.564139999999995</v>
      </c>
      <c r="T139" s="5">
        <f t="shared" si="36"/>
        <v>18850.711310318657</v>
      </c>
      <c r="U139" s="5">
        <f t="shared" si="37"/>
        <v>11982.302183444934</v>
      </c>
      <c r="V139" s="5">
        <f t="shared" si="38"/>
        <v>16909.031093813261</v>
      </c>
      <c r="W139" s="5">
        <f t="shared" si="39"/>
        <v>11221.387451151655</v>
      </c>
      <c r="X139" s="6" t="str">
        <f t="shared" si="40"/>
        <v>n/a</v>
      </c>
      <c r="Y139" s="16">
        <f t="shared" si="41"/>
        <v>0.18629137361604342</v>
      </c>
      <c r="Z139" s="16">
        <f t="shared" si="42"/>
        <v>0.29307597570779353</v>
      </c>
      <c r="AA139" s="16">
        <f t="shared" si="43"/>
        <v>0.20768339026377636</v>
      </c>
      <c r="AB139" s="16">
        <f t="shared" si="44"/>
        <v>0.3129492604123868</v>
      </c>
      <c r="AC139" s="18" t="e">
        <f t="shared" si="45"/>
        <v>#VALUE!</v>
      </c>
      <c r="AD139" s="16">
        <f t="shared" si="46"/>
        <v>0.13262808015510197</v>
      </c>
      <c r="AE139" s="16">
        <f t="shared" si="47"/>
        <v>0.32825430625002022</v>
      </c>
      <c r="AF139" s="16">
        <f t="shared" si="48"/>
        <v>0.16483655237458908</v>
      </c>
      <c r="AG139" s="16">
        <f t="shared" si="49"/>
        <v>0.37428106122028865</v>
      </c>
      <c r="AH139" s="16" t="e">
        <f t="shared" si="50"/>
        <v>#VALUE!</v>
      </c>
    </row>
    <row r="140" spans="1:34" x14ac:dyDescent="0.25">
      <c r="A140" s="12">
        <v>23745</v>
      </c>
      <c r="B140" s="13">
        <v>44.380515000000003</v>
      </c>
      <c r="C140" s="12">
        <v>89.456788399999994</v>
      </c>
      <c r="D140" s="14">
        <v>0</v>
      </c>
      <c r="T140" s="5">
        <f t="shared" si="36"/>
        <v>32691514.101731114</v>
      </c>
      <c r="U140" s="5">
        <f t="shared" si="37"/>
        <v>32691514.101731114</v>
      </c>
      <c r="V140" s="5" t="str">
        <f t="shared" si="38"/>
        <v>n/a</v>
      </c>
      <c r="W140" s="5" t="str">
        <f t="shared" si="39"/>
        <v>n/a</v>
      </c>
      <c r="X140" s="6" t="str">
        <f t="shared" si="40"/>
        <v>n/a</v>
      </c>
      <c r="Y140" s="16" t="str">
        <f t="shared" si="41"/>
        <v>error</v>
      </c>
      <c r="Z140" s="16" t="str">
        <f t="shared" si="42"/>
        <v>error</v>
      </c>
      <c r="AA140" s="16" t="str">
        <f t="shared" si="43"/>
        <v>error</v>
      </c>
      <c r="AB140" s="16" t="str">
        <f t="shared" si="44"/>
        <v>error</v>
      </c>
      <c r="AC140" s="18" t="str">
        <f t="shared" si="45"/>
        <v>error</v>
      </c>
      <c r="AD140" s="16" t="str">
        <f t="shared" si="46"/>
        <v>error</v>
      </c>
      <c r="AE140" s="16" t="str">
        <f t="shared" si="47"/>
        <v>error</v>
      </c>
      <c r="AF140" s="16" t="str">
        <f t="shared" si="48"/>
        <v>error</v>
      </c>
      <c r="AG140" s="16" t="str">
        <f t="shared" si="49"/>
        <v>error</v>
      </c>
      <c r="AH140" s="16" t="str">
        <f t="shared" si="50"/>
        <v>error</v>
      </c>
    </row>
    <row r="141" spans="1:34" x14ac:dyDescent="0.25">
      <c r="A141" s="12">
        <v>23751</v>
      </c>
      <c r="B141" s="13">
        <v>44.406923599999999</v>
      </c>
      <c r="C141" s="12">
        <v>89.513088100000004</v>
      </c>
      <c r="D141" s="14">
        <v>4</v>
      </c>
      <c r="E141" s="13" t="s">
        <v>42</v>
      </c>
      <c r="F141" s="13">
        <v>44.470410000000001</v>
      </c>
      <c r="G141" s="12">
        <v>89.511759999999995</v>
      </c>
      <c r="H141" s="13" t="s">
        <v>44</v>
      </c>
      <c r="I141" s="13">
        <v>44.388379999999998</v>
      </c>
      <c r="J141" s="12">
        <v>89.530510000000007</v>
      </c>
      <c r="K141" s="13" t="s">
        <v>48</v>
      </c>
      <c r="L141" s="13">
        <v>44.462609999999998</v>
      </c>
      <c r="M141" s="12">
        <v>89.562640000000002</v>
      </c>
      <c r="N141" s="13" t="s">
        <v>49</v>
      </c>
      <c r="O141" s="13">
        <v>44.410510000000002</v>
      </c>
      <c r="P141" s="12">
        <v>89.569760000000002</v>
      </c>
      <c r="T141" s="5">
        <f t="shared" si="36"/>
        <v>23163.231674403294</v>
      </c>
      <c r="U141" s="5">
        <f t="shared" si="37"/>
        <v>8147.8057735314042</v>
      </c>
      <c r="V141" s="5">
        <f t="shared" si="38"/>
        <v>24069.04878263715</v>
      </c>
      <c r="W141" s="5">
        <f t="shared" si="39"/>
        <v>14827.097175779089</v>
      </c>
      <c r="X141" s="6" t="str">
        <f t="shared" si="40"/>
        <v>n/a</v>
      </c>
      <c r="Y141" s="16">
        <f t="shared" si="41"/>
        <v>0.15704828224539708</v>
      </c>
      <c r="Z141" s="16">
        <f t="shared" si="42"/>
        <v>0.44646937431113382</v>
      </c>
      <c r="AA141" s="16">
        <f t="shared" si="43"/>
        <v>0.15113791070718985</v>
      </c>
      <c r="AB141" s="16">
        <f t="shared" si="44"/>
        <v>0.24534443273627934</v>
      </c>
      <c r="AC141" s="18" t="e">
        <f t="shared" si="45"/>
        <v>#VALUE!</v>
      </c>
      <c r="AD141" s="16">
        <f t="shared" si="46"/>
        <v>8.0329971631366293E-2</v>
      </c>
      <c r="AE141" s="16">
        <f t="shared" si="47"/>
        <v>0.64922402058018625</v>
      </c>
      <c r="AF141" s="16">
        <f t="shared" si="48"/>
        <v>7.439745187920338E-2</v>
      </c>
      <c r="AG141" s="16">
        <f t="shared" si="49"/>
        <v>0.19604855590924417</v>
      </c>
      <c r="AH141" s="16" t="e">
        <f t="shared" si="50"/>
        <v>#VALUE!</v>
      </c>
    </row>
    <row r="142" spans="1:34" x14ac:dyDescent="0.25">
      <c r="A142" s="12">
        <v>23752</v>
      </c>
      <c r="B142" s="13">
        <v>44.468499999999999</v>
      </c>
      <c r="C142" s="12">
        <v>89.457099999999997</v>
      </c>
      <c r="D142" s="14">
        <v>4</v>
      </c>
      <c r="E142" s="13" t="s">
        <v>42</v>
      </c>
      <c r="F142" s="13">
        <v>44.47</v>
      </c>
      <c r="G142" s="12">
        <v>89.482500000000002</v>
      </c>
      <c r="H142" s="13" t="s">
        <v>41</v>
      </c>
      <c r="I142" s="13">
        <v>44.487749999999998</v>
      </c>
      <c r="J142" s="12">
        <v>89.306439999999995</v>
      </c>
      <c r="K142" s="13" t="s">
        <v>43</v>
      </c>
      <c r="L142" s="13">
        <v>44.436570000000003</v>
      </c>
      <c r="M142" s="12">
        <v>89.376750000000001</v>
      </c>
      <c r="N142" s="13" t="s">
        <v>44</v>
      </c>
      <c r="O142" s="13">
        <v>44.400210000000001</v>
      </c>
      <c r="P142" s="12">
        <v>89.480350000000001</v>
      </c>
      <c r="T142" s="5">
        <f t="shared" si="36"/>
        <v>6635.2408519565042</v>
      </c>
      <c r="U142" s="5">
        <f t="shared" si="37"/>
        <v>39840.680043703484</v>
      </c>
      <c r="V142" s="5">
        <f t="shared" si="38"/>
        <v>23948.145450134558</v>
      </c>
      <c r="W142" s="5">
        <f t="shared" si="39"/>
        <v>25638.684871880581</v>
      </c>
      <c r="X142" s="6" t="str">
        <f t="shared" si="40"/>
        <v>n/a</v>
      </c>
      <c r="Y142" s="16">
        <f t="shared" si="41"/>
        <v>0.58740277585020562</v>
      </c>
      <c r="Z142" s="16">
        <f t="shared" si="42"/>
        <v>9.7828623673051826E-2</v>
      </c>
      <c r="AA142" s="16">
        <f t="shared" si="43"/>
        <v>0.16274992579235542</v>
      </c>
      <c r="AB142" s="16">
        <f t="shared" si="44"/>
        <v>0.15201867468438721</v>
      </c>
      <c r="AC142" s="18" t="e">
        <f t="shared" si="45"/>
        <v>#VALUE!</v>
      </c>
      <c r="AD142" s="16">
        <f t="shared" si="46"/>
        <v>0.853621378086315</v>
      </c>
      <c r="AE142" s="16">
        <f t="shared" si="47"/>
        <v>2.3676918605708995E-2</v>
      </c>
      <c r="AF142" s="16">
        <f t="shared" si="48"/>
        <v>6.5529203990821738E-2</v>
      </c>
      <c r="AG142" s="16">
        <f t="shared" si="49"/>
        <v>5.7172499317154332E-2</v>
      </c>
      <c r="AH142" s="16" t="e">
        <f t="shared" si="50"/>
        <v>#VALUE!</v>
      </c>
    </row>
    <row r="143" spans="1:34" x14ac:dyDescent="0.25">
      <c r="A143" s="12">
        <v>23753</v>
      </c>
      <c r="B143" s="13">
        <v>44.462600000000002</v>
      </c>
      <c r="C143" s="12">
        <v>89.441599999999994</v>
      </c>
      <c r="D143" s="14">
        <v>4</v>
      </c>
      <c r="E143" s="13" t="s">
        <v>42</v>
      </c>
      <c r="F143" s="13">
        <v>44.47</v>
      </c>
      <c r="G143" s="12">
        <v>89.482500000000002</v>
      </c>
      <c r="H143" s="13" t="s">
        <v>41</v>
      </c>
      <c r="I143" s="13">
        <v>44.487749999999998</v>
      </c>
      <c r="J143" s="12">
        <v>89.306439999999995</v>
      </c>
      <c r="K143" s="13" t="s">
        <v>43</v>
      </c>
      <c r="L143" s="13">
        <v>44.436570000000003</v>
      </c>
      <c r="M143" s="12">
        <v>89.376750000000001</v>
      </c>
      <c r="N143" s="13" t="s">
        <v>44</v>
      </c>
      <c r="O143" s="13">
        <v>44.400210000000001</v>
      </c>
      <c r="P143" s="12">
        <v>89.480350000000001</v>
      </c>
      <c r="T143" s="5">
        <f t="shared" si="36"/>
        <v>10985.323109214145</v>
      </c>
      <c r="U143" s="5">
        <f t="shared" si="37"/>
        <v>36360.612245384938</v>
      </c>
      <c r="V143" s="5">
        <f t="shared" si="38"/>
        <v>19375.369701066149</v>
      </c>
      <c r="W143" s="5">
        <f t="shared" si="39"/>
        <v>24898.819998862888</v>
      </c>
      <c r="X143" s="6" t="str">
        <f t="shared" si="40"/>
        <v>n/a</v>
      </c>
      <c r="Y143" s="16">
        <f t="shared" si="41"/>
        <v>0.43284540832467122</v>
      </c>
      <c r="Z143" s="16">
        <f t="shared" si="42"/>
        <v>0.13077190875381267</v>
      </c>
      <c r="AA143" s="16">
        <f t="shared" si="43"/>
        <v>0.24541191936712295</v>
      </c>
      <c r="AB143" s="16">
        <f t="shared" si="44"/>
        <v>0.19097076355439327</v>
      </c>
      <c r="AC143" s="18" t="e">
        <f t="shared" si="45"/>
        <v>#VALUE!</v>
      </c>
      <c r="AD143" s="16">
        <f t="shared" si="46"/>
        <v>0.62212553706918294</v>
      </c>
      <c r="AE143" s="16">
        <f t="shared" si="47"/>
        <v>5.6786006072993299E-2</v>
      </c>
      <c r="AF143" s="16">
        <f t="shared" si="48"/>
        <v>0.19998789221923605</v>
      </c>
      <c r="AG143" s="16">
        <f t="shared" si="49"/>
        <v>0.12110056463858769</v>
      </c>
      <c r="AH143" s="16" t="e">
        <f t="shared" si="50"/>
        <v>#VALUE!</v>
      </c>
    </row>
    <row r="144" spans="1:34" x14ac:dyDescent="0.25">
      <c r="A144" s="12">
        <v>23754</v>
      </c>
      <c r="B144" s="13">
        <v>44.576777</v>
      </c>
      <c r="C144" s="12">
        <v>89.438681099999997</v>
      </c>
      <c r="D144" s="14">
        <v>4</v>
      </c>
      <c r="E144" s="13" t="s">
        <v>42</v>
      </c>
      <c r="F144" s="13">
        <v>44.481119999999997</v>
      </c>
      <c r="G144" s="12">
        <v>89.479669999999999</v>
      </c>
      <c r="H144" s="13" t="s">
        <v>39</v>
      </c>
      <c r="I144" s="13">
        <v>44.58616</v>
      </c>
      <c r="J144" s="12">
        <v>89.487179999999995</v>
      </c>
      <c r="K144" s="13" t="s">
        <v>40</v>
      </c>
      <c r="L144" s="13">
        <v>44.554780000000001</v>
      </c>
      <c r="M144" s="13">
        <v>89.461330000000004</v>
      </c>
      <c r="N144" s="13" t="s">
        <v>41</v>
      </c>
      <c r="O144" s="13">
        <v>44.570529999999998</v>
      </c>
      <c r="P144" s="12">
        <v>89.378259999999997</v>
      </c>
      <c r="T144" s="5">
        <f t="shared" si="36"/>
        <v>36488.785658031898</v>
      </c>
      <c r="U144" s="5">
        <f t="shared" si="37"/>
        <v>13058.530950679031</v>
      </c>
      <c r="V144" s="5">
        <f t="shared" si="38"/>
        <v>9952.3820062710111</v>
      </c>
      <c r="W144" s="5">
        <f t="shared" si="39"/>
        <v>15866.394200308916</v>
      </c>
      <c r="X144" s="6" t="str">
        <f t="shared" si="40"/>
        <v>n/a</v>
      </c>
      <c r="Y144" s="16">
        <f t="shared" si="41"/>
        <v>0.10245546096015722</v>
      </c>
      <c r="Z144" s="16">
        <f t="shared" si="42"/>
        <v>0.28628605840809634</v>
      </c>
      <c r="AA144" s="16">
        <f t="shared" si="43"/>
        <v>0.37563623985839895</v>
      </c>
      <c r="AB144" s="16">
        <f t="shared" si="44"/>
        <v>0.23562224077334751</v>
      </c>
      <c r="AC144" s="18" t="e">
        <f t="shared" si="45"/>
        <v>#VALUE!</v>
      </c>
      <c r="AD144" s="16">
        <f t="shared" si="46"/>
        <v>3.6312512810924992E-2</v>
      </c>
      <c r="AE144" s="16">
        <f t="shared" si="47"/>
        <v>0.28352181353739025</v>
      </c>
      <c r="AF144" s="16">
        <f t="shared" si="48"/>
        <v>0.48811375803166646</v>
      </c>
      <c r="AG144" s="16">
        <f t="shared" si="49"/>
        <v>0.19205191562001817</v>
      </c>
      <c r="AH144" s="16" t="e">
        <f t="shared" si="50"/>
        <v>#VALUE!</v>
      </c>
    </row>
    <row r="145" spans="1:34" x14ac:dyDescent="0.25">
      <c r="A145" s="12">
        <v>23755</v>
      </c>
      <c r="B145" s="13">
        <v>44.461779</v>
      </c>
      <c r="C145" s="12">
        <v>89.484140999999994</v>
      </c>
      <c r="D145" s="14">
        <v>3</v>
      </c>
      <c r="E145" s="13" t="s">
        <v>42</v>
      </c>
      <c r="F145" s="13">
        <v>44.468069999999997</v>
      </c>
      <c r="G145" s="12">
        <v>89.487390000000005</v>
      </c>
      <c r="H145" s="13" t="s">
        <v>44</v>
      </c>
      <c r="I145" s="13">
        <v>44.400350000000003</v>
      </c>
      <c r="J145" s="12">
        <v>89.480869999999996</v>
      </c>
      <c r="K145" s="13" t="s">
        <v>43</v>
      </c>
      <c r="L145" s="13">
        <v>44.436570000000003</v>
      </c>
      <c r="M145" s="12">
        <v>89.376750000000001</v>
      </c>
      <c r="T145" s="5">
        <f t="shared" si="36"/>
        <v>2445.9669736694314</v>
      </c>
      <c r="U145" s="5">
        <f t="shared" si="37"/>
        <v>22426.277488616335</v>
      </c>
      <c r="V145" s="5">
        <f t="shared" si="38"/>
        <v>29441.027410398747</v>
      </c>
      <c r="W145" s="5" t="str">
        <f t="shared" si="39"/>
        <v>n/a</v>
      </c>
      <c r="X145" s="6" t="str">
        <f t="shared" si="40"/>
        <v>n/a</v>
      </c>
      <c r="Y145" s="16">
        <f t="shared" si="41"/>
        <v>0.83882257049372067</v>
      </c>
      <c r="Z145" s="16">
        <f t="shared" si="42"/>
        <v>9.1487867535644585E-2</v>
      </c>
      <c r="AA145" s="16">
        <f t="shared" si="43"/>
        <v>6.9689561970634736E-2</v>
      </c>
      <c r="AB145" s="16" t="e">
        <f t="shared" si="44"/>
        <v>#VALUE!</v>
      </c>
      <c r="AC145" s="18" t="e">
        <f t="shared" si="45"/>
        <v>#VALUE!</v>
      </c>
      <c r="AD145" s="16">
        <f t="shared" si="46"/>
        <v>0.98154890770382675</v>
      </c>
      <c r="AE145" s="16">
        <f t="shared" si="47"/>
        <v>1.1676125074605586E-2</v>
      </c>
      <c r="AF145" s="16">
        <f t="shared" si="48"/>
        <v>6.7749672215676208E-3</v>
      </c>
      <c r="AG145" s="16" t="e">
        <f t="shared" si="49"/>
        <v>#VALUE!</v>
      </c>
      <c r="AH145" s="16" t="e">
        <f t="shared" si="50"/>
        <v>#VALUE!</v>
      </c>
    </row>
    <row r="146" spans="1:34" x14ac:dyDescent="0.25">
      <c r="A146" s="12">
        <v>23756</v>
      </c>
      <c r="B146" s="13">
        <v>44.401546400000001</v>
      </c>
      <c r="C146" s="12">
        <v>89.510466600000001</v>
      </c>
      <c r="D146" s="14">
        <v>4</v>
      </c>
      <c r="E146" s="13" t="s">
        <v>42</v>
      </c>
      <c r="F146" s="13">
        <v>44.470410000000001</v>
      </c>
      <c r="G146" s="12">
        <v>89.511759999999995</v>
      </c>
      <c r="H146" s="13" t="s">
        <v>44</v>
      </c>
      <c r="I146" s="13">
        <v>44.388379999999998</v>
      </c>
      <c r="J146" s="12">
        <v>89.530510000000007</v>
      </c>
      <c r="K146" s="13" t="s">
        <v>48</v>
      </c>
      <c r="L146" s="13">
        <v>44.462609999999998</v>
      </c>
      <c r="M146" s="12">
        <v>89.562640000000002</v>
      </c>
      <c r="N146" s="13" t="s">
        <v>49</v>
      </c>
      <c r="O146" s="13">
        <v>44.41066</v>
      </c>
      <c r="P146" s="12">
        <v>89.570160000000001</v>
      </c>
      <c r="T146" s="5">
        <f t="shared" si="36"/>
        <v>25124.578478389463</v>
      </c>
      <c r="U146" s="5">
        <f t="shared" si="37"/>
        <v>7097.1319603873244</v>
      </c>
      <c r="V146" s="5">
        <f t="shared" si="38"/>
        <v>26095.650870609366</v>
      </c>
      <c r="W146" s="5">
        <f t="shared" si="39"/>
        <v>15908.685641178217</v>
      </c>
      <c r="X146" s="6" t="str">
        <f t="shared" si="40"/>
        <v>n/a</v>
      </c>
      <c r="Y146" s="16">
        <f t="shared" si="41"/>
        <v>0.14119925269483036</v>
      </c>
      <c r="Z146" s="16">
        <f t="shared" si="42"/>
        <v>0.49985990470826785</v>
      </c>
      <c r="AA146" s="16">
        <f t="shared" si="43"/>
        <v>0.13594494051944567</v>
      </c>
      <c r="AB146" s="16">
        <f t="shared" si="44"/>
        <v>0.22299590207745612</v>
      </c>
      <c r="AC146" s="18" t="e">
        <f t="shared" si="45"/>
        <v>#VALUE!</v>
      </c>
      <c r="AD146" s="16">
        <f t="shared" si="46"/>
        <v>5.8984950429175488E-2</v>
      </c>
      <c r="AE146" s="16">
        <f t="shared" si="47"/>
        <v>0.7392188392648209</v>
      </c>
      <c r="AF146" s="16">
        <f t="shared" si="48"/>
        <v>5.4676728390666951E-2</v>
      </c>
      <c r="AG146" s="16">
        <f t="shared" si="49"/>
        <v>0.14711948191533664</v>
      </c>
      <c r="AH146" s="16" t="e">
        <f t="shared" si="50"/>
        <v>#VALUE!</v>
      </c>
    </row>
    <row r="147" spans="1:34" x14ac:dyDescent="0.25">
      <c r="A147" s="12">
        <v>23757</v>
      </c>
      <c r="B147" s="13">
        <v>44.424460000000003</v>
      </c>
      <c r="C147" s="12">
        <v>89.554220000000001</v>
      </c>
      <c r="D147" s="14">
        <v>4</v>
      </c>
      <c r="E147" s="13" t="s">
        <v>42</v>
      </c>
      <c r="F147" s="13">
        <v>44.470410000000001</v>
      </c>
      <c r="G147" s="12">
        <v>89.511759999999995</v>
      </c>
      <c r="H147" s="13" t="s">
        <v>44</v>
      </c>
      <c r="I147" s="13">
        <v>44.388379999999998</v>
      </c>
      <c r="J147" s="12">
        <v>89.530510000000007</v>
      </c>
      <c r="K147" s="13" t="s">
        <v>48</v>
      </c>
      <c r="L147" s="13">
        <v>44.462609999999998</v>
      </c>
      <c r="M147" s="12">
        <v>89.562640000000002</v>
      </c>
      <c r="N147" s="13" t="s">
        <v>49</v>
      </c>
      <c r="O147" s="13">
        <v>44.428980000000003</v>
      </c>
      <c r="P147" s="12">
        <v>89.564130000000006</v>
      </c>
      <c r="T147" s="5">
        <f t="shared" si="36"/>
        <v>20081.985522817358</v>
      </c>
      <c r="U147" s="5">
        <f t="shared" si="37"/>
        <v>14540.760684832163</v>
      </c>
      <c r="V147" s="5">
        <f t="shared" si="38"/>
        <v>14089.327318010672</v>
      </c>
      <c r="W147" s="5">
        <f t="shared" si="39"/>
        <v>3063.493602452897</v>
      </c>
      <c r="X147" s="6" t="str">
        <f t="shared" si="40"/>
        <v>n/a</v>
      </c>
      <c r="Y147" s="16">
        <f t="shared" si="41"/>
        <v>9.6509524763882942E-2</v>
      </c>
      <c r="Z147" s="16">
        <f t="shared" si="42"/>
        <v>0.13328758523231629</v>
      </c>
      <c r="AA147" s="16">
        <f t="shared" si="43"/>
        <v>0.13755822654817343</v>
      </c>
      <c r="AB147" s="16">
        <f t="shared" si="44"/>
        <v>0.63264466345562742</v>
      </c>
      <c r="AC147" s="18" t="e">
        <f t="shared" si="45"/>
        <v>#VALUE!</v>
      </c>
      <c r="AD147" s="16">
        <f t="shared" si="46"/>
        <v>2.0872318094702906E-2</v>
      </c>
      <c r="AE147" s="16">
        <f t="shared" si="47"/>
        <v>3.9811609041138667E-2</v>
      </c>
      <c r="AF147" s="16">
        <f t="shared" si="48"/>
        <v>4.2403672037555802E-2</v>
      </c>
      <c r="AG147" s="16">
        <f t="shared" si="49"/>
        <v>0.89691240082660262</v>
      </c>
      <c r="AH147" s="16" t="e">
        <f t="shared" si="50"/>
        <v>#VALUE!</v>
      </c>
    </row>
    <row r="148" spans="1:34" x14ac:dyDescent="0.25">
      <c r="A148" s="12">
        <v>23758</v>
      </c>
      <c r="B148" s="13">
        <v>44.428199999999997</v>
      </c>
      <c r="C148" s="12">
        <v>89.548900000000003</v>
      </c>
      <c r="D148" s="14">
        <v>4</v>
      </c>
      <c r="E148" s="13" t="s">
        <v>42</v>
      </c>
      <c r="F148" s="13">
        <v>44.470410000000001</v>
      </c>
      <c r="G148" s="12">
        <v>89.511759999999995</v>
      </c>
      <c r="H148" s="13" t="s">
        <v>44</v>
      </c>
      <c r="I148" s="13">
        <v>44.388379999999998</v>
      </c>
      <c r="J148" s="12">
        <v>89.530510000000007</v>
      </c>
      <c r="K148" s="13" t="s">
        <v>48</v>
      </c>
      <c r="L148" s="13">
        <v>44.462609999999998</v>
      </c>
      <c r="M148" s="12">
        <v>89.562640000000002</v>
      </c>
      <c r="N148" s="13" t="s">
        <v>49</v>
      </c>
      <c r="O148" s="13">
        <v>44.432180000000002</v>
      </c>
      <c r="P148" s="12">
        <v>89.562690000000003</v>
      </c>
      <c r="T148" s="5">
        <f t="shared" si="36"/>
        <v>18184.482238201192</v>
      </c>
      <c r="U148" s="5">
        <f t="shared" si="37"/>
        <v>15297.015771371369</v>
      </c>
      <c r="V148" s="5">
        <f t="shared" si="38"/>
        <v>13053.309924653653</v>
      </c>
      <c r="W148" s="5">
        <f t="shared" si="39"/>
        <v>3874.8115227234484</v>
      </c>
      <c r="X148" s="6" t="str">
        <f t="shared" si="40"/>
        <v>n/a</v>
      </c>
      <c r="Y148" s="16">
        <f t="shared" si="41"/>
        <v>0.12084808914387182</v>
      </c>
      <c r="Z148" s="16">
        <f t="shared" si="42"/>
        <v>0.14365938843248519</v>
      </c>
      <c r="AA148" s="16">
        <f t="shared" si="43"/>
        <v>0.16835269699731734</v>
      </c>
      <c r="AB148" s="16">
        <f t="shared" si="44"/>
        <v>0.56713982542632568</v>
      </c>
      <c r="AC148" s="18" t="e">
        <f t="shared" si="45"/>
        <v>#VALUE!</v>
      </c>
      <c r="AD148" s="16">
        <f t="shared" si="46"/>
        <v>3.7910251409903166E-2</v>
      </c>
      <c r="AE148" s="16">
        <f t="shared" si="47"/>
        <v>5.3572895006492947E-2</v>
      </c>
      <c r="AF148" s="16">
        <f t="shared" si="48"/>
        <v>7.3572793372716577E-2</v>
      </c>
      <c r="AG148" s="16">
        <f t="shared" si="49"/>
        <v>0.8349440602108873</v>
      </c>
      <c r="AH148" s="16" t="e">
        <f t="shared" si="50"/>
        <v>#VALUE!</v>
      </c>
    </row>
    <row r="149" spans="1:34" x14ac:dyDescent="0.25">
      <c r="A149" s="12">
        <v>23759</v>
      </c>
      <c r="B149" s="13">
        <v>44.439076</v>
      </c>
      <c r="C149" s="12">
        <v>89.594403999999997</v>
      </c>
      <c r="D149" s="14">
        <v>0</v>
      </c>
      <c r="T149" s="5">
        <f t="shared" si="36"/>
        <v>32727500.604400788</v>
      </c>
      <c r="U149" s="5">
        <f t="shared" si="37"/>
        <v>32727500.604400788</v>
      </c>
      <c r="V149" s="5" t="str">
        <f t="shared" si="38"/>
        <v>n/a</v>
      </c>
      <c r="W149" s="5" t="str">
        <f t="shared" si="39"/>
        <v>n/a</v>
      </c>
      <c r="X149" s="6" t="str">
        <f t="shared" si="40"/>
        <v>n/a</v>
      </c>
      <c r="Y149" s="16" t="str">
        <f t="shared" si="41"/>
        <v>error</v>
      </c>
      <c r="Z149" s="16" t="str">
        <f t="shared" si="42"/>
        <v>error</v>
      </c>
      <c r="AA149" s="16" t="str">
        <f t="shared" si="43"/>
        <v>error</v>
      </c>
      <c r="AB149" s="16" t="str">
        <f t="shared" si="44"/>
        <v>error</v>
      </c>
      <c r="AC149" s="18" t="str">
        <f t="shared" si="45"/>
        <v>error</v>
      </c>
      <c r="AD149" s="16" t="str">
        <f t="shared" si="46"/>
        <v>error</v>
      </c>
      <c r="AE149" s="16" t="str">
        <f t="shared" si="47"/>
        <v>error</v>
      </c>
      <c r="AF149" s="16" t="str">
        <f t="shared" si="48"/>
        <v>error</v>
      </c>
      <c r="AG149" s="16" t="str">
        <f t="shared" si="49"/>
        <v>error</v>
      </c>
      <c r="AH149" s="16" t="str">
        <f t="shared" si="50"/>
        <v>error</v>
      </c>
    </row>
    <row r="150" spans="1:34" x14ac:dyDescent="0.25">
      <c r="A150" s="12">
        <v>23761</v>
      </c>
      <c r="B150" s="13">
        <v>44.419319999999999</v>
      </c>
      <c r="C150" s="12">
        <v>89.592150000000004</v>
      </c>
      <c r="D150" s="14">
        <v>0</v>
      </c>
      <c r="T150" s="5">
        <f t="shared" si="36"/>
        <v>32726877.587891549</v>
      </c>
      <c r="U150" s="5">
        <f t="shared" si="37"/>
        <v>32726877.587891549</v>
      </c>
      <c r="V150" s="5" t="str">
        <f t="shared" si="38"/>
        <v>n/a</v>
      </c>
      <c r="W150" s="5" t="str">
        <f t="shared" si="39"/>
        <v>n/a</v>
      </c>
      <c r="X150" s="6" t="str">
        <f t="shared" si="40"/>
        <v>n/a</v>
      </c>
      <c r="Y150" s="16" t="str">
        <f t="shared" si="41"/>
        <v>error</v>
      </c>
      <c r="Z150" s="16" t="str">
        <f t="shared" si="42"/>
        <v>error</v>
      </c>
      <c r="AA150" s="16" t="str">
        <f t="shared" si="43"/>
        <v>error</v>
      </c>
      <c r="AB150" s="16" t="str">
        <f t="shared" si="44"/>
        <v>error</v>
      </c>
      <c r="AC150" s="18" t="str">
        <f t="shared" si="45"/>
        <v>error</v>
      </c>
      <c r="AD150" s="16" t="str">
        <f t="shared" si="46"/>
        <v>error</v>
      </c>
      <c r="AE150" s="16" t="str">
        <f t="shared" si="47"/>
        <v>error</v>
      </c>
      <c r="AF150" s="16" t="str">
        <f t="shared" si="48"/>
        <v>error</v>
      </c>
      <c r="AG150" s="16" t="str">
        <f t="shared" si="49"/>
        <v>error</v>
      </c>
      <c r="AH150" s="16" t="str">
        <f t="shared" si="50"/>
        <v>error</v>
      </c>
    </row>
    <row r="151" spans="1:34" x14ac:dyDescent="0.25">
      <c r="A151" s="12">
        <v>23763</v>
      </c>
      <c r="B151" s="13">
        <v>44.380890000000001</v>
      </c>
      <c r="C151" s="12">
        <v>89.676539000000005</v>
      </c>
      <c r="D151" s="14">
        <v>0</v>
      </c>
      <c r="T151" s="5">
        <f t="shared" si="36"/>
        <v>32748810.61277166</v>
      </c>
      <c r="U151" s="5">
        <f t="shared" si="37"/>
        <v>32748810.61277166</v>
      </c>
      <c r="V151" s="5" t="str">
        <f t="shared" si="38"/>
        <v>n/a</v>
      </c>
      <c r="W151" s="5" t="str">
        <f t="shared" si="39"/>
        <v>n/a</v>
      </c>
      <c r="X151" s="6" t="str">
        <f t="shared" si="40"/>
        <v>n/a</v>
      </c>
      <c r="Y151" s="16" t="str">
        <f t="shared" si="41"/>
        <v>error</v>
      </c>
      <c r="Z151" s="16" t="str">
        <f t="shared" si="42"/>
        <v>error</v>
      </c>
      <c r="AA151" s="16" t="str">
        <f t="shared" si="43"/>
        <v>error</v>
      </c>
      <c r="AB151" s="16" t="str">
        <f t="shared" si="44"/>
        <v>error</v>
      </c>
      <c r="AC151" s="18" t="str">
        <f t="shared" si="45"/>
        <v>error</v>
      </c>
      <c r="AD151" s="16" t="str">
        <f t="shared" si="46"/>
        <v>error</v>
      </c>
      <c r="AE151" s="16" t="str">
        <f t="shared" si="47"/>
        <v>error</v>
      </c>
      <c r="AF151" s="16" t="str">
        <f t="shared" si="48"/>
        <v>error</v>
      </c>
      <c r="AG151" s="16" t="str">
        <f t="shared" si="49"/>
        <v>error</v>
      </c>
      <c r="AH151" s="16" t="str">
        <f t="shared" si="50"/>
        <v>error</v>
      </c>
    </row>
    <row r="152" spans="1:34" x14ac:dyDescent="0.25">
      <c r="A152" s="12">
        <v>23764</v>
      </c>
      <c r="B152" s="13">
        <v>44.384241699999997</v>
      </c>
      <c r="C152" s="12">
        <v>89.682483300000001</v>
      </c>
      <c r="D152" s="14">
        <v>0</v>
      </c>
      <c r="T152" s="5">
        <f t="shared" si="36"/>
        <v>32750365.220728919</v>
      </c>
      <c r="U152" s="5">
        <f t="shared" si="37"/>
        <v>32750365.220728919</v>
      </c>
      <c r="V152" s="5" t="str">
        <f t="shared" si="38"/>
        <v>n/a</v>
      </c>
      <c r="W152" s="5" t="str">
        <f t="shared" si="39"/>
        <v>n/a</v>
      </c>
      <c r="X152" s="6" t="str">
        <f t="shared" si="40"/>
        <v>n/a</v>
      </c>
      <c r="Y152" s="16" t="str">
        <f t="shared" si="41"/>
        <v>error</v>
      </c>
      <c r="Z152" s="16" t="str">
        <f t="shared" si="42"/>
        <v>error</v>
      </c>
      <c r="AA152" s="16" t="str">
        <f t="shared" si="43"/>
        <v>error</v>
      </c>
      <c r="AB152" s="16" t="str">
        <f t="shared" si="44"/>
        <v>error</v>
      </c>
      <c r="AC152" s="18" t="str">
        <f t="shared" si="45"/>
        <v>error</v>
      </c>
      <c r="AD152" s="16" t="str">
        <f t="shared" si="46"/>
        <v>error</v>
      </c>
      <c r="AE152" s="16" t="str">
        <f t="shared" si="47"/>
        <v>error</v>
      </c>
      <c r="AF152" s="16" t="str">
        <f t="shared" si="48"/>
        <v>error</v>
      </c>
      <c r="AG152" s="16" t="str">
        <f t="shared" si="49"/>
        <v>error</v>
      </c>
      <c r="AH152" s="16" t="str">
        <f t="shared" si="50"/>
        <v>error</v>
      </c>
    </row>
    <row r="153" spans="1:34" x14ac:dyDescent="0.25">
      <c r="A153" s="12">
        <v>23765</v>
      </c>
      <c r="B153" s="13">
        <v>44.391800000000003</v>
      </c>
      <c r="C153" s="12">
        <v>89.6828</v>
      </c>
      <c r="D153" s="13">
        <v>0</v>
      </c>
      <c r="T153" s="5">
        <f t="shared" si="36"/>
        <v>32750458.468099121</v>
      </c>
      <c r="U153" s="5">
        <f t="shared" si="37"/>
        <v>32750458.468099121</v>
      </c>
      <c r="V153" s="5" t="str">
        <f t="shared" si="38"/>
        <v>n/a</v>
      </c>
      <c r="W153" s="5" t="str">
        <f t="shared" si="39"/>
        <v>n/a</v>
      </c>
      <c r="X153" s="6" t="str">
        <f t="shared" si="40"/>
        <v>n/a</v>
      </c>
      <c r="Y153" s="16" t="str">
        <f t="shared" si="41"/>
        <v>error</v>
      </c>
      <c r="Z153" s="16" t="str">
        <f t="shared" si="42"/>
        <v>error</v>
      </c>
      <c r="AA153" s="16" t="str">
        <f t="shared" si="43"/>
        <v>error</v>
      </c>
      <c r="AB153" s="16" t="str">
        <f t="shared" si="44"/>
        <v>error</v>
      </c>
      <c r="AC153" s="18" t="str">
        <f t="shared" si="45"/>
        <v>error</v>
      </c>
      <c r="AD153" s="16" t="str">
        <f t="shared" si="46"/>
        <v>error</v>
      </c>
      <c r="AE153" s="16" t="str">
        <f t="shared" si="47"/>
        <v>error</v>
      </c>
      <c r="AF153" s="16" t="str">
        <f t="shared" si="48"/>
        <v>error</v>
      </c>
      <c r="AG153" s="16" t="str">
        <f t="shared" si="49"/>
        <v>error</v>
      </c>
      <c r="AH153" s="16" t="str">
        <f t="shared" si="50"/>
        <v>error</v>
      </c>
    </row>
    <row r="154" spans="1:34" x14ac:dyDescent="0.25">
      <c r="A154" s="12">
        <v>23767</v>
      </c>
      <c r="B154" s="13">
        <v>44.388266999999999</v>
      </c>
      <c r="C154" s="12">
        <v>89.662921999999995</v>
      </c>
      <c r="D154" s="14">
        <v>0</v>
      </c>
      <c r="T154" s="5">
        <f t="shared" si="36"/>
        <v>32745271.303240966</v>
      </c>
      <c r="U154" s="5">
        <f t="shared" si="37"/>
        <v>32745271.303240966</v>
      </c>
      <c r="V154" s="5" t="str">
        <f t="shared" si="38"/>
        <v>n/a</v>
      </c>
      <c r="W154" s="5" t="str">
        <f t="shared" si="39"/>
        <v>n/a</v>
      </c>
      <c r="X154" s="6" t="str">
        <f t="shared" si="40"/>
        <v>n/a</v>
      </c>
      <c r="Y154" s="16" t="str">
        <f t="shared" si="41"/>
        <v>error</v>
      </c>
      <c r="Z154" s="16" t="str">
        <f t="shared" si="42"/>
        <v>error</v>
      </c>
      <c r="AA154" s="16" t="str">
        <f t="shared" si="43"/>
        <v>error</v>
      </c>
      <c r="AB154" s="16" t="str">
        <f t="shared" si="44"/>
        <v>error</v>
      </c>
      <c r="AC154" s="18" t="str">
        <f t="shared" si="45"/>
        <v>error</v>
      </c>
      <c r="AD154" s="16" t="str">
        <f t="shared" si="46"/>
        <v>error</v>
      </c>
      <c r="AE154" s="16" t="str">
        <f t="shared" si="47"/>
        <v>error</v>
      </c>
      <c r="AF154" s="16" t="str">
        <f t="shared" si="48"/>
        <v>error</v>
      </c>
      <c r="AG154" s="16" t="str">
        <f t="shared" si="49"/>
        <v>error</v>
      </c>
      <c r="AH154" s="16" t="str">
        <f t="shared" si="50"/>
        <v>error</v>
      </c>
    </row>
    <row r="155" spans="1:34" x14ac:dyDescent="0.25">
      <c r="A155" s="12">
        <v>23768</v>
      </c>
      <c r="B155" s="13">
        <v>44.384599999999999</v>
      </c>
      <c r="C155" s="12">
        <v>89.672989999999999</v>
      </c>
      <c r="D155" s="14">
        <v>0</v>
      </c>
      <c r="T155" s="5">
        <f t="shared" si="36"/>
        <v>32747890.678638376</v>
      </c>
      <c r="U155" s="5">
        <f t="shared" si="37"/>
        <v>32747890.678638376</v>
      </c>
      <c r="V155" s="5" t="str">
        <f t="shared" si="38"/>
        <v>n/a</v>
      </c>
      <c r="W155" s="5" t="str">
        <f t="shared" si="39"/>
        <v>n/a</v>
      </c>
      <c r="X155" s="6" t="str">
        <f t="shared" si="40"/>
        <v>n/a</v>
      </c>
      <c r="Y155" s="16" t="str">
        <f t="shared" si="41"/>
        <v>error</v>
      </c>
      <c r="Z155" s="16" t="str">
        <f t="shared" si="42"/>
        <v>error</v>
      </c>
      <c r="AA155" s="16" t="str">
        <f t="shared" si="43"/>
        <v>error</v>
      </c>
      <c r="AB155" s="16" t="str">
        <f t="shared" si="44"/>
        <v>error</v>
      </c>
      <c r="AC155" s="18" t="str">
        <f t="shared" si="45"/>
        <v>error</v>
      </c>
      <c r="AD155" s="16" t="str">
        <f t="shared" si="46"/>
        <v>error</v>
      </c>
      <c r="AE155" s="16" t="str">
        <f t="shared" si="47"/>
        <v>error</v>
      </c>
      <c r="AF155" s="16" t="str">
        <f t="shared" si="48"/>
        <v>error</v>
      </c>
      <c r="AG155" s="16" t="str">
        <f t="shared" si="49"/>
        <v>error</v>
      </c>
      <c r="AH155" s="16" t="str">
        <f t="shared" si="50"/>
        <v>error</v>
      </c>
    </row>
    <row r="156" spans="1:34" x14ac:dyDescent="0.25">
      <c r="A156" s="12">
        <v>23770</v>
      </c>
      <c r="B156" s="13">
        <v>44.479506999999998</v>
      </c>
      <c r="C156" s="12">
        <v>89.503371999999999</v>
      </c>
      <c r="D156" s="14">
        <v>2</v>
      </c>
      <c r="E156" s="13" t="s">
        <v>42</v>
      </c>
      <c r="F156" s="13">
        <v>44.470750000000002</v>
      </c>
      <c r="G156" s="12">
        <v>89.505160000000004</v>
      </c>
      <c r="H156" s="13" t="s">
        <v>39</v>
      </c>
      <c r="I156" s="13">
        <v>44.488619999999997</v>
      </c>
      <c r="J156" s="12">
        <v>89.555300000000003</v>
      </c>
      <c r="T156" s="5">
        <f t="shared" si="36"/>
        <v>3228.3930338397995</v>
      </c>
      <c r="U156" s="5">
        <f t="shared" si="37"/>
        <v>13918.386103525512</v>
      </c>
      <c r="V156" s="5" t="str">
        <f t="shared" si="38"/>
        <v>n/a</v>
      </c>
      <c r="W156" s="5" t="str">
        <f t="shared" si="39"/>
        <v>n/a</v>
      </c>
      <c r="X156" s="6" t="str">
        <f t="shared" si="40"/>
        <v>n/a</v>
      </c>
      <c r="Y156" s="16">
        <f t="shared" si="41"/>
        <v>0.81172014825777605</v>
      </c>
      <c r="Z156" s="16">
        <f t="shared" si="42"/>
        <v>0.18827985174222395</v>
      </c>
      <c r="AA156" s="16" t="e">
        <f t="shared" si="43"/>
        <v>#VALUE!</v>
      </c>
      <c r="AB156" s="16" t="e">
        <f t="shared" si="44"/>
        <v>#VALUE!</v>
      </c>
      <c r="AC156" s="18" t="e">
        <f t="shared" si="45"/>
        <v>#VALUE!</v>
      </c>
      <c r="AD156" s="16">
        <f t="shared" si="46"/>
        <v>0.94894524491233567</v>
      </c>
      <c r="AE156" s="16">
        <f t="shared" si="47"/>
        <v>5.1054755087664341E-2</v>
      </c>
      <c r="AF156" s="16" t="e">
        <f t="shared" si="48"/>
        <v>#VALUE!</v>
      </c>
      <c r="AG156" s="16" t="e">
        <f t="shared" si="49"/>
        <v>#VALUE!</v>
      </c>
      <c r="AH156" s="16" t="e">
        <f t="shared" si="50"/>
        <v>#VALUE!</v>
      </c>
    </row>
    <row r="157" spans="1:34" x14ac:dyDescent="0.25">
      <c r="A157" s="12">
        <v>23776</v>
      </c>
      <c r="B157" s="13">
        <v>44.414283300000001</v>
      </c>
      <c r="C157" s="12">
        <v>89.483651600000002</v>
      </c>
      <c r="D157" s="14">
        <v>3</v>
      </c>
      <c r="E157" s="13" t="s">
        <v>42</v>
      </c>
      <c r="F157" s="13">
        <v>44.468649999999997</v>
      </c>
      <c r="G157" s="12">
        <v>89.498069999999998</v>
      </c>
      <c r="H157" s="13" t="s">
        <v>44</v>
      </c>
      <c r="I157" s="13">
        <v>44.396560000000001</v>
      </c>
      <c r="J157" s="12">
        <v>89.494640000000004</v>
      </c>
      <c r="K157" s="13" t="s">
        <v>50</v>
      </c>
      <c r="L157" s="13">
        <v>44.41048</v>
      </c>
      <c r="M157" s="12">
        <v>89.549909999999997</v>
      </c>
      <c r="T157" s="5">
        <f t="shared" si="36"/>
        <v>20186.080845891043</v>
      </c>
      <c r="U157" s="5">
        <f t="shared" si="37"/>
        <v>7071.5425625822063</v>
      </c>
      <c r="V157" s="5">
        <f t="shared" si="38"/>
        <v>17322.171065461247</v>
      </c>
      <c r="W157" s="5" t="str">
        <f t="shared" si="39"/>
        <v>n/a</v>
      </c>
      <c r="X157" s="6" t="str">
        <f t="shared" si="40"/>
        <v>n/a</v>
      </c>
      <c r="Y157" s="16">
        <f t="shared" si="41"/>
        <v>0.19920781782623215</v>
      </c>
      <c r="Z157" s="16">
        <f t="shared" si="42"/>
        <v>0.56864893058148935</v>
      </c>
      <c r="AA157" s="16">
        <f t="shared" si="43"/>
        <v>0.2321432515922785</v>
      </c>
      <c r="AB157" s="16" t="e">
        <f t="shared" si="44"/>
        <v>#VALUE!</v>
      </c>
      <c r="AC157" s="18" t="e">
        <f t="shared" si="45"/>
        <v>#VALUE!</v>
      </c>
      <c r="AD157" s="16">
        <f t="shared" si="46"/>
        <v>9.5179521416991833E-2</v>
      </c>
      <c r="AE157" s="16">
        <f t="shared" si="47"/>
        <v>0.77556680746139695</v>
      </c>
      <c r="AF157" s="16">
        <f t="shared" si="48"/>
        <v>0.12925367112161118</v>
      </c>
      <c r="AG157" s="16" t="e">
        <f t="shared" si="49"/>
        <v>#VALUE!</v>
      </c>
      <c r="AH157" s="16" t="e">
        <f t="shared" si="50"/>
        <v>#VALUE!</v>
      </c>
    </row>
    <row r="158" spans="1:34" x14ac:dyDescent="0.25">
      <c r="A158" s="12">
        <v>23778</v>
      </c>
      <c r="B158" s="13">
        <v>44.414176300000001</v>
      </c>
      <c r="C158" s="12">
        <v>89.513148900000004</v>
      </c>
      <c r="D158" s="14">
        <v>4</v>
      </c>
      <c r="E158" s="13" t="s">
        <v>42</v>
      </c>
      <c r="F158" s="13">
        <v>44.470410000000001</v>
      </c>
      <c r="G158" s="12">
        <v>89.511759999999995</v>
      </c>
      <c r="H158" s="13" t="s">
        <v>44</v>
      </c>
      <c r="I158" s="13">
        <v>44.388379999999998</v>
      </c>
      <c r="J158" s="12">
        <v>89.530510000000007</v>
      </c>
      <c r="K158" s="13" t="s">
        <v>48</v>
      </c>
      <c r="L158" s="13">
        <v>44.462609999999998</v>
      </c>
      <c r="M158" s="12">
        <v>89.562640000000002</v>
      </c>
      <c r="N158" s="13" t="s">
        <v>49</v>
      </c>
      <c r="O158" s="13">
        <v>44.419539999999998</v>
      </c>
      <c r="P158" s="12">
        <v>89.569490000000002</v>
      </c>
      <c r="T158" s="5">
        <f t="shared" si="36"/>
        <v>20517.960112470959</v>
      </c>
      <c r="U158" s="5">
        <f t="shared" si="37"/>
        <v>10442.202553455016</v>
      </c>
      <c r="V158" s="5">
        <f t="shared" si="38"/>
        <v>21872.081809033018</v>
      </c>
      <c r="W158" s="5">
        <f t="shared" si="39"/>
        <v>14810.83236727172</v>
      </c>
      <c r="X158" s="6" t="str">
        <f t="shared" si="40"/>
        <v>n/a</v>
      </c>
      <c r="Y158" s="16">
        <f t="shared" si="41"/>
        <v>0.18909557487899209</v>
      </c>
      <c r="Z158" s="16">
        <f t="shared" si="42"/>
        <v>0.37155527705485814</v>
      </c>
      <c r="AA158" s="16">
        <f t="shared" si="43"/>
        <v>0.17738848531599638</v>
      </c>
      <c r="AB158" s="16">
        <f t="shared" si="44"/>
        <v>0.26196066275015351</v>
      </c>
      <c r="AC158" s="18" t="e">
        <f t="shared" si="45"/>
        <v>#VALUE!</v>
      </c>
      <c r="AD158" s="16">
        <f t="shared" si="46"/>
        <v>0.13054789355649279</v>
      </c>
      <c r="AE158" s="16">
        <f t="shared" si="47"/>
        <v>0.50402723566552887</v>
      </c>
      <c r="AF158" s="16">
        <f t="shared" si="48"/>
        <v>0.11488358720517941</v>
      </c>
      <c r="AG158" s="16">
        <f t="shared" si="49"/>
        <v>0.25054128357279903</v>
      </c>
      <c r="AH158" s="16" t="e">
        <f t="shared" si="50"/>
        <v>#VALUE!</v>
      </c>
    </row>
    <row r="159" spans="1:34" x14ac:dyDescent="0.25">
      <c r="A159" s="12">
        <v>23781</v>
      </c>
      <c r="B159" s="13">
        <v>44.501820000000002</v>
      </c>
      <c r="C159" s="12">
        <v>89.483401599999993</v>
      </c>
      <c r="D159" s="14">
        <v>4</v>
      </c>
      <c r="E159" s="13" t="s">
        <v>42</v>
      </c>
      <c r="F159" s="13">
        <v>44.482689999999998</v>
      </c>
      <c r="G159" s="12">
        <v>89.479910000000004</v>
      </c>
      <c r="H159" s="13" t="s">
        <v>39</v>
      </c>
      <c r="I159" s="13">
        <v>44.5077</v>
      </c>
      <c r="J159" s="12">
        <v>89.540310000000005</v>
      </c>
      <c r="K159" s="13" t="s">
        <v>40</v>
      </c>
      <c r="L159" s="13">
        <v>44.548270000000002</v>
      </c>
      <c r="M159" s="12">
        <v>89.496830000000003</v>
      </c>
      <c r="N159" s="13" t="s">
        <v>41</v>
      </c>
      <c r="O159" s="13">
        <v>44.51455</v>
      </c>
      <c r="P159" s="12">
        <v>89.335390000000004</v>
      </c>
      <c r="T159" s="5">
        <f t="shared" si="36"/>
        <v>7037.771899356846</v>
      </c>
      <c r="U159" s="5">
        <f t="shared" si="37"/>
        <v>14961.098126140758</v>
      </c>
      <c r="V159" s="5">
        <f t="shared" si="38"/>
        <v>17301.735252740946</v>
      </c>
      <c r="W159" s="5">
        <f t="shared" si="39"/>
        <v>38786.657959398806</v>
      </c>
      <c r="X159" s="6" t="str">
        <f t="shared" si="40"/>
        <v>n/a</v>
      </c>
      <c r="Y159" s="16">
        <f t="shared" si="41"/>
        <v>0.48576233976534711</v>
      </c>
      <c r="Z159" s="16">
        <f t="shared" si="42"/>
        <v>0.22850492094514777</v>
      </c>
      <c r="AA159" s="16">
        <f t="shared" si="43"/>
        <v>0.19759200419072437</v>
      </c>
      <c r="AB159" s="16">
        <f t="shared" si="44"/>
        <v>8.8140735098780912E-2</v>
      </c>
      <c r="AC159" s="18" t="e">
        <f t="shared" si="45"/>
        <v>#VALUE!</v>
      </c>
      <c r="AD159" s="16">
        <f t="shared" si="46"/>
        <v>0.70439233814790914</v>
      </c>
      <c r="AE159" s="16">
        <f t="shared" si="47"/>
        <v>0.15586839173099754</v>
      </c>
      <c r="AF159" s="16">
        <f t="shared" si="48"/>
        <v>0.11654822737686911</v>
      </c>
      <c r="AG159" s="16">
        <f t="shared" si="49"/>
        <v>2.3191042744224222E-2</v>
      </c>
      <c r="AH159" s="16" t="e">
        <f t="shared" si="50"/>
        <v>#VALUE!</v>
      </c>
    </row>
    <row r="160" spans="1:34" x14ac:dyDescent="0.25">
      <c r="A160" s="12">
        <v>23784</v>
      </c>
      <c r="B160" s="13">
        <v>44.406605999999996</v>
      </c>
      <c r="C160" s="12">
        <v>89.525895000000006</v>
      </c>
      <c r="D160" s="13">
        <v>0</v>
      </c>
      <c r="T160" s="5">
        <f t="shared" si="36"/>
        <v>32709587.400353305</v>
      </c>
      <c r="U160" s="5">
        <f t="shared" si="37"/>
        <v>32709587.400353305</v>
      </c>
      <c r="V160" s="5" t="str">
        <f t="shared" si="38"/>
        <v>n/a</v>
      </c>
      <c r="W160" s="5" t="str">
        <f t="shared" si="39"/>
        <v>n/a</v>
      </c>
      <c r="X160" s="6" t="str">
        <f t="shared" si="40"/>
        <v>n/a</v>
      </c>
      <c r="Y160" s="16" t="str">
        <f t="shared" si="41"/>
        <v>error</v>
      </c>
      <c r="Z160" s="16" t="str">
        <f t="shared" si="42"/>
        <v>error</v>
      </c>
      <c r="AA160" s="16" t="str">
        <f t="shared" si="43"/>
        <v>error</v>
      </c>
      <c r="AB160" s="16" t="str">
        <f t="shared" si="44"/>
        <v>error</v>
      </c>
      <c r="AC160" s="18" t="str">
        <f t="shared" si="45"/>
        <v>error</v>
      </c>
      <c r="AD160" s="16" t="str">
        <f t="shared" si="46"/>
        <v>error</v>
      </c>
      <c r="AE160" s="16" t="str">
        <f t="shared" si="47"/>
        <v>error</v>
      </c>
      <c r="AF160" s="16" t="str">
        <f t="shared" si="48"/>
        <v>error</v>
      </c>
      <c r="AG160" s="16" t="str">
        <f t="shared" si="49"/>
        <v>error</v>
      </c>
      <c r="AH160" s="16" t="str">
        <f t="shared" si="50"/>
        <v>error</v>
      </c>
    </row>
    <row r="161" spans="1:34" x14ac:dyDescent="0.25">
      <c r="A161" s="12">
        <v>23786</v>
      </c>
      <c r="B161" s="13">
        <v>44.413626000000001</v>
      </c>
      <c r="C161" s="12">
        <v>89.606944999999996</v>
      </c>
      <c r="D161" s="14">
        <v>0</v>
      </c>
      <c r="T161" s="5">
        <f t="shared" si="36"/>
        <v>32730722.593082368</v>
      </c>
      <c r="U161" s="5">
        <f t="shared" si="37"/>
        <v>32730722.593082368</v>
      </c>
      <c r="V161" s="5" t="str">
        <f t="shared" si="38"/>
        <v>n/a</v>
      </c>
      <c r="W161" s="5" t="str">
        <f t="shared" si="39"/>
        <v>n/a</v>
      </c>
      <c r="X161" s="6" t="str">
        <f t="shared" si="40"/>
        <v>n/a</v>
      </c>
      <c r="Y161" s="16" t="str">
        <f t="shared" si="41"/>
        <v>error</v>
      </c>
      <c r="Z161" s="16" t="str">
        <f t="shared" si="42"/>
        <v>error</v>
      </c>
      <c r="AA161" s="16" t="str">
        <f t="shared" si="43"/>
        <v>error</v>
      </c>
      <c r="AB161" s="16" t="str">
        <f t="shared" si="44"/>
        <v>error</v>
      </c>
      <c r="AC161" s="18" t="str">
        <f t="shared" si="45"/>
        <v>error</v>
      </c>
      <c r="AD161" s="16" t="str">
        <f t="shared" si="46"/>
        <v>error</v>
      </c>
      <c r="AE161" s="16" t="str">
        <f t="shared" si="47"/>
        <v>error</v>
      </c>
      <c r="AF161" s="16" t="str">
        <f t="shared" si="48"/>
        <v>error</v>
      </c>
      <c r="AG161" s="16" t="str">
        <f t="shared" si="49"/>
        <v>error</v>
      </c>
      <c r="AH161" s="16" t="str">
        <f t="shared" si="50"/>
        <v>error</v>
      </c>
    </row>
    <row r="162" spans="1:34" x14ac:dyDescent="0.25">
      <c r="A162" s="12">
        <v>23787</v>
      </c>
      <c r="B162" s="13">
        <v>44.413567999999998</v>
      </c>
      <c r="C162" s="12">
        <v>89.611870199999998</v>
      </c>
      <c r="D162" s="14">
        <v>0</v>
      </c>
      <c r="T162" s="5">
        <f t="shared" si="36"/>
        <v>32732005.926351987</v>
      </c>
      <c r="U162" s="5">
        <f t="shared" si="37"/>
        <v>32732005.926351987</v>
      </c>
      <c r="V162" s="5" t="str">
        <f t="shared" si="38"/>
        <v>n/a</v>
      </c>
      <c r="W162" s="5" t="str">
        <f t="shared" si="39"/>
        <v>n/a</v>
      </c>
      <c r="X162" s="6" t="str">
        <f t="shared" si="40"/>
        <v>n/a</v>
      </c>
      <c r="Y162" s="16" t="str">
        <f t="shared" si="41"/>
        <v>error</v>
      </c>
      <c r="Z162" s="16" t="str">
        <f t="shared" si="42"/>
        <v>error</v>
      </c>
      <c r="AA162" s="16" t="str">
        <f t="shared" si="43"/>
        <v>error</v>
      </c>
      <c r="AB162" s="16" t="str">
        <f t="shared" si="44"/>
        <v>error</v>
      </c>
      <c r="AC162" s="18" t="str">
        <f t="shared" si="45"/>
        <v>error</v>
      </c>
      <c r="AD162" s="16" t="str">
        <f t="shared" si="46"/>
        <v>error</v>
      </c>
      <c r="AE162" s="16" t="str">
        <f t="shared" si="47"/>
        <v>error</v>
      </c>
      <c r="AF162" s="16" t="str">
        <f t="shared" si="48"/>
        <v>error</v>
      </c>
      <c r="AG162" s="16" t="str">
        <f t="shared" si="49"/>
        <v>error</v>
      </c>
      <c r="AH162" s="16" t="str">
        <f t="shared" si="50"/>
        <v>error</v>
      </c>
    </row>
    <row r="163" spans="1:34" x14ac:dyDescent="0.25">
      <c r="A163" s="12">
        <v>23788</v>
      </c>
      <c r="B163" s="13">
        <v>44.404490000000003</v>
      </c>
      <c r="C163" s="12">
        <v>89.609359999999995</v>
      </c>
      <c r="D163" s="13">
        <v>0</v>
      </c>
      <c r="T163" s="5">
        <f t="shared" si="36"/>
        <v>32731336.004364152</v>
      </c>
      <c r="U163" s="5">
        <f t="shared" si="37"/>
        <v>32731336.004364152</v>
      </c>
      <c r="V163" s="5" t="str">
        <f t="shared" si="38"/>
        <v>n/a</v>
      </c>
      <c r="W163" s="5" t="str">
        <f t="shared" si="39"/>
        <v>n/a</v>
      </c>
      <c r="X163" s="6" t="str">
        <f t="shared" si="40"/>
        <v>n/a</v>
      </c>
      <c r="Y163" s="16" t="str">
        <f t="shared" si="41"/>
        <v>error</v>
      </c>
      <c r="Z163" s="16" t="str">
        <f t="shared" si="42"/>
        <v>error</v>
      </c>
      <c r="AA163" s="16" t="str">
        <f t="shared" si="43"/>
        <v>error</v>
      </c>
      <c r="AB163" s="16" t="str">
        <f t="shared" si="44"/>
        <v>error</v>
      </c>
      <c r="AC163" s="18" t="str">
        <f t="shared" si="45"/>
        <v>error</v>
      </c>
      <c r="AD163" s="16" t="str">
        <f t="shared" si="46"/>
        <v>error</v>
      </c>
      <c r="AE163" s="16" t="str">
        <f t="shared" si="47"/>
        <v>error</v>
      </c>
      <c r="AF163" s="16" t="str">
        <f t="shared" si="48"/>
        <v>error</v>
      </c>
      <c r="AG163" s="16" t="str">
        <f t="shared" si="49"/>
        <v>error</v>
      </c>
      <c r="AH163" s="16" t="str">
        <f t="shared" si="50"/>
        <v>error</v>
      </c>
    </row>
    <row r="164" spans="1:34" x14ac:dyDescent="0.25">
      <c r="A164" s="12">
        <v>23790</v>
      </c>
      <c r="B164" s="13">
        <v>44.439050000000002</v>
      </c>
      <c r="C164" s="12">
        <v>89.559200000000004</v>
      </c>
      <c r="D164" s="14">
        <v>4</v>
      </c>
      <c r="E164" s="13" t="s">
        <v>42</v>
      </c>
      <c r="F164" s="13">
        <v>44.470410000000001</v>
      </c>
      <c r="G164" s="12">
        <v>89.511759999999995</v>
      </c>
      <c r="H164" s="13" t="s">
        <v>44</v>
      </c>
      <c r="I164" s="13">
        <v>44.388379999999998</v>
      </c>
      <c r="J164" s="12">
        <v>89.530510000000007</v>
      </c>
      <c r="K164" s="13" t="s">
        <v>48</v>
      </c>
      <c r="L164" s="13">
        <v>44.462609999999998</v>
      </c>
      <c r="M164" s="12">
        <v>89.562640000000002</v>
      </c>
      <c r="N164" s="13" t="s">
        <v>49</v>
      </c>
      <c r="O164" s="13">
        <v>44.433489999999999</v>
      </c>
      <c r="P164" s="12">
        <v>89.562479999999994</v>
      </c>
      <c r="T164" s="5">
        <f t="shared" ref="T164:T227" si="51">ACOS( SIN($B164*PI()/180)*SIN(F164*PI()/180) + COS($B164*PI()/180) *COS(F164*PI()/180) *COS(G164*PI()/180 - $C164*PI()/180))*20902230.97</f>
        <v>16837.374939686862</v>
      </c>
      <c r="U164" s="5">
        <f t="shared" ref="U164:U227" si="52">ACOS( SIN($B164*PI()/180)*SIN(I164*PI()/180) + COS($B164*PI()/180) *COS(I164*PI()/180) *COS(J164*PI()/180 - $C164*PI()/180))*20902230.97</f>
        <v>19939.708125728044</v>
      </c>
      <c r="V164" s="5">
        <f t="shared" ref="V164:V227" si="53">IF(D164&lt;3,"n/a",ACOS( SIN($B164*PI()/180)*SIN(L164*PI()/180) + COS($B164*PI()/180) *COS(L164*PI()/180) *COS(M164*PI()/180 - $C164*PI()/180))*20902230.97)</f>
        <v>8641.5494744345451</v>
      </c>
      <c r="W164" s="5">
        <f t="shared" ref="W164:W227" si="54">IF(D164&lt;4,"n/a",ACOS( SIN($B164*PI()/180)*SIN(O164*PI()/180) + COS($B164*PI()/180) *COS(O164*PI()/180) *COS(P164*PI()/180 - $C164*PI()/180))*20902230.97)</f>
        <v>2200.9623442726929</v>
      </c>
      <c r="X164" s="6" t="str">
        <f t="shared" ref="X164:X227" si="55">IF(D164&lt;5,"n/a", ACOS( SIN($B164*PI()/180)*SIN(R164*PI()/180) + COS($B164*PI()/180) *COS(R164*PI()/180) *COS(S164*PI()/180 - $C164*PI()/180))*20902230.97)</f>
        <v>n/a</v>
      </c>
      <c r="Y164" s="16">
        <f t="shared" ref="Y164:Y227" si="56">IF($D164=2,(1/T164)/((1/$T164)+(1/$U164)),IF($D164=3,(1/T164)/((1/$T164)+(1/$U164)+(1/$V164)),IF($D164=4,(1/T164)/((1/$T164)+(1/$U164)+(1/$V164)+(1/$W164)),IF($D164=5,(1/T164)/((1/$T164)+(1/$U164)+(1/$V164)+(1/$W164)+(1/$X164)),"error"))))</f>
        <v>8.7390884487004813E-2</v>
      </c>
      <c r="Z164" s="16">
        <f t="shared" ref="Z164:Z227" si="57">IF($D164=2,(1/U164)/((1/$T164)+(1/$U164)),IF($D164=3,(1/U164)/((1/$T164)+(1/$U164)+(1/$V164)),IF($D164=4,(1/U164)/((1/$T164)+(1/$U164)+(1/$V164)+(1/$W164)),IF($D164=5,(1/U164)/((1/$T164)+(1/$U164)+(1/$V164)+(1/$W164)+(1/$X164)),"error"))))</f>
        <v>7.3794113692165125E-2</v>
      </c>
      <c r="AA164" s="16">
        <f t="shared" ref="AA164:AA227" si="58">IF($D164=2,(1/V164)/((1/$T164)+(1/$U164)),IF($D164=3,(1/V164)/((1/$T164)+(1/$U164)+(1/$V164)),IF($D164=4,(1/V164)/((1/$T164)+(1/$U164)+(1/$V164)+(1/$W164)),IF($D164=5,(1/V164)/((1/$T164)+(1/$U164)+(1/$V164)+(1/$W164)+(1/$X164)),"error"))))</f>
        <v>0.17027421908208731</v>
      </c>
      <c r="AB164" s="16">
        <f t="shared" ref="AB164:AB227" si="59">IF($D164=2,(1/W164)/((1/$T164)+(1/$U164)),IF($D164=3,(1/W164)/((1/$T164)+(1/$U164)+(1/$V164)),IF($D164=4,(1/W164)/((1/$T164)+(1/$U164)+(1/$V164)+(1/$W164)),IF($D164=5,(1/W164)/((1/$T164)+(1/$U164)+(1/$V164)+(1/$W164)+(1/$X164)),"error"))))</f>
        <v>0.66854078273874262</v>
      </c>
      <c r="AC164" s="18" t="e">
        <f t="shared" ref="AC164:AC227" si="60">IF($D164=2,(1/X164)/((1/$T164)+(1/$U164)),IF($D164=3,(1/X164)/((1/$T164)+(1/$U164)+(1/$V164)),IF($D164=4,(1/X164)/((1/$T164)+(1/$U164)+(1/$V164)+(1/$W164)),IF($D164=5,(1/X164)/((1/$T164)+(1/$U164)+(1/$V164)+(1/$W164)+(1/$X164)),"error"))))</f>
        <v>#VALUE!</v>
      </c>
      <c r="AD164" s="16">
        <f t="shared" ref="AD164:AD227" si="61">IF($D164=2,(1/T164^2)/((1/$T164^2)+(1/$U164^2)),IF($D164=3,(1/T164^2)/((1/$T164^2)+(1/$U164^2)+(1/$V164^2)),IF($D164=4,(1/T164^2)/((1/$T164^2)+(1/$U164^2)+(1/$V164^2)+(1/$W164^2)),IF($D164=5,(1/T164^2)/((1/$T164^2)+(1/$U164^2)+(1/$V164^2)+(1/$W164^2)+(1/$X164^2)),"error"))))</f>
        <v>1.5617198807238509E-2</v>
      </c>
      <c r="AE164" s="16">
        <f t="shared" ref="AE164:AE227" si="62">IF($D164=2,(1/U164^2)/((1/$T164^2)+(1/$U164^2)),IF($D164=3,(1/U164^2)/((1/$T164^2)+(1/$U164^2)+(1/$V164^2)),IF($D164=4,(1/U164^2)/((1/$T164^2)+(1/$U164^2)+(1/$V164^2)+(1/$W164^2)),IF($D164=5,(1/U164^2)/((1/$T164^2)+(1/$U164^2)+(1/$V164^2)+(1/$W164^2)+(1/$X164^2)),"error"))))</f>
        <v>1.113561766155024E-2</v>
      </c>
      <c r="AF164" s="16">
        <f t="shared" ref="AF164:AF227" si="63">IF($D164=2,(1/V164^2)/((1/$T164^2)+(1/$U164^2)),IF($D164=3,(1/V164^2)/((1/$T164^2)+(1/$U164^2)+(1/$V164^2)),IF($D164=4,(1/V164^2)/((1/$T164^2)+(1/$U164^2)+(1/$V164^2)+(1/$W164^2)),IF($D164=5,(1/V164^2)/((1/$T164^2)+(1/$U164^2)+(1/$V164^2)+(1/$W164^2)+(1/$X164^2)),"error"))))</f>
        <v>5.9288254363195118E-2</v>
      </c>
      <c r="AG164" s="16">
        <f t="shared" ref="AG164:AG227" si="64">IF($D164=2,(1/W164^2)/((1/$T164^2)+(1/$U164^2)),IF($D164=3,(1/W164^2)/((1/$T164^2)+(1/$U164^2)+(1/$V164^2)),IF($D164=4,(1/W164^2)/((1/$T164^2)+(1/$U164^2)+(1/$V164^2)+(1/$W164^2)),IF($D164=5,(1/W164^2)/((1/$T164^2)+(1/$U164^2)+(1/$V164^2)+(1/$W164^2)+(1/$X164^2)),"error"))))</f>
        <v>0.91395892916801613</v>
      </c>
      <c r="AH164" s="16" t="e">
        <f t="shared" ref="AH164:AH227" si="65">IF($D164=2,(1/X164^2)/((1/$T164^2)+(1/$U164^2)),IF($D164=3,(1/X164^2)/((1/$T164^2)+(1/$U164^2)+(1/$V164^2)),IF($D164=4,(1/X164^2)/((1/$T164^2)+(1/$U164^2)+(1/$V164^2)+(1/$W164^2)),IF($D164=5,(1/X164^2)/((1/$T164^2)+(1/$U164^2)+(1/$V164^2)+(1/$W164^2)+(1/$X164^2)),"error"))))</f>
        <v>#VALUE!</v>
      </c>
    </row>
    <row r="165" spans="1:34" x14ac:dyDescent="0.25">
      <c r="A165" s="12">
        <v>23791</v>
      </c>
      <c r="B165" s="13">
        <v>44.434483299999997</v>
      </c>
      <c r="C165" s="12">
        <v>89.564266700000005</v>
      </c>
      <c r="D165" s="14">
        <v>4</v>
      </c>
      <c r="E165" s="13" t="s">
        <v>42</v>
      </c>
      <c r="F165" s="13">
        <v>44.47278</v>
      </c>
      <c r="G165" s="12">
        <v>89.53228</v>
      </c>
      <c r="H165" s="13" t="s">
        <v>48</v>
      </c>
      <c r="I165" s="13">
        <v>44.461320000000001</v>
      </c>
      <c r="J165" s="12">
        <v>89.563730000000007</v>
      </c>
      <c r="K165" s="13" t="s">
        <v>50</v>
      </c>
      <c r="L165" s="13">
        <v>44.428919999999998</v>
      </c>
      <c r="M165" s="12">
        <v>89.56953</v>
      </c>
      <c r="N165" s="13" t="s">
        <v>44</v>
      </c>
      <c r="O165" s="13">
        <v>44.394829999999999</v>
      </c>
      <c r="P165" s="12">
        <v>89.512950000000004</v>
      </c>
      <c r="T165" s="5">
        <f t="shared" si="51"/>
        <v>16265.771762012044</v>
      </c>
      <c r="U165" s="5">
        <f t="shared" si="52"/>
        <v>9791.3680987271546</v>
      </c>
      <c r="V165" s="5">
        <f t="shared" si="53"/>
        <v>2449.310062166081</v>
      </c>
      <c r="W165" s="5">
        <f t="shared" si="54"/>
        <v>19699.845416516644</v>
      </c>
      <c r="X165" s="6" t="str">
        <f t="shared" si="55"/>
        <v>n/a</v>
      </c>
      <c r="Y165" s="16">
        <f t="shared" si="56"/>
        <v>9.8737379115581045E-2</v>
      </c>
      <c r="Z165" s="16">
        <f t="shared" si="57"/>
        <v>0.16402607448514531</v>
      </c>
      <c r="AA165" s="16">
        <f t="shared" si="58"/>
        <v>0.65571105017752329</v>
      </c>
      <c r="AB165" s="16">
        <f t="shared" si="59"/>
        <v>8.1525496221750454E-2</v>
      </c>
      <c r="AC165" s="18" t="e">
        <f t="shared" si="60"/>
        <v>#VALUE!</v>
      </c>
      <c r="AD165" s="16">
        <f t="shared" si="61"/>
        <v>2.0599948459118483E-2</v>
      </c>
      <c r="AE165" s="16">
        <f t="shared" si="62"/>
        <v>5.6849771868963055E-2</v>
      </c>
      <c r="AF165" s="16">
        <f t="shared" si="63"/>
        <v>0.90850631121576786</v>
      </c>
      <c r="AG165" s="16">
        <f t="shared" si="64"/>
        <v>1.4043968456150715E-2</v>
      </c>
      <c r="AH165" s="16" t="e">
        <f t="shared" si="65"/>
        <v>#VALUE!</v>
      </c>
    </row>
    <row r="166" spans="1:34" x14ac:dyDescent="0.25">
      <c r="A166" s="12">
        <v>23793</v>
      </c>
      <c r="B166" s="13">
        <v>44.5015</v>
      </c>
      <c r="C166" s="12">
        <v>89.498699999999999</v>
      </c>
      <c r="D166" s="13">
        <v>0</v>
      </c>
      <c r="T166" s="5">
        <f t="shared" si="51"/>
        <v>32702712.10984581</v>
      </c>
      <c r="U166" s="5">
        <f t="shared" si="52"/>
        <v>32702712.10984581</v>
      </c>
      <c r="V166" s="5" t="str">
        <f t="shared" si="53"/>
        <v>n/a</v>
      </c>
      <c r="W166" s="5" t="str">
        <f t="shared" si="54"/>
        <v>n/a</v>
      </c>
      <c r="X166" s="6" t="str">
        <f t="shared" si="55"/>
        <v>n/a</v>
      </c>
      <c r="Y166" s="16" t="str">
        <f t="shared" si="56"/>
        <v>error</v>
      </c>
      <c r="Z166" s="16" t="str">
        <f t="shared" si="57"/>
        <v>error</v>
      </c>
      <c r="AA166" s="16" t="str">
        <f t="shared" si="58"/>
        <v>error</v>
      </c>
      <c r="AB166" s="16" t="str">
        <f t="shared" si="59"/>
        <v>error</v>
      </c>
      <c r="AC166" s="18" t="str">
        <f t="shared" si="60"/>
        <v>error</v>
      </c>
      <c r="AD166" s="16" t="str">
        <f t="shared" si="61"/>
        <v>error</v>
      </c>
      <c r="AE166" s="16" t="str">
        <f t="shared" si="62"/>
        <v>error</v>
      </c>
      <c r="AF166" s="16" t="str">
        <f t="shared" si="63"/>
        <v>error</v>
      </c>
      <c r="AG166" s="16" t="str">
        <f t="shared" si="64"/>
        <v>error</v>
      </c>
      <c r="AH166" s="16" t="str">
        <f t="shared" si="65"/>
        <v>error</v>
      </c>
    </row>
    <row r="167" spans="1:34" x14ac:dyDescent="0.25">
      <c r="A167" s="12">
        <v>23794</v>
      </c>
      <c r="B167" s="13">
        <v>44.486714999999997</v>
      </c>
      <c r="C167" s="12">
        <v>89.503474999999995</v>
      </c>
      <c r="D167" s="14">
        <v>2</v>
      </c>
      <c r="E167" s="13" t="s">
        <v>42</v>
      </c>
      <c r="F167" s="13">
        <v>44.482320000000001</v>
      </c>
      <c r="G167" s="12">
        <v>89.479730000000004</v>
      </c>
      <c r="H167" s="13" t="s">
        <v>39</v>
      </c>
      <c r="I167" s="13">
        <v>44.495980000000003</v>
      </c>
      <c r="J167" s="12">
        <v>89.549300000000002</v>
      </c>
      <c r="T167" s="5">
        <f t="shared" si="51"/>
        <v>6384.7538771191457</v>
      </c>
      <c r="U167" s="5">
        <f t="shared" si="52"/>
        <v>12395.299029268373</v>
      </c>
      <c r="V167" s="5" t="str">
        <f t="shared" si="53"/>
        <v>n/a</v>
      </c>
      <c r="W167" s="5" t="str">
        <f t="shared" si="54"/>
        <v>n/a</v>
      </c>
      <c r="X167" s="6" t="str">
        <f t="shared" si="55"/>
        <v>n/a</v>
      </c>
      <c r="Y167" s="16">
        <f t="shared" si="56"/>
        <v>0.66002471297897425</v>
      </c>
      <c r="Z167" s="16">
        <f t="shared" si="57"/>
        <v>0.33997528702102575</v>
      </c>
      <c r="AA167" s="16" t="e">
        <f t="shared" si="58"/>
        <v>#VALUE!</v>
      </c>
      <c r="AB167" s="16" t="e">
        <f t="shared" si="59"/>
        <v>#VALUE!</v>
      </c>
      <c r="AC167" s="18" t="e">
        <f t="shared" si="60"/>
        <v>#VALUE!</v>
      </c>
      <c r="AD167" s="16">
        <f t="shared" si="61"/>
        <v>0.79031226588638992</v>
      </c>
      <c r="AE167" s="16">
        <f t="shared" si="62"/>
        <v>0.20968773411361025</v>
      </c>
      <c r="AF167" s="16" t="e">
        <f t="shared" si="63"/>
        <v>#VALUE!</v>
      </c>
      <c r="AG167" s="16" t="e">
        <f t="shared" si="64"/>
        <v>#VALUE!</v>
      </c>
      <c r="AH167" s="16" t="e">
        <f t="shared" si="65"/>
        <v>#VALUE!</v>
      </c>
    </row>
    <row r="168" spans="1:34" x14ac:dyDescent="0.25">
      <c r="A168" s="12">
        <v>23795</v>
      </c>
      <c r="B168" s="13">
        <v>44.406151000000001</v>
      </c>
      <c r="C168" s="12">
        <v>89.493066999999996</v>
      </c>
      <c r="D168" s="14">
        <v>4</v>
      </c>
      <c r="E168" s="13" t="s">
        <v>42</v>
      </c>
      <c r="F168" s="13">
        <v>44.470410000000001</v>
      </c>
      <c r="G168" s="12">
        <v>89.511759999999995</v>
      </c>
      <c r="H168" s="13" t="s">
        <v>44</v>
      </c>
      <c r="I168" s="13">
        <v>44.388379999999998</v>
      </c>
      <c r="J168" s="12">
        <v>89.530510000000007</v>
      </c>
      <c r="K168" s="13" t="s">
        <v>48</v>
      </c>
      <c r="L168" s="13">
        <v>44.462609999999998</v>
      </c>
      <c r="M168" s="12">
        <v>89.562640000000002</v>
      </c>
      <c r="N168" s="13" t="s">
        <v>49</v>
      </c>
      <c r="O168" s="13">
        <v>44.41066</v>
      </c>
      <c r="P168" s="12">
        <v>89.570160000000001</v>
      </c>
      <c r="T168" s="5">
        <f t="shared" si="51"/>
        <v>23942.8325201304</v>
      </c>
      <c r="U168" s="5">
        <f t="shared" si="52"/>
        <v>11716.936182353596</v>
      </c>
      <c r="V168" s="5">
        <f t="shared" si="53"/>
        <v>27435.27696073243</v>
      </c>
      <c r="W168" s="5">
        <f t="shared" si="54"/>
        <v>20158.531716986887</v>
      </c>
      <c r="X168" s="6" t="str">
        <f t="shared" si="55"/>
        <v>n/a</v>
      </c>
      <c r="Y168" s="16">
        <f t="shared" si="56"/>
        <v>0.19592985457455245</v>
      </c>
      <c r="Z168" s="16">
        <f t="shared" si="57"/>
        <v>0.40037050819113568</v>
      </c>
      <c r="AA168" s="16">
        <f t="shared" si="58"/>
        <v>0.1709884576884832</v>
      </c>
      <c r="AB168" s="16">
        <f t="shared" si="59"/>
        <v>0.23271117954582854</v>
      </c>
      <c r="AC168" s="18" t="e">
        <f t="shared" si="60"/>
        <v>#VALUE!</v>
      </c>
      <c r="AD168" s="16">
        <f t="shared" si="61"/>
        <v>0.13609249492883696</v>
      </c>
      <c r="AE168" s="16">
        <f t="shared" si="62"/>
        <v>0.56827310473449855</v>
      </c>
      <c r="AF168" s="16">
        <f t="shared" si="63"/>
        <v>0.10364933823907711</v>
      </c>
      <c r="AG168" s="16">
        <f t="shared" si="64"/>
        <v>0.19198506209758728</v>
      </c>
      <c r="AH168" s="16" t="e">
        <f t="shared" si="65"/>
        <v>#VALUE!</v>
      </c>
    </row>
    <row r="169" spans="1:34" x14ac:dyDescent="0.25">
      <c r="A169" s="12">
        <v>23798</v>
      </c>
      <c r="B169" s="13">
        <v>44.433008299999997</v>
      </c>
      <c r="C169" s="12">
        <v>89.466738300000003</v>
      </c>
      <c r="D169" s="14">
        <v>3</v>
      </c>
      <c r="E169" s="13" t="s">
        <v>42</v>
      </c>
      <c r="F169" s="13">
        <v>44.46734</v>
      </c>
      <c r="G169" s="12">
        <v>89.487719999999996</v>
      </c>
      <c r="H169" s="13" t="s">
        <v>43</v>
      </c>
      <c r="I169" s="13">
        <v>44.436540000000001</v>
      </c>
      <c r="J169" s="12">
        <v>89.376009999999994</v>
      </c>
      <c r="K169" s="13" t="s">
        <v>44</v>
      </c>
      <c r="L169" s="13">
        <v>44.400660000000002</v>
      </c>
      <c r="M169" s="12">
        <v>89.480980000000002</v>
      </c>
      <c r="T169" s="5">
        <f t="shared" si="51"/>
        <v>13664.68867512902</v>
      </c>
      <c r="U169" s="5">
        <f t="shared" si="52"/>
        <v>23669.249279936961</v>
      </c>
      <c r="V169" s="5">
        <f t="shared" si="53"/>
        <v>12370.80935635863</v>
      </c>
      <c r="W169" s="5" t="str">
        <f t="shared" si="54"/>
        <v>n/a</v>
      </c>
      <c r="X169" s="6" t="str">
        <f t="shared" si="55"/>
        <v>n/a</v>
      </c>
      <c r="Y169" s="16">
        <f t="shared" si="56"/>
        <v>0.37286865454566259</v>
      </c>
      <c r="Z169" s="16">
        <f t="shared" si="57"/>
        <v>0.21526386497604541</v>
      </c>
      <c r="AA169" s="16">
        <f t="shared" si="58"/>
        <v>0.41186748047829203</v>
      </c>
      <c r="AB169" s="16" t="e">
        <f t="shared" si="59"/>
        <v>#VALUE!</v>
      </c>
      <c r="AC169" s="18" t="e">
        <f t="shared" si="60"/>
        <v>#VALUE!</v>
      </c>
      <c r="AD169" s="16">
        <f t="shared" si="61"/>
        <v>0.39163187497775526</v>
      </c>
      <c r="AE169" s="16">
        <f t="shared" si="62"/>
        <v>0.13052946193282131</v>
      </c>
      <c r="AF169" s="16">
        <f t="shared" si="63"/>
        <v>0.47783866308942347</v>
      </c>
      <c r="AG169" s="16" t="e">
        <f t="shared" si="64"/>
        <v>#VALUE!</v>
      </c>
      <c r="AH169" s="16" t="e">
        <f t="shared" si="65"/>
        <v>#VALUE!</v>
      </c>
    </row>
    <row r="170" spans="1:34" x14ac:dyDescent="0.25">
      <c r="A170" s="12">
        <v>23800</v>
      </c>
      <c r="B170" s="13">
        <v>44.493991000000001</v>
      </c>
      <c r="C170" s="12">
        <v>89.449590700000002</v>
      </c>
      <c r="D170" s="14">
        <v>4</v>
      </c>
      <c r="E170" s="13" t="s">
        <v>42</v>
      </c>
      <c r="F170" s="13">
        <v>44.482520000000001</v>
      </c>
      <c r="G170" s="12">
        <v>89.479799999999997</v>
      </c>
      <c r="H170" s="13" t="s">
        <v>39</v>
      </c>
      <c r="I170" s="13">
        <v>44.508249999999997</v>
      </c>
      <c r="J170" s="12">
        <v>89.538970000000006</v>
      </c>
      <c r="K170" s="13" t="s">
        <v>41</v>
      </c>
      <c r="L170" s="13">
        <v>44.51482</v>
      </c>
      <c r="M170" s="12">
        <v>89.335880000000003</v>
      </c>
      <c r="N170" s="13" t="s">
        <v>43</v>
      </c>
      <c r="O170" s="13">
        <v>44.436149999999998</v>
      </c>
      <c r="P170" s="12">
        <v>89.375780000000006</v>
      </c>
      <c r="T170" s="5">
        <f t="shared" si="51"/>
        <v>8906.4781549067848</v>
      </c>
      <c r="U170" s="5">
        <f t="shared" si="52"/>
        <v>23830.96593683488</v>
      </c>
      <c r="V170" s="5">
        <f t="shared" si="53"/>
        <v>30545.840245765987</v>
      </c>
      <c r="W170" s="5">
        <f t="shared" si="54"/>
        <v>28540.509970803301</v>
      </c>
      <c r="X170" s="6" t="str">
        <f t="shared" si="55"/>
        <v>n/a</v>
      </c>
      <c r="Y170" s="16">
        <f t="shared" si="56"/>
        <v>0.50572035660918468</v>
      </c>
      <c r="Z170" s="16">
        <f t="shared" si="57"/>
        <v>0.18900565426386565</v>
      </c>
      <c r="AA170" s="16">
        <f t="shared" si="58"/>
        <v>0.14745665113126838</v>
      </c>
      <c r="AB170" s="16">
        <f t="shared" si="59"/>
        <v>0.15781733799568115</v>
      </c>
      <c r="AC170" s="18" t="e">
        <f t="shared" si="60"/>
        <v>#VALUE!</v>
      </c>
      <c r="AD170" s="16">
        <f t="shared" si="61"/>
        <v>0.75638396547655684</v>
      </c>
      <c r="AE170" s="16">
        <f t="shared" si="62"/>
        <v>0.10565037331928255</v>
      </c>
      <c r="AF170" s="16">
        <f t="shared" si="63"/>
        <v>6.4305804465790595E-2</v>
      </c>
      <c r="AG170" s="16">
        <f t="shared" si="64"/>
        <v>7.3659856738370152E-2</v>
      </c>
      <c r="AH170" s="16" t="e">
        <f t="shared" si="65"/>
        <v>#VALUE!</v>
      </c>
    </row>
    <row r="171" spans="1:34" x14ac:dyDescent="0.25">
      <c r="A171" s="12">
        <v>23807</v>
      </c>
      <c r="B171" s="13">
        <v>44.407593300000002</v>
      </c>
      <c r="C171" s="12">
        <v>89.454351799999998</v>
      </c>
      <c r="D171" s="14">
        <v>5</v>
      </c>
      <c r="E171" s="13" t="s">
        <v>42</v>
      </c>
      <c r="F171" s="13">
        <v>44.467849999999999</v>
      </c>
      <c r="G171" s="12">
        <v>89.487679999999997</v>
      </c>
      <c r="H171" s="13" t="s">
        <v>44</v>
      </c>
      <c r="I171" s="13">
        <v>44.400129999999997</v>
      </c>
      <c r="J171" s="12">
        <v>89.480549999999994</v>
      </c>
      <c r="K171" s="13" t="s">
        <v>51</v>
      </c>
      <c r="L171" s="13">
        <v>44.37968</v>
      </c>
      <c r="M171" s="12">
        <v>89.436890000000005</v>
      </c>
      <c r="N171" s="13" t="s">
        <v>46</v>
      </c>
      <c r="O171" s="13">
        <v>44.382379999999998</v>
      </c>
      <c r="P171" s="12">
        <v>89.367450000000005</v>
      </c>
      <c r="Q171" s="13" t="s">
        <v>43</v>
      </c>
      <c r="R171" s="13">
        <v>44.436579999999999</v>
      </c>
      <c r="S171" s="12">
        <v>89.376000000000005</v>
      </c>
      <c r="T171" s="5">
        <f t="shared" si="51"/>
        <v>23634.557035053374</v>
      </c>
      <c r="U171" s="5">
        <f t="shared" si="52"/>
        <v>7350.9027524227868</v>
      </c>
      <c r="V171" s="5">
        <f t="shared" si="53"/>
        <v>11154.183220506606</v>
      </c>
      <c r="W171" s="5">
        <f t="shared" si="54"/>
        <v>24449.013910154325</v>
      </c>
      <c r="X171" s="6">
        <f t="shared" si="55"/>
        <v>22990.867105219204</v>
      </c>
      <c r="Y171" s="16">
        <f t="shared" si="56"/>
        <v>0.12006571172604409</v>
      </c>
      <c r="Z171" s="16">
        <f t="shared" si="57"/>
        <v>0.38603420658886928</v>
      </c>
      <c r="AA171" s="16">
        <f t="shared" si="58"/>
        <v>0.25440678673149691</v>
      </c>
      <c r="AB171" s="16">
        <f t="shared" si="59"/>
        <v>0.11606602712778095</v>
      </c>
      <c r="AC171" s="18">
        <f t="shared" si="60"/>
        <v>0.12342726782580871</v>
      </c>
      <c r="AD171" s="16">
        <f t="shared" si="61"/>
        <v>5.6121638897122988E-2</v>
      </c>
      <c r="AE171" s="16">
        <f t="shared" si="62"/>
        <v>0.58015484630322844</v>
      </c>
      <c r="AF171" s="16">
        <f t="shared" si="63"/>
        <v>0.25197051936784126</v>
      </c>
      <c r="AG171" s="16">
        <f t="shared" si="64"/>
        <v>5.2444818157438372E-2</v>
      </c>
      <c r="AH171" s="16">
        <f t="shared" si="65"/>
        <v>5.9308177274368823E-2</v>
      </c>
    </row>
    <row r="172" spans="1:34" x14ac:dyDescent="0.25">
      <c r="A172" s="12">
        <v>23808</v>
      </c>
      <c r="B172" s="13">
        <v>44.4359933</v>
      </c>
      <c r="C172" s="12">
        <v>89.503548300000006</v>
      </c>
      <c r="D172" s="13">
        <v>0</v>
      </c>
      <c r="T172" s="5">
        <f t="shared" si="51"/>
        <v>32703828.540134106</v>
      </c>
      <c r="U172" s="5">
        <f t="shared" si="52"/>
        <v>32703828.540134106</v>
      </c>
      <c r="V172" s="5" t="str">
        <f t="shared" si="53"/>
        <v>n/a</v>
      </c>
      <c r="W172" s="5" t="str">
        <f t="shared" si="54"/>
        <v>n/a</v>
      </c>
      <c r="X172" s="6" t="str">
        <f t="shared" si="55"/>
        <v>n/a</v>
      </c>
      <c r="Y172" s="16" t="str">
        <f t="shared" si="56"/>
        <v>error</v>
      </c>
      <c r="Z172" s="16" t="str">
        <f t="shared" si="57"/>
        <v>error</v>
      </c>
      <c r="AA172" s="16" t="str">
        <f t="shared" si="58"/>
        <v>error</v>
      </c>
      <c r="AB172" s="16" t="str">
        <f t="shared" si="59"/>
        <v>error</v>
      </c>
      <c r="AC172" s="18" t="str">
        <f t="shared" si="60"/>
        <v>error</v>
      </c>
      <c r="AD172" s="16" t="str">
        <f t="shared" si="61"/>
        <v>error</v>
      </c>
      <c r="AE172" s="16" t="str">
        <f t="shared" si="62"/>
        <v>error</v>
      </c>
      <c r="AF172" s="16" t="str">
        <f t="shared" si="63"/>
        <v>error</v>
      </c>
      <c r="AG172" s="16" t="str">
        <f t="shared" si="64"/>
        <v>error</v>
      </c>
      <c r="AH172" s="16" t="str">
        <f t="shared" si="65"/>
        <v>error</v>
      </c>
    </row>
    <row r="173" spans="1:34" x14ac:dyDescent="0.25">
      <c r="A173" s="12">
        <v>23811</v>
      </c>
      <c r="B173" s="13">
        <v>44.421199999999999</v>
      </c>
      <c r="C173" s="12">
        <v>89.564266700000005</v>
      </c>
      <c r="D173" s="14">
        <v>0</v>
      </c>
      <c r="T173" s="5">
        <f t="shared" si="51"/>
        <v>32719615.988207832</v>
      </c>
      <c r="U173" s="5">
        <f t="shared" si="52"/>
        <v>32719615.988207832</v>
      </c>
      <c r="V173" s="5" t="str">
        <f t="shared" si="53"/>
        <v>n/a</v>
      </c>
      <c r="W173" s="5" t="str">
        <f t="shared" si="54"/>
        <v>n/a</v>
      </c>
      <c r="X173" s="6" t="str">
        <f t="shared" si="55"/>
        <v>n/a</v>
      </c>
      <c r="Y173" s="16" t="str">
        <f t="shared" si="56"/>
        <v>error</v>
      </c>
      <c r="Z173" s="16" t="str">
        <f t="shared" si="57"/>
        <v>error</v>
      </c>
      <c r="AA173" s="16" t="str">
        <f t="shared" si="58"/>
        <v>error</v>
      </c>
      <c r="AB173" s="16" t="str">
        <f t="shared" si="59"/>
        <v>error</v>
      </c>
      <c r="AC173" s="18" t="str">
        <f t="shared" si="60"/>
        <v>error</v>
      </c>
      <c r="AD173" s="16" t="str">
        <f t="shared" si="61"/>
        <v>error</v>
      </c>
      <c r="AE173" s="16" t="str">
        <f t="shared" si="62"/>
        <v>error</v>
      </c>
      <c r="AF173" s="16" t="str">
        <f t="shared" si="63"/>
        <v>error</v>
      </c>
      <c r="AG173" s="16" t="str">
        <f t="shared" si="64"/>
        <v>error</v>
      </c>
      <c r="AH173" s="16" t="str">
        <f t="shared" si="65"/>
        <v>error</v>
      </c>
    </row>
    <row r="174" spans="1:34" x14ac:dyDescent="0.25">
      <c r="A174" s="12">
        <v>23814</v>
      </c>
      <c r="B174" s="13">
        <v>44.444987099999999</v>
      </c>
      <c r="C174" s="12">
        <v>89.500979400000006</v>
      </c>
      <c r="D174" s="13">
        <v>0</v>
      </c>
      <c r="T174" s="5">
        <f t="shared" si="51"/>
        <v>32703179.392485823</v>
      </c>
      <c r="U174" s="5">
        <f t="shared" si="52"/>
        <v>32703179.392485823</v>
      </c>
      <c r="V174" s="5" t="str">
        <f t="shared" si="53"/>
        <v>n/a</v>
      </c>
      <c r="W174" s="5" t="str">
        <f t="shared" si="54"/>
        <v>n/a</v>
      </c>
      <c r="X174" s="6" t="str">
        <f t="shared" si="55"/>
        <v>n/a</v>
      </c>
      <c r="Y174" s="16" t="str">
        <f t="shared" si="56"/>
        <v>error</v>
      </c>
      <c r="Z174" s="16" t="str">
        <f t="shared" si="57"/>
        <v>error</v>
      </c>
      <c r="AA174" s="16" t="str">
        <f t="shared" si="58"/>
        <v>error</v>
      </c>
      <c r="AB174" s="16" t="str">
        <f t="shared" si="59"/>
        <v>error</v>
      </c>
      <c r="AC174" s="18" t="str">
        <f t="shared" si="60"/>
        <v>error</v>
      </c>
      <c r="AD174" s="16" t="str">
        <f t="shared" si="61"/>
        <v>error</v>
      </c>
      <c r="AE174" s="16" t="str">
        <f t="shared" si="62"/>
        <v>error</v>
      </c>
      <c r="AF174" s="16" t="str">
        <f t="shared" si="63"/>
        <v>error</v>
      </c>
      <c r="AG174" s="16" t="str">
        <f t="shared" si="64"/>
        <v>error</v>
      </c>
      <c r="AH174" s="16" t="str">
        <f t="shared" si="65"/>
        <v>error</v>
      </c>
    </row>
    <row r="175" spans="1:34" x14ac:dyDescent="0.25">
      <c r="A175" s="12">
        <v>23815</v>
      </c>
      <c r="B175" s="13">
        <v>44.448576899999999</v>
      </c>
      <c r="C175" s="12">
        <v>89.506005799999997</v>
      </c>
      <c r="D175" s="13">
        <v>0</v>
      </c>
      <c r="T175" s="5">
        <f t="shared" si="51"/>
        <v>32704496.392138805</v>
      </c>
      <c r="U175" s="5">
        <f t="shared" si="52"/>
        <v>32704496.392138805</v>
      </c>
      <c r="V175" s="5" t="str">
        <f t="shared" si="53"/>
        <v>n/a</v>
      </c>
      <c r="W175" s="5" t="str">
        <f t="shared" si="54"/>
        <v>n/a</v>
      </c>
      <c r="X175" s="6" t="str">
        <f t="shared" si="55"/>
        <v>n/a</v>
      </c>
      <c r="Y175" s="16" t="str">
        <f t="shared" si="56"/>
        <v>error</v>
      </c>
      <c r="Z175" s="16" t="str">
        <f t="shared" si="57"/>
        <v>error</v>
      </c>
      <c r="AA175" s="16" t="str">
        <f t="shared" si="58"/>
        <v>error</v>
      </c>
      <c r="AB175" s="16" t="str">
        <f t="shared" si="59"/>
        <v>error</v>
      </c>
      <c r="AC175" s="18" t="str">
        <f t="shared" si="60"/>
        <v>error</v>
      </c>
      <c r="AD175" s="16" t="str">
        <f t="shared" si="61"/>
        <v>error</v>
      </c>
      <c r="AE175" s="16" t="str">
        <f t="shared" si="62"/>
        <v>error</v>
      </c>
      <c r="AF175" s="16" t="str">
        <f t="shared" si="63"/>
        <v>error</v>
      </c>
      <c r="AG175" s="16" t="str">
        <f t="shared" si="64"/>
        <v>error</v>
      </c>
      <c r="AH175" s="16" t="str">
        <f t="shared" si="65"/>
        <v>error</v>
      </c>
    </row>
    <row r="176" spans="1:34" x14ac:dyDescent="0.25">
      <c r="A176" s="12">
        <v>23816</v>
      </c>
      <c r="B176" s="13">
        <v>44.461266700000003</v>
      </c>
      <c r="C176" s="12">
        <v>89.503349999999998</v>
      </c>
      <c r="D176" s="14">
        <v>2</v>
      </c>
      <c r="E176" s="13" t="s">
        <v>42</v>
      </c>
      <c r="F176" s="13">
        <v>44.469169999999998</v>
      </c>
      <c r="G176" s="12">
        <v>89.502549999999999</v>
      </c>
      <c r="H176" s="13" t="s">
        <v>48</v>
      </c>
      <c r="I176" s="13">
        <v>44.465299999999999</v>
      </c>
      <c r="J176" s="12">
        <v>89.553479999999993</v>
      </c>
      <c r="T176" s="5">
        <f t="shared" si="51"/>
        <v>2890.7382293024575</v>
      </c>
      <c r="U176" s="5">
        <f t="shared" si="52"/>
        <v>13134.855803877332</v>
      </c>
      <c r="V176" s="5" t="str">
        <f t="shared" si="53"/>
        <v>n/a</v>
      </c>
      <c r="W176" s="5" t="str">
        <f t="shared" si="54"/>
        <v>n/a</v>
      </c>
      <c r="X176" s="6" t="str">
        <f t="shared" si="55"/>
        <v>n/a</v>
      </c>
      <c r="Y176" s="16">
        <f t="shared" si="56"/>
        <v>0.81961740555030904</v>
      </c>
      <c r="Z176" s="16">
        <f t="shared" si="57"/>
        <v>0.18038259444969099</v>
      </c>
      <c r="AA176" s="16" t="e">
        <f t="shared" si="58"/>
        <v>#VALUE!</v>
      </c>
      <c r="AB176" s="16" t="e">
        <f t="shared" si="59"/>
        <v>#VALUE!</v>
      </c>
      <c r="AC176" s="18" t="e">
        <f t="shared" si="60"/>
        <v>#VALUE!</v>
      </c>
      <c r="AD176" s="16">
        <f t="shared" si="61"/>
        <v>0.95380180039835649</v>
      </c>
      <c r="AE176" s="16">
        <f t="shared" si="62"/>
        <v>4.6198199601643584E-2</v>
      </c>
      <c r="AF176" s="16" t="e">
        <f t="shared" si="63"/>
        <v>#VALUE!</v>
      </c>
      <c r="AG176" s="16" t="e">
        <f t="shared" si="64"/>
        <v>#VALUE!</v>
      </c>
      <c r="AH176" s="16" t="e">
        <f t="shared" si="65"/>
        <v>#VALUE!</v>
      </c>
    </row>
    <row r="177" spans="1:34" x14ac:dyDescent="0.25">
      <c r="A177" s="12">
        <v>23817</v>
      </c>
      <c r="B177" s="13">
        <v>44.393365000000003</v>
      </c>
      <c r="C177" s="12">
        <v>89.459558299999998</v>
      </c>
      <c r="D177" s="14">
        <v>0</v>
      </c>
      <c r="T177" s="5">
        <f t="shared" si="51"/>
        <v>32692267.228058722</v>
      </c>
      <c r="U177" s="5">
        <f t="shared" si="52"/>
        <v>32692267.228058722</v>
      </c>
      <c r="V177" s="5" t="str">
        <f t="shared" si="53"/>
        <v>n/a</v>
      </c>
      <c r="W177" s="5" t="str">
        <f t="shared" si="54"/>
        <v>n/a</v>
      </c>
      <c r="X177" s="6" t="str">
        <f t="shared" si="55"/>
        <v>n/a</v>
      </c>
      <c r="Y177" s="16" t="str">
        <f t="shared" si="56"/>
        <v>error</v>
      </c>
      <c r="Z177" s="16" t="str">
        <f t="shared" si="57"/>
        <v>error</v>
      </c>
      <c r="AA177" s="16" t="str">
        <f t="shared" si="58"/>
        <v>error</v>
      </c>
      <c r="AB177" s="16" t="str">
        <f t="shared" si="59"/>
        <v>error</v>
      </c>
      <c r="AC177" s="18" t="str">
        <f t="shared" si="60"/>
        <v>error</v>
      </c>
      <c r="AD177" s="16" t="str">
        <f t="shared" si="61"/>
        <v>error</v>
      </c>
      <c r="AE177" s="16" t="str">
        <f t="shared" si="62"/>
        <v>error</v>
      </c>
      <c r="AF177" s="16" t="str">
        <f t="shared" si="63"/>
        <v>error</v>
      </c>
      <c r="AG177" s="16" t="str">
        <f t="shared" si="64"/>
        <v>error</v>
      </c>
      <c r="AH177" s="16" t="str">
        <f t="shared" si="65"/>
        <v>error</v>
      </c>
    </row>
    <row r="178" spans="1:34" x14ac:dyDescent="0.25">
      <c r="A178" s="12">
        <v>23818</v>
      </c>
      <c r="B178" s="13">
        <v>44.390599999999999</v>
      </c>
      <c r="C178" s="12">
        <v>89.441800000000001</v>
      </c>
      <c r="D178" s="14">
        <v>5</v>
      </c>
      <c r="E178" s="13" t="s">
        <v>42</v>
      </c>
      <c r="F178" s="13">
        <v>44.467849999999999</v>
      </c>
      <c r="G178" s="12">
        <v>89.487679999999997</v>
      </c>
      <c r="H178" s="13" t="s">
        <v>44</v>
      </c>
      <c r="I178" s="13">
        <v>44.400129999999997</v>
      </c>
      <c r="J178" s="12">
        <v>89.480549999999994</v>
      </c>
      <c r="K178" s="13" t="s">
        <v>51</v>
      </c>
      <c r="L178" s="13">
        <v>44.37968</v>
      </c>
      <c r="M178" s="12">
        <v>89.436890000000005</v>
      </c>
      <c r="N178" s="13" t="s">
        <v>46</v>
      </c>
      <c r="O178" s="13">
        <v>44.382379999999998</v>
      </c>
      <c r="P178" s="12">
        <v>89.367450000000005</v>
      </c>
      <c r="Q178" s="13" t="s">
        <v>43</v>
      </c>
      <c r="R178" s="13">
        <v>44.436579999999999</v>
      </c>
      <c r="S178" s="12">
        <v>89.376000000000005</v>
      </c>
      <c r="T178" s="5">
        <f t="shared" si="51"/>
        <v>30611.718622890723</v>
      </c>
      <c r="U178" s="5">
        <f t="shared" si="52"/>
        <v>10682.516911623075</v>
      </c>
      <c r="V178" s="5">
        <f t="shared" si="53"/>
        <v>4184.3743022755689</v>
      </c>
      <c r="W178" s="5">
        <f t="shared" si="54"/>
        <v>19614.29806452398</v>
      </c>
      <c r="X178" s="6">
        <f t="shared" si="55"/>
        <v>23987.068604651264</v>
      </c>
      <c r="Y178" s="16">
        <f t="shared" si="56"/>
        <v>7.1335976801511256E-2</v>
      </c>
      <c r="Z178" s="16">
        <f t="shared" si="57"/>
        <v>0.20441969505903024</v>
      </c>
      <c r="AA178" s="16">
        <f t="shared" si="58"/>
        <v>0.52187416607289694</v>
      </c>
      <c r="AB178" s="16">
        <f t="shared" si="59"/>
        <v>0.11133290838924136</v>
      </c>
      <c r="AC178" s="18">
        <f t="shared" si="60"/>
        <v>9.1037253677320296E-2</v>
      </c>
      <c r="AD178" s="16">
        <f t="shared" si="61"/>
        <v>1.497101140356737E-2</v>
      </c>
      <c r="AE178" s="16">
        <f t="shared" si="62"/>
        <v>0.12293608783597522</v>
      </c>
      <c r="AF178" s="16">
        <f t="shared" si="63"/>
        <v>0.80124533513442497</v>
      </c>
      <c r="AG178" s="16">
        <f t="shared" si="64"/>
        <v>3.6465403646214575E-2</v>
      </c>
      <c r="AH178" s="16">
        <f t="shared" si="65"/>
        <v>2.4382161979818007E-2</v>
      </c>
    </row>
    <row r="179" spans="1:34" x14ac:dyDescent="0.25">
      <c r="A179" s="12">
        <v>23819</v>
      </c>
      <c r="B179" s="13">
        <v>44.516017599999998</v>
      </c>
      <c r="C179" s="12">
        <v>89.534424700000002</v>
      </c>
      <c r="D179" s="13">
        <v>0</v>
      </c>
      <c r="T179" s="5">
        <f t="shared" si="51"/>
        <v>32712037.546337441</v>
      </c>
      <c r="U179" s="5">
        <f t="shared" si="52"/>
        <v>32712037.546337441</v>
      </c>
      <c r="V179" s="5" t="str">
        <f t="shared" si="53"/>
        <v>n/a</v>
      </c>
      <c r="W179" s="5" t="str">
        <f t="shared" si="54"/>
        <v>n/a</v>
      </c>
      <c r="X179" s="6" t="str">
        <f t="shared" si="55"/>
        <v>n/a</v>
      </c>
      <c r="Y179" s="16" t="str">
        <f t="shared" si="56"/>
        <v>error</v>
      </c>
      <c r="Z179" s="16" t="str">
        <f t="shared" si="57"/>
        <v>error</v>
      </c>
      <c r="AA179" s="16" t="str">
        <f t="shared" si="58"/>
        <v>error</v>
      </c>
      <c r="AB179" s="16" t="str">
        <f t="shared" si="59"/>
        <v>error</v>
      </c>
      <c r="AC179" s="18" t="str">
        <f t="shared" si="60"/>
        <v>error</v>
      </c>
      <c r="AD179" s="16" t="str">
        <f t="shared" si="61"/>
        <v>error</v>
      </c>
      <c r="AE179" s="16" t="str">
        <f t="shared" si="62"/>
        <v>error</v>
      </c>
      <c r="AF179" s="16" t="str">
        <f t="shared" si="63"/>
        <v>error</v>
      </c>
      <c r="AG179" s="16" t="str">
        <f t="shared" si="64"/>
        <v>error</v>
      </c>
      <c r="AH179" s="16" t="str">
        <f t="shared" si="65"/>
        <v>error</v>
      </c>
    </row>
    <row r="180" spans="1:34" x14ac:dyDescent="0.25">
      <c r="A180" s="12">
        <v>23820</v>
      </c>
      <c r="B180" s="13">
        <v>44.412088400000002</v>
      </c>
      <c r="C180" s="12">
        <v>89.525923300000002</v>
      </c>
      <c r="D180" s="14">
        <v>4</v>
      </c>
      <c r="E180" s="13" t="s">
        <v>42</v>
      </c>
      <c r="F180" s="13">
        <v>44.470410000000001</v>
      </c>
      <c r="G180" s="12">
        <v>89.511759999999995</v>
      </c>
      <c r="H180" s="13" t="s">
        <v>44</v>
      </c>
      <c r="I180" s="13">
        <v>44.388379999999998</v>
      </c>
      <c r="J180" s="12">
        <v>89.530510000000007</v>
      </c>
      <c r="K180" s="13" t="s">
        <v>48</v>
      </c>
      <c r="L180" s="13">
        <v>44.462609999999998</v>
      </c>
      <c r="M180" s="12">
        <v>89.562640000000002</v>
      </c>
      <c r="N180" s="13" t="s">
        <v>49</v>
      </c>
      <c r="O180" s="13">
        <v>44.41328</v>
      </c>
      <c r="P180" s="12">
        <v>89.56953</v>
      </c>
      <c r="T180" s="5">
        <f t="shared" si="51"/>
        <v>21593.909446005418</v>
      </c>
      <c r="U180" s="5">
        <f t="shared" si="52"/>
        <v>8731.3597055648333</v>
      </c>
      <c r="V180" s="5">
        <f t="shared" si="53"/>
        <v>20764.633254563611</v>
      </c>
      <c r="W180" s="5">
        <f t="shared" si="54"/>
        <v>11371.878953841449</v>
      </c>
      <c r="X180" s="6" t="str">
        <f t="shared" si="55"/>
        <v>n/a</v>
      </c>
      <c r="Y180" s="16">
        <f t="shared" si="56"/>
        <v>0.155958368016927</v>
      </c>
      <c r="Z180" s="16">
        <f t="shared" si="57"/>
        <v>0.38570749457932779</v>
      </c>
      <c r="AA180" s="16">
        <f t="shared" si="58"/>
        <v>0.16218687009866412</v>
      </c>
      <c r="AB180" s="16">
        <f t="shared" si="59"/>
        <v>0.29614726730508106</v>
      </c>
      <c r="AC180" s="18" t="e">
        <f t="shared" si="60"/>
        <v>#VALUE!</v>
      </c>
      <c r="AD180" s="16">
        <f t="shared" si="61"/>
        <v>8.4719338263562705E-2</v>
      </c>
      <c r="AE180" s="16">
        <f t="shared" si="62"/>
        <v>0.51818083454545338</v>
      </c>
      <c r="AF180" s="16">
        <f t="shared" si="63"/>
        <v>9.1621326775527687E-2</v>
      </c>
      <c r="AG180" s="16">
        <f t="shared" si="64"/>
        <v>0.30547850041545616</v>
      </c>
      <c r="AH180" s="16" t="e">
        <f t="shared" si="65"/>
        <v>#VALUE!</v>
      </c>
    </row>
    <row r="181" spans="1:34" x14ac:dyDescent="0.25">
      <c r="A181" s="12">
        <v>23823</v>
      </c>
      <c r="B181" s="13">
        <v>44.431755000000003</v>
      </c>
      <c r="C181" s="12">
        <v>89.553906799999993</v>
      </c>
      <c r="D181" s="14">
        <v>4</v>
      </c>
      <c r="E181" s="13" t="s">
        <v>42</v>
      </c>
      <c r="F181" s="13">
        <v>44.470410000000001</v>
      </c>
      <c r="G181" s="12">
        <v>89.511759999999995</v>
      </c>
      <c r="H181" s="13" t="s">
        <v>44</v>
      </c>
      <c r="I181" s="13">
        <v>44.388379999999998</v>
      </c>
      <c r="J181" s="12">
        <v>89.530510000000007</v>
      </c>
      <c r="K181" s="13" t="s">
        <v>48</v>
      </c>
      <c r="L181" s="13">
        <v>44.462609999999998</v>
      </c>
      <c r="M181" s="12">
        <v>89.562640000000002</v>
      </c>
      <c r="N181" s="13" t="s">
        <v>49</v>
      </c>
      <c r="O181" s="13">
        <v>44.433489999999999</v>
      </c>
      <c r="P181" s="12">
        <v>89.562479999999994</v>
      </c>
      <c r="T181" s="5">
        <f t="shared" si="51"/>
        <v>17869.876666058459</v>
      </c>
      <c r="U181" s="5">
        <f t="shared" si="52"/>
        <v>16957.835551724806</v>
      </c>
      <c r="V181" s="5">
        <f t="shared" si="53"/>
        <v>11483.788810012526</v>
      </c>
      <c r="W181" s="5">
        <f t="shared" si="54"/>
        <v>2321.3071331898122</v>
      </c>
      <c r="X181" s="6" t="str">
        <f t="shared" si="55"/>
        <v>n/a</v>
      </c>
      <c r="Y181" s="16">
        <f t="shared" si="56"/>
        <v>8.8432385166544392E-2</v>
      </c>
      <c r="Z181" s="16">
        <f t="shared" si="57"/>
        <v>9.3188532899223325E-2</v>
      </c>
      <c r="AA181" s="16">
        <f t="shared" si="58"/>
        <v>0.13760927184882657</v>
      </c>
      <c r="AB181" s="16">
        <f t="shared" si="59"/>
        <v>0.6807698100854056</v>
      </c>
      <c r="AC181" s="18" t="e">
        <f t="shared" si="60"/>
        <v>#VALUE!</v>
      </c>
      <c r="AD181" s="16">
        <f t="shared" si="61"/>
        <v>1.5675428263932277E-2</v>
      </c>
      <c r="AE181" s="16">
        <f t="shared" si="62"/>
        <v>1.74069100995712E-2</v>
      </c>
      <c r="AF181" s="16">
        <f t="shared" si="63"/>
        <v>3.7957021941683239E-2</v>
      </c>
      <c r="AG181" s="16">
        <f t="shared" si="64"/>
        <v>0.92896063969481324</v>
      </c>
      <c r="AH181" s="16" t="e">
        <f t="shared" si="65"/>
        <v>#VALUE!</v>
      </c>
    </row>
    <row r="182" spans="1:34" x14ac:dyDescent="0.25">
      <c r="A182" s="12">
        <v>23833</v>
      </c>
      <c r="B182" s="13">
        <v>44.420864899999998</v>
      </c>
      <c r="C182" s="12">
        <v>89.603201299999995</v>
      </c>
      <c r="D182" s="14">
        <v>0</v>
      </c>
      <c r="T182" s="5">
        <f t="shared" si="51"/>
        <v>32729759.841144718</v>
      </c>
      <c r="U182" s="5">
        <f t="shared" si="52"/>
        <v>32729759.841144718</v>
      </c>
      <c r="V182" s="5" t="str">
        <f t="shared" si="53"/>
        <v>n/a</v>
      </c>
      <c r="W182" s="5" t="str">
        <f t="shared" si="54"/>
        <v>n/a</v>
      </c>
      <c r="X182" s="6" t="str">
        <f t="shared" si="55"/>
        <v>n/a</v>
      </c>
      <c r="Y182" s="16" t="str">
        <f t="shared" si="56"/>
        <v>error</v>
      </c>
      <c r="Z182" s="16" t="str">
        <f t="shared" si="57"/>
        <v>error</v>
      </c>
      <c r="AA182" s="16" t="str">
        <f t="shared" si="58"/>
        <v>error</v>
      </c>
      <c r="AB182" s="16" t="str">
        <f t="shared" si="59"/>
        <v>error</v>
      </c>
      <c r="AC182" s="18" t="str">
        <f t="shared" si="60"/>
        <v>error</v>
      </c>
      <c r="AD182" s="16" t="str">
        <f t="shared" si="61"/>
        <v>error</v>
      </c>
      <c r="AE182" s="16" t="str">
        <f t="shared" si="62"/>
        <v>error</v>
      </c>
      <c r="AF182" s="16" t="str">
        <f t="shared" si="63"/>
        <v>error</v>
      </c>
      <c r="AG182" s="16" t="str">
        <f t="shared" si="64"/>
        <v>error</v>
      </c>
      <c r="AH182" s="16" t="str">
        <f t="shared" si="65"/>
        <v>error</v>
      </c>
    </row>
    <row r="183" spans="1:34" x14ac:dyDescent="0.25">
      <c r="A183" s="12">
        <v>23834</v>
      </c>
      <c r="B183" s="13">
        <v>44.422624300000003</v>
      </c>
      <c r="C183" s="12">
        <v>89.609322199999994</v>
      </c>
      <c r="D183" s="14">
        <v>0</v>
      </c>
      <c r="T183" s="5">
        <f t="shared" si="51"/>
        <v>32731357.721847765</v>
      </c>
      <c r="U183" s="5">
        <f t="shared" si="52"/>
        <v>32731357.721847765</v>
      </c>
      <c r="V183" s="5" t="str">
        <f t="shared" si="53"/>
        <v>n/a</v>
      </c>
      <c r="W183" s="5" t="str">
        <f t="shared" si="54"/>
        <v>n/a</v>
      </c>
      <c r="X183" s="6" t="str">
        <f t="shared" si="55"/>
        <v>n/a</v>
      </c>
      <c r="Y183" s="16" t="str">
        <f t="shared" si="56"/>
        <v>error</v>
      </c>
      <c r="Z183" s="16" t="str">
        <f t="shared" si="57"/>
        <v>error</v>
      </c>
      <c r="AA183" s="16" t="str">
        <f t="shared" si="58"/>
        <v>error</v>
      </c>
      <c r="AB183" s="16" t="str">
        <f t="shared" si="59"/>
        <v>error</v>
      </c>
      <c r="AC183" s="18" t="str">
        <f t="shared" si="60"/>
        <v>error</v>
      </c>
      <c r="AD183" s="16" t="str">
        <f t="shared" si="61"/>
        <v>error</v>
      </c>
      <c r="AE183" s="16" t="str">
        <f t="shared" si="62"/>
        <v>error</v>
      </c>
      <c r="AF183" s="16" t="str">
        <f t="shared" si="63"/>
        <v>error</v>
      </c>
      <c r="AG183" s="16" t="str">
        <f t="shared" si="64"/>
        <v>error</v>
      </c>
      <c r="AH183" s="16" t="str">
        <f t="shared" si="65"/>
        <v>error</v>
      </c>
    </row>
    <row r="184" spans="1:34" x14ac:dyDescent="0.25">
      <c r="A184" s="12">
        <v>23835</v>
      </c>
      <c r="B184" s="13">
        <v>44.420892000000002</v>
      </c>
      <c r="C184" s="12">
        <v>89.599774999999994</v>
      </c>
      <c r="D184" s="14">
        <v>0</v>
      </c>
      <c r="T184" s="5">
        <f t="shared" si="51"/>
        <v>32728867.157804426</v>
      </c>
      <c r="U184" s="5">
        <f t="shared" si="52"/>
        <v>32728867.157804426</v>
      </c>
      <c r="V184" s="5" t="str">
        <f t="shared" si="53"/>
        <v>n/a</v>
      </c>
      <c r="W184" s="5" t="str">
        <f t="shared" si="54"/>
        <v>n/a</v>
      </c>
      <c r="X184" s="6" t="str">
        <f t="shared" si="55"/>
        <v>n/a</v>
      </c>
      <c r="Y184" s="16" t="str">
        <f t="shared" si="56"/>
        <v>error</v>
      </c>
      <c r="Z184" s="16" t="str">
        <f t="shared" si="57"/>
        <v>error</v>
      </c>
      <c r="AA184" s="16" t="str">
        <f t="shared" si="58"/>
        <v>error</v>
      </c>
      <c r="AB184" s="16" t="str">
        <f t="shared" si="59"/>
        <v>error</v>
      </c>
      <c r="AC184" s="18" t="str">
        <f t="shared" si="60"/>
        <v>error</v>
      </c>
      <c r="AD184" s="16" t="str">
        <f t="shared" si="61"/>
        <v>error</v>
      </c>
      <c r="AE184" s="16" t="str">
        <f t="shared" si="62"/>
        <v>error</v>
      </c>
      <c r="AF184" s="16" t="str">
        <f t="shared" si="63"/>
        <v>error</v>
      </c>
      <c r="AG184" s="16" t="str">
        <f t="shared" si="64"/>
        <v>error</v>
      </c>
      <c r="AH184" s="16" t="str">
        <f t="shared" si="65"/>
        <v>error</v>
      </c>
    </row>
    <row r="185" spans="1:34" x14ac:dyDescent="0.25">
      <c r="A185" s="12">
        <v>23836</v>
      </c>
      <c r="B185" s="13">
        <v>44.4562691</v>
      </c>
      <c r="C185" s="12">
        <v>89.490739700000006</v>
      </c>
      <c r="D185" s="14">
        <v>2</v>
      </c>
      <c r="E185" s="13" t="s">
        <v>42</v>
      </c>
      <c r="F185" s="13">
        <v>44.467930000000003</v>
      </c>
      <c r="G185" s="12">
        <v>89.492019999999997</v>
      </c>
      <c r="H185" s="13" t="s">
        <v>44</v>
      </c>
      <c r="I185" s="13">
        <v>44.400230000000001</v>
      </c>
      <c r="J185" s="12">
        <v>89.480689999999996</v>
      </c>
      <c r="T185" s="5">
        <f t="shared" si="51"/>
        <v>4267.086133672723</v>
      </c>
      <c r="U185" s="5">
        <f t="shared" si="52"/>
        <v>20610.747587999263</v>
      </c>
      <c r="V185" s="5" t="str">
        <f t="shared" si="53"/>
        <v>n/a</v>
      </c>
      <c r="W185" s="5" t="str">
        <f t="shared" si="54"/>
        <v>n/a</v>
      </c>
      <c r="X185" s="6" t="str">
        <f t="shared" si="55"/>
        <v>n/a</v>
      </c>
      <c r="Y185" s="16">
        <f t="shared" si="56"/>
        <v>0.82847838837529042</v>
      </c>
      <c r="Z185" s="16">
        <f t="shared" si="57"/>
        <v>0.17152161162470947</v>
      </c>
      <c r="AA185" s="16" t="e">
        <f t="shared" si="58"/>
        <v>#VALUE!</v>
      </c>
      <c r="AB185" s="16" t="e">
        <f t="shared" si="59"/>
        <v>#VALUE!</v>
      </c>
      <c r="AC185" s="18" t="e">
        <f t="shared" si="60"/>
        <v>#VALUE!</v>
      </c>
      <c r="AD185" s="16">
        <f t="shared" si="61"/>
        <v>0.9588993805353504</v>
      </c>
      <c r="AE185" s="16">
        <f t="shared" si="62"/>
        <v>4.1100619464649518E-2</v>
      </c>
      <c r="AF185" s="16" t="e">
        <f t="shared" si="63"/>
        <v>#VALUE!</v>
      </c>
      <c r="AG185" s="16" t="e">
        <f t="shared" si="64"/>
        <v>#VALUE!</v>
      </c>
      <c r="AH185" s="16" t="e">
        <f t="shared" si="65"/>
        <v>#VALUE!</v>
      </c>
    </row>
    <row r="186" spans="1:34" x14ac:dyDescent="0.25">
      <c r="A186" s="12">
        <v>23837</v>
      </c>
      <c r="B186" s="13">
        <v>44.450016699999999</v>
      </c>
      <c r="C186" s="12">
        <v>89.482133300000001</v>
      </c>
      <c r="D186" s="14">
        <v>3</v>
      </c>
      <c r="E186" s="13" t="s">
        <v>42</v>
      </c>
      <c r="F186" s="13">
        <v>44.467930000000003</v>
      </c>
      <c r="G186" s="12">
        <v>89.492019999999997</v>
      </c>
      <c r="H186" s="13" t="s">
        <v>44</v>
      </c>
      <c r="I186" s="13">
        <v>44.400230000000001</v>
      </c>
      <c r="J186" s="12">
        <v>89.480689999999996</v>
      </c>
      <c r="K186" s="13" t="s">
        <v>43</v>
      </c>
      <c r="L186" s="13">
        <v>44.436630000000001</v>
      </c>
      <c r="M186" s="12">
        <v>89.375969999999995</v>
      </c>
      <c r="T186" s="5">
        <f t="shared" si="51"/>
        <v>7023.7840873155392</v>
      </c>
      <c r="U186" s="5">
        <f t="shared" si="52"/>
        <v>18166.7151793839</v>
      </c>
      <c r="V186" s="5">
        <f t="shared" si="53"/>
        <v>28078.788999798311</v>
      </c>
      <c r="W186" s="5" t="str">
        <f t="shared" si="54"/>
        <v>n/a</v>
      </c>
      <c r="X186" s="6" t="str">
        <f t="shared" si="55"/>
        <v>n/a</v>
      </c>
      <c r="Y186" s="16">
        <f t="shared" si="56"/>
        <v>0.61095758544440804</v>
      </c>
      <c r="Z186" s="16">
        <f t="shared" si="57"/>
        <v>0.23621409397880422</v>
      </c>
      <c r="AA186" s="16">
        <f t="shared" si="58"/>
        <v>0.15282832057678775</v>
      </c>
      <c r="AB186" s="16" t="e">
        <f t="shared" si="59"/>
        <v>#VALUE!</v>
      </c>
      <c r="AC186" s="18" t="e">
        <f t="shared" si="60"/>
        <v>#VALUE!</v>
      </c>
      <c r="AD186" s="16">
        <f t="shared" si="61"/>
        <v>0.8250450687010833</v>
      </c>
      <c r="AE186" s="16">
        <f t="shared" si="62"/>
        <v>0.12332955481829484</v>
      </c>
      <c r="AF186" s="16">
        <f t="shared" si="63"/>
        <v>5.1625376480621883E-2</v>
      </c>
      <c r="AG186" s="16" t="e">
        <f t="shared" si="64"/>
        <v>#VALUE!</v>
      </c>
      <c r="AH186" s="16" t="e">
        <f t="shared" si="65"/>
        <v>#VALUE!</v>
      </c>
    </row>
    <row r="187" spans="1:34" x14ac:dyDescent="0.25">
      <c r="A187" s="12">
        <v>23842</v>
      </c>
      <c r="B187" s="13">
        <v>44.427171999999999</v>
      </c>
      <c r="C187" s="12">
        <v>89.456657000000007</v>
      </c>
      <c r="D187" s="13">
        <v>0</v>
      </c>
      <c r="T187" s="5">
        <f t="shared" si="51"/>
        <v>32691592.78516278</v>
      </c>
      <c r="U187" s="5">
        <f t="shared" si="52"/>
        <v>32691592.78516278</v>
      </c>
      <c r="V187" s="5" t="str">
        <f t="shared" si="53"/>
        <v>n/a</v>
      </c>
      <c r="W187" s="5" t="str">
        <f t="shared" si="54"/>
        <v>n/a</v>
      </c>
      <c r="X187" s="6" t="str">
        <f t="shared" si="55"/>
        <v>n/a</v>
      </c>
      <c r="Y187" s="16" t="str">
        <f t="shared" si="56"/>
        <v>error</v>
      </c>
      <c r="Z187" s="16" t="str">
        <f t="shared" si="57"/>
        <v>error</v>
      </c>
      <c r="AA187" s="16" t="str">
        <f t="shared" si="58"/>
        <v>error</v>
      </c>
      <c r="AB187" s="16" t="str">
        <f t="shared" si="59"/>
        <v>error</v>
      </c>
      <c r="AC187" s="18" t="str">
        <f t="shared" si="60"/>
        <v>error</v>
      </c>
      <c r="AD187" s="16" t="str">
        <f t="shared" si="61"/>
        <v>error</v>
      </c>
      <c r="AE187" s="16" t="str">
        <f t="shared" si="62"/>
        <v>error</v>
      </c>
      <c r="AF187" s="16" t="str">
        <f t="shared" si="63"/>
        <v>error</v>
      </c>
      <c r="AG187" s="16" t="str">
        <f t="shared" si="64"/>
        <v>error</v>
      </c>
      <c r="AH187" s="16" t="str">
        <f t="shared" si="65"/>
        <v>error</v>
      </c>
    </row>
    <row r="188" spans="1:34" x14ac:dyDescent="0.25">
      <c r="A188" s="12">
        <v>23846</v>
      </c>
      <c r="B188" s="13">
        <v>44.528979999999997</v>
      </c>
      <c r="C188" s="12">
        <v>89.461181699999997</v>
      </c>
      <c r="D188" s="14">
        <v>4</v>
      </c>
      <c r="E188" s="13" t="s">
        <v>42</v>
      </c>
      <c r="F188" s="13">
        <v>44.475769999999997</v>
      </c>
      <c r="G188" s="12">
        <v>89.479730000000004</v>
      </c>
      <c r="H188" s="13" t="s">
        <v>40</v>
      </c>
      <c r="I188" s="13">
        <v>44.551259999999999</v>
      </c>
      <c r="J188" s="12">
        <v>89.469080000000005</v>
      </c>
      <c r="K188" s="13" t="s">
        <v>39</v>
      </c>
      <c r="L188" s="13">
        <v>44.534610000000001</v>
      </c>
      <c r="M188" s="12">
        <v>89.521129999999999</v>
      </c>
      <c r="N188" s="13" t="s">
        <v>41</v>
      </c>
      <c r="O188" s="13">
        <v>44.528460000000003</v>
      </c>
      <c r="P188" s="12">
        <v>89.339870000000005</v>
      </c>
      <c r="T188" s="5">
        <f t="shared" si="51"/>
        <v>20002.625827558459</v>
      </c>
      <c r="U188" s="5">
        <f t="shared" si="52"/>
        <v>8383.478474888796</v>
      </c>
      <c r="V188" s="5">
        <f t="shared" si="53"/>
        <v>15724.920733656349</v>
      </c>
      <c r="W188" s="5">
        <f t="shared" si="54"/>
        <v>31550.665817200919</v>
      </c>
      <c r="X188" s="6" t="str">
        <f t="shared" si="55"/>
        <v>n/a</v>
      </c>
      <c r="Y188" s="16">
        <f t="shared" si="56"/>
        <v>0.18896534745573043</v>
      </c>
      <c r="Z188" s="16">
        <f t="shared" si="57"/>
        <v>0.45086334399894668</v>
      </c>
      <c r="AA188" s="16">
        <f t="shared" si="58"/>
        <v>0.24037025073465498</v>
      </c>
      <c r="AB188" s="16">
        <f t="shared" si="59"/>
        <v>0.11980105781066794</v>
      </c>
      <c r="AC188" s="18" t="e">
        <f t="shared" si="60"/>
        <v>#VALUE!</v>
      </c>
      <c r="AD188" s="16">
        <f t="shared" si="61"/>
        <v>0.11477366811942794</v>
      </c>
      <c r="AE188" s="16">
        <f t="shared" si="62"/>
        <v>0.65338291876809573</v>
      </c>
      <c r="AF188" s="16">
        <f t="shared" si="63"/>
        <v>0.18571173781527683</v>
      </c>
      <c r="AG188" s="16">
        <f t="shared" si="64"/>
        <v>4.6131675297199415E-2</v>
      </c>
      <c r="AH188" s="16" t="e">
        <f t="shared" si="65"/>
        <v>#VALUE!</v>
      </c>
    </row>
    <row r="189" spans="1:34" x14ac:dyDescent="0.25">
      <c r="A189" s="12">
        <v>23847</v>
      </c>
      <c r="B189" s="13">
        <v>44.507991699999998</v>
      </c>
      <c r="C189" s="12">
        <v>89.472304899999997</v>
      </c>
      <c r="D189" s="14">
        <v>4</v>
      </c>
      <c r="E189" s="13" t="s">
        <v>42</v>
      </c>
      <c r="F189" s="13">
        <v>44.482550000000003</v>
      </c>
      <c r="G189" s="12">
        <v>89.480040000000002</v>
      </c>
      <c r="H189" s="13" t="s">
        <v>39</v>
      </c>
      <c r="I189" s="13">
        <v>44.514279999999999</v>
      </c>
      <c r="J189" s="12">
        <v>89.538489999999996</v>
      </c>
      <c r="K189" s="13" t="s">
        <v>40</v>
      </c>
      <c r="L189" s="13">
        <v>44.550359999999998</v>
      </c>
      <c r="M189" s="12">
        <v>89.48554</v>
      </c>
      <c r="N189" s="13" t="s">
        <v>41</v>
      </c>
      <c r="O189" s="13">
        <v>44.514789999999998</v>
      </c>
      <c r="P189" s="12">
        <v>89.33596</v>
      </c>
      <c r="T189" s="5">
        <f t="shared" si="51"/>
        <v>9497.2119502941459</v>
      </c>
      <c r="U189" s="5">
        <f t="shared" si="52"/>
        <v>17370.412407449443</v>
      </c>
      <c r="V189" s="5">
        <f t="shared" si="53"/>
        <v>15835.12655926926</v>
      </c>
      <c r="W189" s="5">
        <f t="shared" si="54"/>
        <v>35556.996119469819</v>
      </c>
      <c r="X189" s="6" t="str">
        <f t="shared" si="55"/>
        <v>n/a</v>
      </c>
      <c r="Y189" s="16">
        <f t="shared" si="56"/>
        <v>0.41431873324644219</v>
      </c>
      <c r="Z189" s="16">
        <f t="shared" si="57"/>
        <v>0.22652731163316198</v>
      </c>
      <c r="AA189" s="16">
        <f t="shared" si="58"/>
        <v>0.24849014056761823</v>
      </c>
      <c r="AB189" s="16">
        <f t="shared" si="59"/>
        <v>0.11066381455277767</v>
      </c>
      <c r="AC189" s="18" t="e">
        <f t="shared" si="60"/>
        <v>#VALUE!</v>
      </c>
      <c r="AD189" s="16">
        <f t="shared" si="61"/>
        <v>0.57804121545866505</v>
      </c>
      <c r="AE189" s="16">
        <f t="shared" si="62"/>
        <v>0.17279485496478542</v>
      </c>
      <c r="AF189" s="16">
        <f t="shared" si="63"/>
        <v>0.20792561212420563</v>
      </c>
      <c r="AG189" s="16">
        <f t="shared" si="64"/>
        <v>4.1238317452343756E-2</v>
      </c>
      <c r="AH189" s="16" t="e">
        <f t="shared" si="65"/>
        <v>#VALUE!</v>
      </c>
    </row>
    <row r="190" spans="1:34" x14ac:dyDescent="0.25">
      <c r="A190" s="12">
        <v>23848</v>
      </c>
      <c r="B190" s="13">
        <v>44.5109967</v>
      </c>
      <c r="C190" s="12">
        <v>89.461978299999998</v>
      </c>
      <c r="D190" s="14">
        <v>4</v>
      </c>
      <c r="E190" s="13" t="s">
        <v>42</v>
      </c>
      <c r="F190" s="13">
        <v>44.482550000000003</v>
      </c>
      <c r="G190" s="12">
        <v>89.480040000000002</v>
      </c>
      <c r="H190" s="13" t="s">
        <v>39</v>
      </c>
      <c r="I190" s="13">
        <v>44.514279999999999</v>
      </c>
      <c r="J190" s="12">
        <v>89.538489999999996</v>
      </c>
      <c r="K190" s="13" t="s">
        <v>40</v>
      </c>
      <c r="L190" s="13">
        <v>44.550359999999998</v>
      </c>
      <c r="M190" s="12">
        <v>89.48554</v>
      </c>
      <c r="N190" s="13" t="s">
        <v>41</v>
      </c>
      <c r="O190" s="13">
        <v>44.514789999999998</v>
      </c>
      <c r="P190" s="12">
        <v>89.33596</v>
      </c>
      <c r="T190" s="5">
        <f t="shared" si="51"/>
        <v>11392.397836808464</v>
      </c>
      <c r="U190" s="5">
        <f t="shared" si="52"/>
        <v>19940.253874845981</v>
      </c>
      <c r="V190" s="5">
        <f t="shared" si="53"/>
        <v>15612.93463616915</v>
      </c>
      <c r="W190" s="5">
        <f t="shared" si="54"/>
        <v>32812.261175105792</v>
      </c>
      <c r="X190" s="6" t="str">
        <f t="shared" si="55"/>
        <v>n/a</v>
      </c>
      <c r="Y190" s="16">
        <f t="shared" si="56"/>
        <v>0.37761456470642307</v>
      </c>
      <c r="Z190" s="16">
        <f t="shared" si="57"/>
        <v>0.2157412526996752</v>
      </c>
      <c r="AA190" s="16">
        <f t="shared" si="58"/>
        <v>0.27553662718493027</v>
      </c>
      <c r="AB190" s="16">
        <f t="shared" si="59"/>
        <v>0.13110755540897143</v>
      </c>
      <c r="AC190" s="18" t="e">
        <f t="shared" si="60"/>
        <v>#VALUE!</v>
      </c>
      <c r="AD190" s="16">
        <f t="shared" si="61"/>
        <v>0.5052061683129272</v>
      </c>
      <c r="AE190" s="16">
        <f t="shared" si="62"/>
        <v>0.16490641980815648</v>
      </c>
      <c r="AF190" s="16">
        <f t="shared" si="63"/>
        <v>0.2689861052741751</v>
      </c>
      <c r="AG190" s="16">
        <f t="shared" si="64"/>
        <v>6.090130660474137E-2</v>
      </c>
      <c r="AH190" s="16" t="e">
        <f t="shared" si="65"/>
        <v>#VALUE!</v>
      </c>
    </row>
    <row r="191" spans="1:34" x14ac:dyDescent="0.25">
      <c r="A191" s="12">
        <v>23851</v>
      </c>
      <c r="B191" s="13">
        <v>44.448758499999997</v>
      </c>
      <c r="C191" s="12">
        <v>89.495876100000004</v>
      </c>
      <c r="D191" s="14">
        <v>5</v>
      </c>
      <c r="E191" s="13" t="s">
        <v>42</v>
      </c>
      <c r="F191" s="13">
        <v>44.468859999999999</v>
      </c>
      <c r="G191" s="12">
        <v>89.497669999999999</v>
      </c>
      <c r="H191" s="13" t="s">
        <v>39</v>
      </c>
      <c r="I191" s="13">
        <v>44.464869999999998</v>
      </c>
      <c r="J191" s="12">
        <v>89.553190000000001</v>
      </c>
      <c r="K191" s="13" t="s">
        <v>50</v>
      </c>
      <c r="L191" s="13">
        <v>44.42942</v>
      </c>
      <c r="M191" s="12">
        <v>89.569100000000006</v>
      </c>
      <c r="N191" s="13" t="s">
        <v>44</v>
      </c>
      <c r="O191" s="13">
        <v>44.400080000000003</v>
      </c>
      <c r="P191" s="12">
        <v>89.480590000000007</v>
      </c>
      <c r="Q191" s="13" t="s">
        <v>43</v>
      </c>
      <c r="R191" s="13">
        <v>44.436529999999998</v>
      </c>
      <c r="S191" s="12">
        <v>89.376040000000003</v>
      </c>
      <c r="T191" s="5">
        <f t="shared" si="51"/>
        <v>7348.1451228167043</v>
      </c>
      <c r="U191" s="5">
        <f t="shared" si="52"/>
        <v>16039.991374257399</v>
      </c>
      <c r="V191" s="5">
        <f t="shared" si="53"/>
        <v>20335.926363909675</v>
      </c>
      <c r="W191" s="5">
        <f t="shared" si="54"/>
        <v>18199.644740139607</v>
      </c>
      <c r="X191" s="6">
        <f t="shared" si="55"/>
        <v>31529.548154481694</v>
      </c>
      <c r="Y191" s="16">
        <f t="shared" si="56"/>
        <v>0.40712300943572521</v>
      </c>
      <c r="Z191" s="16">
        <f t="shared" si="57"/>
        <v>0.18650876340075867</v>
      </c>
      <c r="AA191" s="16">
        <f t="shared" si="58"/>
        <v>0.14710905727318116</v>
      </c>
      <c r="AB191" s="16">
        <f t="shared" si="59"/>
        <v>0.16437677761772812</v>
      </c>
      <c r="AC191" s="18">
        <f t="shared" si="60"/>
        <v>9.4882392272606975E-2</v>
      </c>
      <c r="AD191" s="16">
        <f t="shared" si="61"/>
        <v>0.64194556206517128</v>
      </c>
      <c r="AE191" s="16">
        <f t="shared" si="62"/>
        <v>0.1347241306092469</v>
      </c>
      <c r="AF191" s="16">
        <f t="shared" si="63"/>
        <v>8.3815768088333659E-2</v>
      </c>
      <c r="AG191" s="16">
        <f t="shared" si="64"/>
        <v>0.10464725223455065</v>
      </c>
      <c r="AH191" s="16">
        <f t="shared" si="65"/>
        <v>3.4867287002697506E-2</v>
      </c>
    </row>
    <row r="192" spans="1:34" x14ac:dyDescent="0.25">
      <c r="A192" s="12">
        <v>23853</v>
      </c>
      <c r="B192" s="13">
        <v>44.419096000000003</v>
      </c>
      <c r="C192" s="12">
        <v>89.688249999999996</v>
      </c>
      <c r="D192" s="14">
        <v>0</v>
      </c>
      <c r="T192" s="5">
        <f t="shared" si="51"/>
        <v>32751917.105103828</v>
      </c>
      <c r="U192" s="5">
        <f t="shared" si="52"/>
        <v>32751917.105103828</v>
      </c>
      <c r="V192" s="5" t="str">
        <f t="shared" si="53"/>
        <v>n/a</v>
      </c>
      <c r="W192" s="5" t="str">
        <f t="shared" si="54"/>
        <v>n/a</v>
      </c>
      <c r="X192" s="6" t="str">
        <f t="shared" si="55"/>
        <v>n/a</v>
      </c>
      <c r="Y192" s="16" t="str">
        <f t="shared" si="56"/>
        <v>error</v>
      </c>
      <c r="Z192" s="16" t="str">
        <f t="shared" si="57"/>
        <v>error</v>
      </c>
      <c r="AA192" s="16" t="str">
        <f t="shared" si="58"/>
        <v>error</v>
      </c>
      <c r="AB192" s="16" t="str">
        <f t="shared" si="59"/>
        <v>error</v>
      </c>
      <c r="AC192" s="18" t="str">
        <f t="shared" si="60"/>
        <v>error</v>
      </c>
      <c r="AD192" s="16" t="str">
        <f t="shared" si="61"/>
        <v>error</v>
      </c>
      <c r="AE192" s="16" t="str">
        <f t="shared" si="62"/>
        <v>error</v>
      </c>
      <c r="AF192" s="16" t="str">
        <f t="shared" si="63"/>
        <v>error</v>
      </c>
      <c r="AG192" s="16" t="str">
        <f t="shared" si="64"/>
        <v>error</v>
      </c>
      <c r="AH192" s="16" t="str">
        <f t="shared" si="65"/>
        <v>error</v>
      </c>
    </row>
    <row r="193" spans="1:34" x14ac:dyDescent="0.25">
      <c r="A193" s="12">
        <v>23855</v>
      </c>
      <c r="B193" s="13">
        <v>44.428114200000003</v>
      </c>
      <c r="C193" s="12">
        <v>89.611835999999997</v>
      </c>
      <c r="D193" s="13">
        <v>0</v>
      </c>
      <c r="T193" s="5">
        <f t="shared" si="51"/>
        <v>32732022.177443013</v>
      </c>
      <c r="U193" s="5">
        <f t="shared" si="52"/>
        <v>32732022.177443013</v>
      </c>
      <c r="V193" s="5" t="str">
        <f t="shared" si="53"/>
        <v>n/a</v>
      </c>
      <c r="W193" s="5" t="str">
        <f t="shared" si="54"/>
        <v>n/a</v>
      </c>
      <c r="X193" s="6" t="str">
        <f t="shared" si="55"/>
        <v>n/a</v>
      </c>
      <c r="Y193" s="16" t="str">
        <f t="shared" si="56"/>
        <v>error</v>
      </c>
      <c r="Z193" s="16" t="str">
        <f t="shared" si="57"/>
        <v>error</v>
      </c>
      <c r="AA193" s="16" t="str">
        <f t="shared" si="58"/>
        <v>error</v>
      </c>
      <c r="AB193" s="16" t="str">
        <f t="shared" si="59"/>
        <v>error</v>
      </c>
      <c r="AC193" s="18" t="str">
        <f t="shared" si="60"/>
        <v>error</v>
      </c>
      <c r="AD193" s="16" t="str">
        <f t="shared" si="61"/>
        <v>error</v>
      </c>
      <c r="AE193" s="16" t="str">
        <f t="shared" si="62"/>
        <v>error</v>
      </c>
      <c r="AF193" s="16" t="str">
        <f t="shared" si="63"/>
        <v>error</v>
      </c>
      <c r="AG193" s="16" t="str">
        <f t="shared" si="64"/>
        <v>error</v>
      </c>
      <c r="AH193" s="16" t="str">
        <f t="shared" si="65"/>
        <v>error</v>
      </c>
    </row>
    <row r="194" spans="1:34" x14ac:dyDescent="0.25">
      <c r="A194" s="12">
        <v>23858</v>
      </c>
      <c r="B194" s="13">
        <v>44.5455167</v>
      </c>
      <c r="C194" s="12">
        <v>89.494233300000005</v>
      </c>
      <c r="D194" s="13">
        <v>0</v>
      </c>
      <c r="T194" s="5">
        <f t="shared" si="51"/>
        <v>32701649.307900291</v>
      </c>
      <c r="U194" s="5">
        <f t="shared" si="52"/>
        <v>32701649.307900291</v>
      </c>
      <c r="V194" s="5" t="str">
        <f t="shared" si="53"/>
        <v>n/a</v>
      </c>
      <c r="W194" s="5" t="str">
        <f t="shared" si="54"/>
        <v>n/a</v>
      </c>
      <c r="X194" s="6" t="str">
        <f t="shared" si="55"/>
        <v>n/a</v>
      </c>
      <c r="Y194" s="16" t="str">
        <f t="shared" si="56"/>
        <v>error</v>
      </c>
      <c r="Z194" s="16" t="str">
        <f t="shared" si="57"/>
        <v>error</v>
      </c>
      <c r="AA194" s="16" t="str">
        <f t="shared" si="58"/>
        <v>error</v>
      </c>
      <c r="AB194" s="16" t="str">
        <f t="shared" si="59"/>
        <v>error</v>
      </c>
      <c r="AC194" s="18" t="str">
        <f t="shared" si="60"/>
        <v>error</v>
      </c>
      <c r="AD194" s="16" t="str">
        <f t="shared" si="61"/>
        <v>error</v>
      </c>
      <c r="AE194" s="16" t="str">
        <f t="shared" si="62"/>
        <v>error</v>
      </c>
      <c r="AF194" s="16" t="str">
        <f t="shared" si="63"/>
        <v>error</v>
      </c>
      <c r="AG194" s="16" t="str">
        <f t="shared" si="64"/>
        <v>error</v>
      </c>
      <c r="AH194" s="16" t="str">
        <f t="shared" si="65"/>
        <v>error</v>
      </c>
    </row>
    <row r="195" spans="1:34" x14ac:dyDescent="0.25">
      <c r="A195" s="12">
        <v>23864</v>
      </c>
      <c r="B195" s="13">
        <v>44.425908</v>
      </c>
      <c r="C195" s="12">
        <v>89.446371999999997</v>
      </c>
      <c r="D195" s="14">
        <v>5</v>
      </c>
      <c r="E195" s="13" t="s">
        <v>42</v>
      </c>
      <c r="F195" s="13">
        <v>44.467849999999999</v>
      </c>
      <c r="G195" s="12">
        <v>89.487679999999997</v>
      </c>
      <c r="H195" s="13" t="s">
        <v>44</v>
      </c>
      <c r="I195" s="13">
        <v>44.400129999999997</v>
      </c>
      <c r="J195" s="12">
        <v>89.480549999999994</v>
      </c>
      <c r="K195" s="13" t="s">
        <v>51</v>
      </c>
      <c r="L195" s="13">
        <v>44.37968</v>
      </c>
      <c r="M195" s="12">
        <v>89.436890000000005</v>
      </c>
      <c r="N195" s="13" t="s">
        <v>46</v>
      </c>
      <c r="O195" s="13">
        <v>44.382379999999998</v>
      </c>
      <c r="P195" s="12">
        <v>89.367450000000005</v>
      </c>
      <c r="Q195" s="13" t="s">
        <v>43</v>
      </c>
      <c r="R195" s="13">
        <v>44.436579999999999</v>
      </c>
      <c r="S195" s="12">
        <v>89.376000000000005</v>
      </c>
      <c r="T195" s="5">
        <f t="shared" si="51"/>
        <v>18704.538368363228</v>
      </c>
      <c r="U195" s="5">
        <f t="shared" si="52"/>
        <v>12952.340105715019</v>
      </c>
      <c r="V195" s="5">
        <f t="shared" si="53"/>
        <v>17044.679548595373</v>
      </c>
      <c r="W195" s="5">
        <f t="shared" si="54"/>
        <v>25985.831298146302</v>
      </c>
      <c r="X195" s="6">
        <f t="shared" si="55"/>
        <v>18741.423387657345</v>
      </c>
      <c r="Y195" s="16">
        <f t="shared" si="56"/>
        <v>0.19013874928436547</v>
      </c>
      <c r="Z195" s="16">
        <f t="shared" si="57"/>
        <v>0.27458030767218494</v>
      </c>
      <c r="AA195" s="16">
        <f t="shared" si="58"/>
        <v>0.2086549953117243</v>
      </c>
      <c r="AB195" s="16">
        <f t="shared" si="59"/>
        <v>0.13686141076255312</v>
      </c>
      <c r="AC195" s="18">
        <f t="shared" si="60"/>
        <v>0.18976453696917217</v>
      </c>
      <c r="AD195" s="16">
        <f t="shared" si="61"/>
        <v>0.17229899615707181</v>
      </c>
      <c r="AE195" s="16">
        <f t="shared" si="62"/>
        <v>0.35931906106696282</v>
      </c>
      <c r="AF195" s="16">
        <f t="shared" si="63"/>
        <v>0.20749089994280948</v>
      </c>
      <c r="AG195" s="16">
        <f t="shared" si="64"/>
        <v>8.9269583037831834E-2</v>
      </c>
      <c r="AH195" s="16">
        <f t="shared" si="65"/>
        <v>0.17162145979532417</v>
      </c>
    </row>
    <row r="196" spans="1:34" x14ac:dyDescent="0.25">
      <c r="A196" s="12">
        <v>23865</v>
      </c>
      <c r="B196" s="13">
        <v>44.421295000000001</v>
      </c>
      <c r="C196" s="12">
        <v>89.513731000000007</v>
      </c>
      <c r="D196" s="14">
        <v>3</v>
      </c>
      <c r="E196" s="13" t="s">
        <v>42</v>
      </c>
      <c r="F196" s="13">
        <v>44.468649999999997</v>
      </c>
      <c r="G196" s="12">
        <v>89.498069999999998</v>
      </c>
      <c r="H196" s="13" t="s">
        <v>44</v>
      </c>
      <c r="I196" s="13">
        <v>44.396560000000001</v>
      </c>
      <c r="J196" s="12">
        <v>89.494640000000004</v>
      </c>
      <c r="K196" s="13" t="s">
        <v>50</v>
      </c>
      <c r="L196" s="13">
        <v>44.41048</v>
      </c>
      <c r="M196" s="12">
        <v>89.549909999999997</v>
      </c>
      <c r="T196" s="5">
        <f t="shared" si="51"/>
        <v>17750.699948234793</v>
      </c>
      <c r="U196" s="5">
        <f t="shared" si="52"/>
        <v>10304.348983010717</v>
      </c>
      <c r="V196" s="5">
        <f t="shared" si="53"/>
        <v>10219.75461101739</v>
      </c>
      <c r="W196" s="5" t="str">
        <f t="shared" si="54"/>
        <v>n/a</v>
      </c>
      <c r="X196" s="6" t="str">
        <f t="shared" si="55"/>
        <v>n/a</v>
      </c>
      <c r="Y196" s="16">
        <f t="shared" si="56"/>
        <v>0.22423825506054482</v>
      </c>
      <c r="Z196" s="16">
        <f t="shared" si="57"/>
        <v>0.38628214058531307</v>
      </c>
      <c r="AA196" s="16">
        <f t="shared" si="58"/>
        <v>0.38947960435414219</v>
      </c>
      <c r="AB196" s="16" t="e">
        <f t="shared" si="59"/>
        <v>#VALUE!</v>
      </c>
      <c r="AC196" s="18" t="e">
        <f t="shared" si="60"/>
        <v>#VALUE!</v>
      </c>
      <c r="AD196" s="16">
        <f t="shared" si="61"/>
        <v>0.14317789454484714</v>
      </c>
      <c r="AE196" s="16">
        <f t="shared" si="62"/>
        <v>0.42487954177777071</v>
      </c>
      <c r="AF196" s="16">
        <f t="shared" si="63"/>
        <v>0.43194256367738215</v>
      </c>
      <c r="AG196" s="16" t="e">
        <f t="shared" si="64"/>
        <v>#VALUE!</v>
      </c>
      <c r="AH196" s="16" t="e">
        <f t="shared" si="65"/>
        <v>#VALUE!</v>
      </c>
    </row>
    <row r="197" spans="1:34" x14ac:dyDescent="0.25">
      <c r="A197" s="12">
        <v>23866</v>
      </c>
      <c r="B197" s="13">
        <v>44.412714999999999</v>
      </c>
      <c r="C197" s="12">
        <v>89.446856999999994</v>
      </c>
      <c r="D197" s="14">
        <v>5</v>
      </c>
      <c r="E197" s="13" t="s">
        <v>42</v>
      </c>
      <c r="F197" s="13">
        <v>44.468240000000002</v>
      </c>
      <c r="G197" s="12">
        <v>89.487009999999998</v>
      </c>
      <c r="H197" s="13" t="s">
        <v>44</v>
      </c>
      <c r="I197" s="13">
        <v>44.40052</v>
      </c>
      <c r="J197" s="12">
        <v>89.480500000000006</v>
      </c>
      <c r="K197" s="13" t="s">
        <v>51</v>
      </c>
      <c r="L197" s="13">
        <v>44.379219999999997</v>
      </c>
      <c r="M197" s="12">
        <v>89.439750000000004</v>
      </c>
      <c r="N197" s="13" t="s">
        <v>46</v>
      </c>
      <c r="O197" s="13">
        <v>44.381990000000002</v>
      </c>
      <c r="P197" s="12">
        <v>89.365979999999993</v>
      </c>
      <c r="Q197" s="13" t="s">
        <v>43</v>
      </c>
      <c r="R197" s="13">
        <v>44.436630000000001</v>
      </c>
      <c r="S197" s="12">
        <v>89.375540000000001</v>
      </c>
      <c r="T197" s="5">
        <f t="shared" si="51"/>
        <v>22796.858503987318</v>
      </c>
      <c r="U197" s="5">
        <f t="shared" si="52"/>
        <v>9832.1259220787815</v>
      </c>
      <c r="V197" s="5">
        <f t="shared" si="53"/>
        <v>12359.036543218454</v>
      </c>
      <c r="W197" s="5">
        <f t="shared" si="54"/>
        <v>23876.053705777958</v>
      </c>
      <c r="X197" s="6">
        <f t="shared" si="55"/>
        <v>20527.168502114371</v>
      </c>
      <c r="Y197" s="16">
        <f t="shared" si="56"/>
        <v>0.13834072818053458</v>
      </c>
      <c r="Z197" s="16">
        <f t="shared" si="57"/>
        <v>0.32075809755327378</v>
      </c>
      <c r="AA197" s="16">
        <f t="shared" si="58"/>
        <v>0.25517636384048947</v>
      </c>
      <c r="AB197" s="16">
        <f t="shared" si="59"/>
        <v>0.13208774132163306</v>
      </c>
      <c r="AC197" s="18">
        <f t="shared" si="60"/>
        <v>0.15363706910406916</v>
      </c>
      <c r="AD197" s="16">
        <f t="shared" si="61"/>
        <v>8.3869243081258413E-2</v>
      </c>
      <c r="AE197" s="16">
        <f t="shared" si="62"/>
        <v>0.4508767768248586</v>
      </c>
      <c r="AF197" s="16">
        <f t="shared" si="63"/>
        <v>0.2853536934088271</v>
      </c>
      <c r="AG197" s="16">
        <f t="shared" si="64"/>
        <v>7.6458827996372117E-2</v>
      </c>
      <c r="AH197" s="16">
        <f t="shared" si="65"/>
        <v>0.10344145868868376</v>
      </c>
    </row>
    <row r="198" spans="1:34" x14ac:dyDescent="0.25">
      <c r="A198" s="12">
        <v>23867</v>
      </c>
      <c r="B198" s="13">
        <v>44.5628156</v>
      </c>
      <c r="C198" s="12">
        <v>89.4487697</v>
      </c>
      <c r="D198" s="14">
        <v>4</v>
      </c>
      <c r="E198" s="13" t="s">
        <v>42</v>
      </c>
      <c r="F198" s="13">
        <v>44.481119999999997</v>
      </c>
      <c r="G198" s="12">
        <v>89.479669999999999</v>
      </c>
      <c r="H198" s="13" t="s">
        <v>39</v>
      </c>
      <c r="I198" s="13">
        <v>44.566249999999997</v>
      </c>
      <c r="J198" s="12">
        <v>89.504400000000004</v>
      </c>
      <c r="K198" s="13" t="s">
        <v>40</v>
      </c>
      <c r="L198" s="13">
        <v>44.554780000000001</v>
      </c>
      <c r="M198" s="13">
        <v>89.461330000000004</v>
      </c>
      <c r="N198" s="13" t="s">
        <v>41</v>
      </c>
      <c r="O198" s="13">
        <v>44.570529999999998</v>
      </c>
      <c r="P198" s="12">
        <v>89.378259999999997</v>
      </c>
      <c r="T198" s="5">
        <f t="shared" si="51"/>
        <v>30868.313567201301</v>
      </c>
      <c r="U198" s="5">
        <f t="shared" si="52"/>
        <v>14513.314401303858</v>
      </c>
      <c r="V198" s="5">
        <f t="shared" si="53"/>
        <v>4387.8681615836686</v>
      </c>
      <c r="W198" s="5">
        <f t="shared" si="54"/>
        <v>18540.671045019331</v>
      </c>
      <c r="X198" s="6" t="str">
        <f t="shared" si="55"/>
        <v>n/a</v>
      </c>
      <c r="Y198" s="16">
        <f t="shared" si="56"/>
        <v>8.4554323864015457E-2</v>
      </c>
      <c r="Z198" s="16">
        <f t="shared" si="57"/>
        <v>0.17983827197064214</v>
      </c>
      <c r="AA198" s="16">
        <f t="shared" si="58"/>
        <v>0.59483313681765282</v>
      </c>
      <c r="AB198" s="16">
        <f t="shared" si="59"/>
        <v>0.14077426734768972</v>
      </c>
      <c r="AC198" s="18" t="e">
        <f t="shared" si="60"/>
        <v>#VALUE!</v>
      </c>
      <c r="AD198" s="16">
        <f t="shared" si="61"/>
        <v>1.7305316855214685E-2</v>
      </c>
      <c r="AE198" s="16">
        <f t="shared" si="62"/>
        <v>7.8283846210845484E-2</v>
      </c>
      <c r="AF198" s="16">
        <f t="shared" si="63"/>
        <v>0.85644252173898139</v>
      </c>
      <c r="AG198" s="16">
        <f t="shared" si="64"/>
        <v>4.7968315194958387E-2</v>
      </c>
      <c r="AH198" s="16" t="e">
        <f t="shared" si="65"/>
        <v>#VALUE!</v>
      </c>
    </row>
    <row r="199" spans="1:34" x14ac:dyDescent="0.25">
      <c r="A199" s="12">
        <v>23868</v>
      </c>
      <c r="B199" s="13">
        <v>44.557575</v>
      </c>
      <c r="C199" s="12">
        <v>89.450743000000003</v>
      </c>
      <c r="D199" s="14">
        <v>4</v>
      </c>
      <c r="E199" s="13" t="s">
        <v>42</v>
      </c>
      <c r="F199" s="13">
        <v>44.481119999999997</v>
      </c>
      <c r="G199" s="12">
        <v>89.479669999999999</v>
      </c>
      <c r="H199" s="13" t="s">
        <v>39</v>
      </c>
      <c r="I199" s="13">
        <v>44.566249999999997</v>
      </c>
      <c r="J199" s="12">
        <v>89.504400000000004</v>
      </c>
      <c r="K199" s="13" t="s">
        <v>40</v>
      </c>
      <c r="L199" s="13">
        <v>44.554780000000001</v>
      </c>
      <c r="M199" s="13">
        <v>89.461330000000004</v>
      </c>
      <c r="N199" s="13" t="s">
        <v>41</v>
      </c>
      <c r="O199" s="13">
        <v>44.570529999999998</v>
      </c>
      <c r="P199" s="12">
        <v>89.378259999999997</v>
      </c>
      <c r="T199" s="5">
        <f t="shared" si="51"/>
        <v>28888.866825175308</v>
      </c>
      <c r="U199" s="5">
        <f t="shared" si="52"/>
        <v>14301.428198574551</v>
      </c>
      <c r="V199" s="5">
        <f t="shared" si="53"/>
        <v>2934.9293558386917</v>
      </c>
      <c r="W199" s="5">
        <f t="shared" si="54"/>
        <v>19423.315701212876</v>
      </c>
      <c r="X199" s="6" t="str">
        <f t="shared" si="55"/>
        <v>n/a</v>
      </c>
      <c r="Y199" s="16">
        <f t="shared" si="56"/>
        <v>6.9684227170943497E-2</v>
      </c>
      <c r="Z199" s="16">
        <f t="shared" si="57"/>
        <v>0.14076205051725521</v>
      </c>
      <c r="AA199" s="16">
        <f t="shared" si="58"/>
        <v>0.68591032848945077</v>
      </c>
      <c r="AB199" s="16">
        <f t="shared" si="59"/>
        <v>0.10364339382235048</v>
      </c>
      <c r="AC199" s="18" t="e">
        <f t="shared" si="60"/>
        <v>#VALUE!</v>
      </c>
      <c r="AD199" s="16">
        <f t="shared" si="61"/>
        <v>9.5988093054498683E-3</v>
      </c>
      <c r="AE199" s="16">
        <f t="shared" si="62"/>
        <v>3.9166932313257928E-2</v>
      </c>
      <c r="AF199" s="16">
        <f t="shared" si="63"/>
        <v>0.93000026687562043</v>
      </c>
      <c r="AG199" s="16">
        <f t="shared" si="64"/>
        <v>2.1233991505671748E-2</v>
      </c>
      <c r="AH199" s="16" t="e">
        <f t="shared" si="65"/>
        <v>#VALUE!</v>
      </c>
    </row>
    <row r="200" spans="1:34" x14ac:dyDescent="0.25">
      <c r="A200" s="12">
        <v>23869</v>
      </c>
      <c r="B200" s="13">
        <v>44.559607999999997</v>
      </c>
      <c r="C200" s="12">
        <v>89.440618000000001</v>
      </c>
      <c r="D200" s="14">
        <v>4</v>
      </c>
      <c r="E200" s="13" t="s">
        <v>42</v>
      </c>
      <c r="F200" s="13">
        <v>44.481119999999997</v>
      </c>
      <c r="G200" s="12">
        <v>89.479669999999999</v>
      </c>
      <c r="H200" s="13" t="s">
        <v>39</v>
      </c>
      <c r="I200" s="13">
        <v>44.566249999999997</v>
      </c>
      <c r="J200" s="12">
        <v>89.504400000000004</v>
      </c>
      <c r="K200" s="13" t="s">
        <v>40</v>
      </c>
      <c r="L200" s="13">
        <v>44.554780000000001</v>
      </c>
      <c r="M200" s="13">
        <v>89.461330000000004</v>
      </c>
      <c r="N200" s="13" t="s">
        <v>41</v>
      </c>
      <c r="O200" s="13">
        <v>44.570529999999998</v>
      </c>
      <c r="P200" s="12">
        <v>89.378259999999997</v>
      </c>
      <c r="T200" s="5">
        <f t="shared" si="51"/>
        <v>30381.830716744127</v>
      </c>
      <c r="U200" s="5">
        <f t="shared" si="52"/>
        <v>16754.478857234146</v>
      </c>
      <c r="V200" s="5">
        <f t="shared" si="53"/>
        <v>5664.8068964814001</v>
      </c>
      <c r="W200" s="5">
        <f t="shared" si="54"/>
        <v>16690.199660239621</v>
      </c>
      <c r="X200" s="6" t="str">
        <f t="shared" si="55"/>
        <v>n/a</v>
      </c>
      <c r="Y200" s="16">
        <f t="shared" si="56"/>
        <v>0.10003045876406846</v>
      </c>
      <c r="Z200" s="16">
        <f t="shared" si="57"/>
        <v>0.18139080842708361</v>
      </c>
      <c r="AA200" s="16">
        <f t="shared" si="58"/>
        <v>0.53648933145026945</v>
      </c>
      <c r="AB200" s="16">
        <f t="shared" si="59"/>
        <v>0.18208940135857846</v>
      </c>
      <c r="AC200" s="18" t="e">
        <f t="shared" si="60"/>
        <v>#VALUE!</v>
      </c>
      <c r="AD200" s="16">
        <f t="shared" si="61"/>
        <v>2.7497872220120134E-2</v>
      </c>
      <c r="AE200" s="16">
        <f t="shared" si="62"/>
        <v>9.0420128749630749E-2</v>
      </c>
      <c r="AF200" s="16">
        <f t="shared" si="63"/>
        <v>0.79096405652627522</v>
      </c>
      <c r="AG200" s="16">
        <f t="shared" si="64"/>
        <v>9.1117942503973912E-2</v>
      </c>
      <c r="AH200" s="16" t="e">
        <f t="shared" si="65"/>
        <v>#VALUE!</v>
      </c>
    </row>
    <row r="201" spans="1:34" x14ac:dyDescent="0.25">
      <c r="A201" s="12">
        <v>23870</v>
      </c>
      <c r="B201" s="13">
        <v>44.556730000000002</v>
      </c>
      <c r="C201" s="12">
        <v>89.440357000000006</v>
      </c>
      <c r="D201" s="14">
        <v>4</v>
      </c>
      <c r="E201" s="13" t="s">
        <v>42</v>
      </c>
      <c r="F201" s="13">
        <v>44.481119999999997</v>
      </c>
      <c r="G201" s="12">
        <v>89.479669999999999</v>
      </c>
      <c r="H201" s="13" t="s">
        <v>39</v>
      </c>
      <c r="I201" s="13">
        <v>44.566249999999997</v>
      </c>
      <c r="J201" s="12">
        <v>89.504400000000004</v>
      </c>
      <c r="K201" s="13" t="s">
        <v>40</v>
      </c>
      <c r="L201" s="13">
        <v>44.554780000000001</v>
      </c>
      <c r="M201" s="13">
        <v>89.461330000000004</v>
      </c>
      <c r="N201" s="13" t="s">
        <v>41</v>
      </c>
      <c r="O201" s="13">
        <v>44.570529999999998</v>
      </c>
      <c r="P201" s="12">
        <v>89.378259999999997</v>
      </c>
      <c r="T201" s="5">
        <f t="shared" si="51"/>
        <v>29418.034444590488</v>
      </c>
      <c r="U201" s="5">
        <f t="shared" si="52"/>
        <v>17005.020099950314</v>
      </c>
      <c r="V201" s="5">
        <f t="shared" si="53"/>
        <v>5498.2286410156776</v>
      </c>
      <c r="W201" s="5">
        <f t="shared" si="54"/>
        <v>16907.114537998688</v>
      </c>
      <c r="X201" s="6" t="str">
        <f t="shared" si="55"/>
        <v>n/a</v>
      </c>
      <c r="Y201" s="16">
        <f t="shared" si="56"/>
        <v>0.10182886586468223</v>
      </c>
      <c r="Z201" s="16">
        <f t="shared" si="57"/>
        <v>0.17616004367260696</v>
      </c>
      <c r="AA201" s="16">
        <f t="shared" si="58"/>
        <v>0.54483094084414685</v>
      </c>
      <c r="AB201" s="16">
        <f t="shared" si="59"/>
        <v>0.17718014961856401</v>
      </c>
      <c r="AC201" s="18" t="e">
        <f t="shared" si="60"/>
        <v>#VALUE!</v>
      </c>
      <c r="AD201" s="16">
        <f t="shared" si="61"/>
        <v>2.8052313350297248E-2</v>
      </c>
      <c r="AE201" s="16">
        <f t="shared" si="62"/>
        <v>8.395405673267041E-2</v>
      </c>
      <c r="AF201" s="16">
        <f t="shared" si="63"/>
        <v>0.80306443718628961</v>
      </c>
      <c r="AG201" s="16">
        <f t="shared" si="64"/>
        <v>8.4929192730742745E-2</v>
      </c>
      <c r="AH201" s="16" t="e">
        <f t="shared" si="65"/>
        <v>#VALUE!</v>
      </c>
    </row>
    <row r="202" spans="1:34" x14ac:dyDescent="0.25">
      <c r="A202" s="12">
        <v>23872</v>
      </c>
      <c r="B202" s="13">
        <v>44.442689999999999</v>
      </c>
      <c r="C202" s="12">
        <v>89.512598999999994</v>
      </c>
      <c r="D202" s="13">
        <v>0</v>
      </c>
      <c r="T202" s="5">
        <f t="shared" si="51"/>
        <v>32706200.650351606</v>
      </c>
      <c r="U202" s="5">
        <f t="shared" si="52"/>
        <v>32706200.650351606</v>
      </c>
      <c r="V202" s="5" t="str">
        <f t="shared" si="53"/>
        <v>n/a</v>
      </c>
      <c r="W202" s="5" t="str">
        <f t="shared" si="54"/>
        <v>n/a</v>
      </c>
      <c r="X202" s="6" t="str">
        <f t="shared" si="55"/>
        <v>n/a</v>
      </c>
      <c r="Y202" s="16" t="str">
        <f t="shared" si="56"/>
        <v>error</v>
      </c>
      <c r="Z202" s="16" t="str">
        <f t="shared" si="57"/>
        <v>error</v>
      </c>
      <c r="AA202" s="16" t="str">
        <f t="shared" si="58"/>
        <v>error</v>
      </c>
      <c r="AB202" s="16" t="str">
        <f t="shared" si="59"/>
        <v>error</v>
      </c>
      <c r="AC202" s="18" t="str">
        <f t="shared" si="60"/>
        <v>error</v>
      </c>
      <c r="AD202" s="16" t="str">
        <f t="shared" si="61"/>
        <v>error</v>
      </c>
      <c r="AE202" s="16" t="str">
        <f t="shared" si="62"/>
        <v>error</v>
      </c>
      <c r="AF202" s="16" t="str">
        <f t="shared" si="63"/>
        <v>error</v>
      </c>
      <c r="AG202" s="16" t="str">
        <f t="shared" si="64"/>
        <v>error</v>
      </c>
      <c r="AH202" s="16" t="str">
        <f t="shared" si="65"/>
        <v>error</v>
      </c>
    </row>
    <row r="203" spans="1:34" x14ac:dyDescent="0.25">
      <c r="A203" s="12">
        <v>23876</v>
      </c>
      <c r="B203" s="13">
        <v>44.483603000000002</v>
      </c>
      <c r="C203" s="12">
        <v>89.492086</v>
      </c>
      <c r="D203" s="14">
        <v>2</v>
      </c>
      <c r="E203" s="13" t="s">
        <v>42</v>
      </c>
      <c r="F203" s="13">
        <v>44.48254</v>
      </c>
      <c r="G203" s="12">
        <v>89.479870000000005</v>
      </c>
      <c r="H203" s="13" t="s">
        <v>39</v>
      </c>
      <c r="I203" s="13">
        <v>44.5</v>
      </c>
      <c r="J203" s="12">
        <v>89.545410000000004</v>
      </c>
      <c r="T203" s="5">
        <f t="shared" si="51"/>
        <v>3203.1223967634719</v>
      </c>
      <c r="U203" s="5">
        <f t="shared" si="52"/>
        <v>15111.376152967186</v>
      </c>
      <c r="V203" s="5" t="str">
        <f t="shared" si="53"/>
        <v>n/a</v>
      </c>
      <c r="W203" s="5" t="str">
        <f t="shared" si="54"/>
        <v>n/a</v>
      </c>
      <c r="X203" s="6" t="str">
        <f t="shared" si="55"/>
        <v>n/a</v>
      </c>
      <c r="Y203" s="16">
        <f t="shared" si="56"/>
        <v>0.82510455374654101</v>
      </c>
      <c r="Z203" s="16">
        <f t="shared" si="57"/>
        <v>0.17489544625345901</v>
      </c>
      <c r="AA203" s="16" t="e">
        <f t="shared" si="58"/>
        <v>#VALUE!</v>
      </c>
      <c r="AB203" s="16" t="e">
        <f t="shared" si="59"/>
        <v>#VALUE!</v>
      </c>
      <c r="AC203" s="18" t="e">
        <f t="shared" si="60"/>
        <v>#VALUE!</v>
      </c>
      <c r="AD203" s="16">
        <f t="shared" si="61"/>
        <v>0.95700165644873436</v>
      </c>
      <c r="AE203" s="16">
        <f t="shared" si="62"/>
        <v>4.2998343551265611E-2</v>
      </c>
      <c r="AF203" s="16" t="e">
        <f t="shared" si="63"/>
        <v>#VALUE!</v>
      </c>
      <c r="AG203" s="16" t="e">
        <f t="shared" si="64"/>
        <v>#VALUE!</v>
      </c>
      <c r="AH203" s="16" t="e">
        <f t="shared" si="65"/>
        <v>#VALUE!</v>
      </c>
    </row>
    <row r="204" spans="1:34" x14ac:dyDescent="0.25">
      <c r="A204" s="12">
        <v>23881</v>
      </c>
      <c r="B204" s="13">
        <v>44.501106700000001</v>
      </c>
      <c r="C204" s="12">
        <v>89.509276700000001</v>
      </c>
      <c r="D204" s="14">
        <v>2</v>
      </c>
      <c r="E204" s="13" t="s">
        <v>42</v>
      </c>
      <c r="F204" s="13">
        <v>44.48254</v>
      </c>
      <c r="G204" s="12">
        <v>89.479870000000005</v>
      </c>
      <c r="H204" s="13" t="s">
        <v>39</v>
      </c>
      <c r="I204" s="13">
        <v>44.5</v>
      </c>
      <c r="J204" s="12">
        <v>89.545410000000004</v>
      </c>
      <c r="T204" s="5">
        <f t="shared" si="51"/>
        <v>10219.763780862519</v>
      </c>
      <c r="U204" s="5">
        <f t="shared" si="52"/>
        <v>9410.5633629464282</v>
      </c>
      <c r="V204" s="5" t="str">
        <f t="shared" si="53"/>
        <v>n/a</v>
      </c>
      <c r="W204" s="5" t="str">
        <f t="shared" si="54"/>
        <v>n/a</v>
      </c>
      <c r="X204" s="6" t="str">
        <f t="shared" si="55"/>
        <v>n/a</v>
      </c>
      <c r="Y204" s="16">
        <f t="shared" si="56"/>
        <v>0.47938902362686053</v>
      </c>
      <c r="Z204" s="16">
        <f t="shared" si="57"/>
        <v>0.52061097637313958</v>
      </c>
      <c r="AA204" s="16" t="e">
        <f t="shared" si="58"/>
        <v>#VALUE!</v>
      </c>
      <c r="AB204" s="16" t="e">
        <f t="shared" si="59"/>
        <v>#VALUE!</v>
      </c>
      <c r="AC204" s="18" t="e">
        <f t="shared" si="60"/>
        <v>#VALUE!</v>
      </c>
      <c r="AD204" s="16">
        <f t="shared" si="61"/>
        <v>0.45884797480735356</v>
      </c>
      <c r="AE204" s="16">
        <f t="shared" si="62"/>
        <v>0.54115202519264649</v>
      </c>
      <c r="AF204" s="16" t="e">
        <f t="shared" si="63"/>
        <v>#VALUE!</v>
      </c>
      <c r="AG204" s="16" t="e">
        <f t="shared" si="64"/>
        <v>#VALUE!</v>
      </c>
      <c r="AH204" s="16" t="e">
        <f t="shared" si="65"/>
        <v>#VALUE!</v>
      </c>
    </row>
    <row r="205" spans="1:34" x14ac:dyDescent="0.25">
      <c r="A205" s="12">
        <v>23882</v>
      </c>
      <c r="B205" s="13">
        <v>44.388158300000001</v>
      </c>
      <c r="C205" s="12">
        <v>89.482473299999995</v>
      </c>
      <c r="D205" s="14">
        <v>0</v>
      </c>
      <c r="T205" s="5">
        <f t="shared" si="51"/>
        <v>32698228.544423021</v>
      </c>
      <c r="U205" s="5">
        <f t="shared" si="52"/>
        <v>32698228.544423021</v>
      </c>
      <c r="V205" s="5" t="str">
        <f t="shared" si="53"/>
        <v>n/a</v>
      </c>
      <c r="W205" s="5" t="str">
        <f t="shared" si="54"/>
        <v>n/a</v>
      </c>
      <c r="X205" s="6" t="str">
        <f t="shared" si="55"/>
        <v>n/a</v>
      </c>
      <c r="Y205" s="16" t="str">
        <f t="shared" si="56"/>
        <v>error</v>
      </c>
      <c r="Z205" s="16" t="str">
        <f t="shared" si="57"/>
        <v>error</v>
      </c>
      <c r="AA205" s="16" t="str">
        <f t="shared" si="58"/>
        <v>error</v>
      </c>
      <c r="AB205" s="16" t="str">
        <f t="shared" si="59"/>
        <v>error</v>
      </c>
      <c r="AC205" s="18" t="str">
        <f t="shared" si="60"/>
        <v>error</v>
      </c>
      <c r="AD205" s="16" t="str">
        <f t="shared" si="61"/>
        <v>error</v>
      </c>
      <c r="AE205" s="16" t="str">
        <f t="shared" si="62"/>
        <v>error</v>
      </c>
      <c r="AF205" s="16" t="str">
        <f t="shared" si="63"/>
        <v>error</v>
      </c>
      <c r="AG205" s="16" t="str">
        <f t="shared" si="64"/>
        <v>error</v>
      </c>
      <c r="AH205" s="16" t="str">
        <f t="shared" si="65"/>
        <v>error</v>
      </c>
    </row>
    <row r="206" spans="1:34" x14ac:dyDescent="0.25">
      <c r="A206" s="12">
        <v>23883</v>
      </c>
      <c r="B206" s="13">
        <v>44.553728999999997</v>
      </c>
      <c r="C206" s="12">
        <v>89.395336999999998</v>
      </c>
      <c r="D206" s="14">
        <v>4</v>
      </c>
      <c r="E206" s="13" t="s">
        <v>42</v>
      </c>
      <c r="F206" s="13">
        <v>44.481119999999997</v>
      </c>
      <c r="G206" s="12">
        <v>89.479669999999999</v>
      </c>
      <c r="H206" s="13" t="s">
        <v>39</v>
      </c>
      <c r="I206" s="13">
        <v>44.566249999999997</v>
      </c>
      <c r="J206" s="12">
        <v>89.504400000000004</v>
      </c>
      <c r="K206" s="13" t="s">
        <v>40</v>
      </c>
      <c r="L206" s="13">
        <v>44.554780000000001</v>
      </c>
      <c r="M206" s="13">
        <v>89.461330000000004</v>
      </c>
      <c r="N206" s="13" t="s">
        <v>41</v>
      </c>
      <c r="O206" s="13">
        <v>44.570529999999998</v>
      </c>
      <c r="P206" s="12">
        <v>89.378259999999997</v>
      </c>
      <c r="T206" s="5">
        <f t="shared" si="51"/>
        <v>34393.138445477474</v>
      </c>
      <c r="U206" s="5">
        <f t="shared" si="52"/>
        <v>28714.928343748434</v>
      </c>
      <c r="V206" s="5">
        <f t="shared" si="53"/>
        <v>17159.864412965588</v>
      </c>
      <c r="W206" s="5">
        <f t="shared" si="54"/>
        <v>7567.681080939712</v>
      </c>
      <c r="X206" s="6" t="str">
        <f t="shared" si="55"/>
        <v>n/a</v>
      </c>
      <c r="Y206" s="16">
        <f t="shared" si="56"/>
        <v>0.11432802770398136</v>
      </c>
      <c r="Z206" s="16">
        <f t="shared" si="57"/>
        <v>0.13693573036122439</v>
      </c>
      <c r="AA206" s="16">
        <f t="shared" si="58"/>
        <v>0.22914514884222589</v>
      </c>
      <c r="AB206" s="16">
        <f t="shared" si="59"/>
        <v>0.51959109309256846</v>
      </c>
      <c r="AC206" s="18" t="e">
        <f t="shared" si="60"/>
        <v>#VALUE!</v>
      </c>
      <c r="AD206" s="16">
        <f t="shared" si="61"/>
        <v>3.6891686978402866E-2</v>
      </c>
      <c r="AE206" s="16">
        <f t="shared" si="62"/>
        <v>5.2924487006719749E-2</v>
      </c>
      <c r="AF206" s="16">
        <f t="shared" si="63"/>
        <v>0.14819871120985431</v>
      </c>
      <c r="AG206" s="16">
        <f t="shared" si="64"/>
        <v>0.76198511480502318</v>
      </c>
      <c r="AH206" s="16" t="e">
        <f t="shared" si="65"/>
        <v>#VALUE!</v>
      </c>
    </row>
    <row r="207" spans="1:34" x14ac:dyDescent="0.25">
      <c r="A207" s="12">
        <v>23885</v>
      </c>
      <c r="B207" s="13">
        <v>44.393216000000002</v>
      </c>
      <c r="C207" s="12">
        <v>89.476966000000004</v>
      </c>
      <c r="D207" s="14">
        <v>0</v>
      </c>
      <c r="T207" s="5">
        <f t="shared" si="51"/>
        <v>32696804.594919406</v>
      </c>
      <c r="U207" s="5">
        <f t="shared" si="52"/>
        <v>32696804.594919406</v>
      </c>
      <c r="V207" s="5" t="str">
        <f t="shared" si="53"/>
        <v>n/a</v>
      </c>
      <c r="W207" s="5" t="str">
        <f t="shared" si="54"/>
        <v>n/a</v>
      </c>
      <c r="X207" s="6" t="str">
        <f t="shared" si="55"/>
        <v>n/a</v>
      </c>
      <c r="Y207" s="16" t="str">
        <f t="shared" si="56"/>
        <v>error</v>
      </c>
      <c r="Z207" s="16" t="str">
        <f t="shared" si="57"/>
        <v>error</v>
      </c>
      <c r="AA207" s="16" t="str">
        <f t="shared" si="58"/>
        <v>error</v>
      </c>
      <c r="AB207" s="16" t="str">
        <f t="shared" si="59"/>
        <v>error</v>
      </c>
      <c r="AC207" s="18" t="str">
        <f t="shared" si="60"/>
        <v>error</v>
      </c>
      <c r="AD207" s="16" t="str">
        <f t="shared" si="61"/>
        <v>error</v>
      </c>
      <c r="AE207" s="16" t="str">
        <f t="shared" si="62"/>
        <v>error</v>
      </c>
      <c r="AF207" s="16" t="str">
        <f t="shared" si="63"/>
        <v>error</v>
      </c>
      <c r="AG207" s="16" t="str">
        <f t="shared" si="64"/>
        <v>error</v>
      </c>
      <c r="AH207" s="16" t="str">
        <f t="shared" si="65"/>
        <v>error</v>
      </c>
    </row>
    <row r="208" spans="1:34" x14ac:dyDescent="0.25">
      <c r="A208" s="12">
        <v>23886</v>
      </c>
      <c r="B208" s="13">
        <v>44.407874999999997</v>
      </c>
      <c r="C208" s="12">
        <v>89.461736700000003</v>
      </c>
      <c r="D208" s="14">
        <v>5</v>
      </c>
      <c r="E208" s="13" t="s">
        <v>42</v>
      </c>
      <c r="F208" s="13">
        <v>44.467849999999999</v>
      </c>
      <c r="G208" s="12">
        <v>89.487679999999997</v>
      </c>
      <c r="H208" s="13" t="s">
        <v>44</v>
      </c>
      <c r="I208" s="13">
        <v>44.400129999999997</v>
      </c>
      <c r="J208" s="12">
        <v>89.480549999999994</v>
      </c>
      <c r="K208" s="13" t="s">
        <v>51</v>
      </c>
      <c r="L208" s="13">
        <v>44.37968</v>
      </c>
      <c r="M208" s="12">
        <v>89.436890000000005</v>
      </c>
      <c r="N208" s="13" t="s">
        <v>46</v>
      </c>
      <c r="O208" s="13">
        <v>44.382379999999998</v>
      </c>
      <c r="P208" s="12">
        <v>89.367450000000005</v>
      </c>
      <c r="Q208" s="13" t="s">
        <v>43</v>
      </c>
      <c r="R208" s="13">
        <v>44.436579999999999</v>
      </c>
      <c r="S208" s="12">
        <v>89.376000000000005</v>
      </c>
      <c r="T208" s="5">
        <f t="shared" si="51"/>
        <v>22899.465028755258</v>
      </c>
      <c r="U208" s="5">
        <f t="shared" si="52"/>
        <v>5659.1455569645022</v>
      </c>
      <c r="V208" s="5">
        <f t="shared" si="53"/>
        <v>12155.26728950824</v>
      </c>
      <c r="W208" s="5">
        <f t="shared" si="54"/>
        <v>26278.751289948399</v>
      </c>
      <c r="X208" s="6">
        <f t="shared" si="55"/>
        <v>24671.398576132109</v>
      </c>
      <c r="Y208" s="16">
        <f t="shared" si="56"/>
        <v>0.11454818779937871</v>
      </c>
      <c r="Z208" s="16">
        <f t="shared" si="57"/>
        <v>0.46351382805325081</v>
      </c>
      <c r="AA208" s="16">
        <f t="shared" si="58"/>
        <v>0.21579881035469059</v>
      </c>
      <c r="AB208" s="16">
        <f t="shared" si="59"/>
        <v>9.9817993316238474E-2</v>
      </c>
      <c r="AC208" s="18">
        <f t="shared" si="60"/>
        <v>0.10632118047644146</v>
      </c>
      <c r="AD208" s="16">
        <f t="shared" si="61"/>
        <v>4.4358149413667787E-2</v>
      </c>
      <c r="AE208" s="16">
        <f t="shared" si="62"/>
        <v>0.72631056878415068</v>
      </c>
      <c r="AF208" s="16">
        <f t="shared" si="63"/>
        <v>0.15743274435914439</v>
      </c>
      <c r="AG208" s="16">
        <f t="shared" si="64"/>
        <v>3.3683300775084059E-2</v>
      </c>
      <c r="AH208" s="16">
        <f t="shared" si="65"/>
        <v>3.8215236667953179E-2</v>
      </c>
    </row>
    <row r="209" spans="1:34" x14ac:dyDescent="0.25">
      <c r="A209" s="12">
        <v>23887</v>
      </c>
      <c r="B209" s="13">
        <v>44.539920600000002</v>
      </c>
      <c r="C209" s="12">
        <v>89.496689500000002</v>
      </c>
      <c r="D209" s="13">
        <v>0</v>
      </c>
      <c r="T209" s="5">
        <f t="shared" si="51"/>
        <v>32702275.327358197</v>
      </c>
      <c r="U209" s="5">
        <f t="shared" si="52"/>
        <v>32702275.327358197</v>
      </c>
      <c r="V209" s="5" t="str">
        <f t="shared" si="53"/>
        <v>n/a</v>
      </c>
      <c r="W209" s="5" t="str">
        <f t="shared" si="54"/>
        <v>n/a</v>
      </c>
      <c r="X209" s="6" t="str">
        <f t="shared" si="55"/>
        <v>n/a</v>
      </c>
      <c r="Y209" s="16" t="str">
        <f t="shared" si="56"/>
        <v>error</v>
      </c>
      <c r="Z209" s="16" t="str">
        <f t="shared" si="57"/>
        <v>error</v>
      </c>
      <c r="AA209" s="16" t="str">
        <f t="shared" si="58"/>
        <v>error</v>
      </c>
      <c r="AB209" s="16" t="str">
        <f t="shared" si="59"/>
        <v>error</v>
      </c>
      <c r="AC209" s="18" t="str">
        <f t="shared" si="60"/>
        <v>error</v>
      </c>
      <c r="AD209" s="16" t="str">
        <f t="shared" si="61"/>
        <v>error</v>
      </c>
      <c r="AE209" s="16" t="str">
        <f t="shared" si="62"/>
        <v>error</v>
      </c>
      <c r="AF209" s="16" t="str">
        <f t="shared" si="63"/>
        <v>error</v>
      </c>
      <c r="AG209" s="16" t="str">
        <f t="shared" si="64"/>
        <v>error</v>
      </c>
      <c r="AH209" s="16" t="str">
        <f t="shared" si="65"/>
        <v>error</v>
      </c>
    </row>
    <row r="210" spans="1:34" x14ac:dyDescent="0.25">
      <c r="A210" s="12">
        <v>23888</v>
      </c>
      <c r="B210" s="13">
        <v>44.453026700000002</v>
      </c>
      <c r="C210" s="12">
        <v>89.461921700000005</v>
      </c>
      <c r="D210" s="14">
        <v>3</v>
      </c>
      <c r="E210" s="13" t="s">
        <v>42</v>
      </c>
      <c r="F210" s="13">
        <v>44.468089999999997</v>
      </c>
      <c r="G210" s="12">
        <v>89.486580000000004</v>
      </c>
      <c r="H210" s="13" t="s">
        <v>43</v>
      </c>
      <c r="I210" s="13">
        <v>44.436529999999998</v>
      </c>
      <c r="J210" s="12">
        <v>89.376130000000003</v>
      </c>
      <c r="K210" s="13" t="s">
        <v>44</v>
      </c>
      <c r="L210" s="13">
        <v>44.400230000000001</v>
      </c>
      <c r="M210" s="12">
        <v>89.48048</v>
      </c>
      <c r="T210" s="5">
        <f t="shared" si="51"/>
        <v>8451.0917375318022</v>
      </c>
      <c r="U210" s="5">
        <f t="shared" si="52"/>
        <v>23140.656494426323</v>
      </c>
      <c r="V210" s="5">
        <f t="shared" si="53"/>
        <v>19858.494564904158</v>
      </c>
      <c r="W210" s="5" t="str">
        <f t="shared" si="54"/>
        <v>n/a</v>
      </c>
      <c r="X210" s="6" t="str">
        <f t="shared" si="55"/>
        <v>n/a</v>
      </c>
      <c r="Y210" s="16">
        <f t="shared" si="56"/>
        <v>0.5584187119553059</v>
      </c>
      <c r="Z210" s="16">
        <f t="shared" si="57"/>
        <v>0.20393750556840592</v>
      </c>
      <c r="AA210" s="16">
        <f t="shared" si="58"/>
        <v>0.23764378247628828</v>
      </c>
      <c r="AB210" s="16" t="e">
        <f t="shared" si="59"/>
        <v>#VALUE!</v>
      </c>
      <c r="AC210" s="18" t="e">
        <f t="shared" si="60"/>
        <v>#VALUE!</v>
      </c>
      <c r="AD210" s="16">
        <f t="shared" si="61"/>
        <v>0.76075651776117736</v>
      </c>
      <c r="AE210" s="16">
        <f t="shared" si="62"/>
        <v>0.10146586514537032</v>
      </c>
      <c r="AF210" s="16">
        <f t="shared" si="63"/>
        <v>0.13777761709345235</v>
      </c>
      <c r="AG210" s="16" t="e">
        <f t="shared" si="64"/>
        <v>#VALUE!</v>
      </c>
      <c r="AH210" s="16" t="e">
        <f t="shared" si="65"/>
        <v>#VALUE!</v>
      </c>
    </row>
    <row r="211" spans="1:34" x14ac:dyDescent="0.25">
      <c r="A211" s="12">
        <v>23889</v>
      </c>
      <c r="B211" s="13">
        <v>44.451523299999998</v>
      </c>
      <c r="C211" s="12">
        <v>89.461823199999998</v>
      </c>
      <c r="D211" s="14">
        <v>3</v>
      </c>
      <c r="E211" s="13" t="s">
        <v>42</v>
      </c>
      <c r="F211" s="13">
        <v>44.468089999999997</v>
      </c>
      <c r="G211" s="12">
        <v>89.486580000000004</v>
      </c>
      <c r="H211" s="13" t="s">
        <v>43</v>
      </c>
      <c r="I211" s="13">
        <v>44.436529999999998</v>
      </c>
      <c r="J211" s="12">
        <v>89.376130000000003</v>
      </c>
      <c r="K211" s="13" t="s">
        <v>44</v>
      </c>
      <c r="L211" s="13">
        <v>44.400230000000001</v>
      </c>
      <c r="M211" s="12">
        <v>89.48048</v>
      </c>
      <c r="T211" s="5">
        <f t="shared" si="51"/>
        <v>8836.3287270206056</v>
      </c>
      <c r="U211" s="5">
        <f t="shared" si="52"/>
        <v>22979.476276909973</v>
      </c>
      <c r="V211" s="5">
        <f t="shared" si="53"/>
        <v>19333.452273413037</v>
      </c>
      <c r="W211" s="5" t="str">
        <f t="shared" si="54"/>
        <v>n/a</v>
      </c>
      <c r="X211" s="6" t="str">
        <f t="shared" si="55"/>
        <v>n/a</v>
      </c>
      <c r="Y211" s="16">
        <f t="shared" si="56"/>
        <v>0.54301197569546711</v>
      </c>
      <c r="Z211" s="16">
        <f t="shared" si="57"/>
        <v>0.20880512080144256</v>
      </c>
      <c r="AA211" s="16">
        <f t="shared" si="58"/>
        <v>0.24818290350309036</v>
      </c>
      <c r="AB211" s="16" t="e">
        <f t="shared" si="59"/>
        <v>#VALUE!</v>
      </c>
      <c r="AC211" s="18" t="e">
        <f t="shared" si="60"/>
        <v>#VALUE!</v>
      </c>
      <c r="AD211" s="16">
        <f t="shared" si="61"/>
        <v>0.73705120473970087</v>
      </c>
      <c r="AE211" s="16">
        <f t="shared" si="62"/>
        <v>0.10898359643862</v>
      </c>
      <c r="AF211" s="16">
        <f t="shared" si="63"/>
        <v>0.15396519882167917</v>
      </c>
      <c r="AG211" s="16" t="e">
        <f t="shared" si="64"/>
        <v>#VALUE!</v>
      </c>
      <c r="AH211" s="16" t="e">
        <f t="shared" si="65"/>
        <v>#VALUE!</v>
      </c>
    </row>
    <row r="212" spans="1:34" x14ac:dyDescent="0.25">
      <c r="A212" s="12">
        <v>23890</v>
      </c>
      <c r="B212" s="13">
        <v>44.406605999999996</v>
      </c>
      <c r="C212" s="12">
        <v>89.525886</v>
      </c>
      <c r="D212" s="14">
        <v>4</v>
      </c>
      <c r="E212" s="13" t="s">
        <v>42</v>
      </c>
      <c r="F212" s="13">
        <v>44.470410000000001</v>
      </c>
      <c r="G212" s="12">
        <v>89.511759999999995</v>
      </c>
      <c r="H212" s="13" t="s">
        <v>44</v>
      </c>
      <c r="I212" s="13">
        <v>44.388379999999998</v>
      </c>
      <c r="J212" s="12">
        <v>89.530510000000007</v>
      </c>
      <c r="K212" s="13" t="s">
        <v>48</v>
      </c>
      <c r="L212" s="13">
        <v>44.462609999999998</v>
      </c>
      <c r="M212" s="12">
        <v>89.562640000000002</v>
      </c>
      <c r="N212" s="13" t="s">
        <v>49</v>
      </c>
      <c r="O212" s="13">
        <v>44.411239999999999</v>
      </c>
      <c r="P212" s="12">
        <v>89.569550000000007</v>
      </c>
      <c r="T212" s="5">
        <f t="shared" si="51"/>
        <v>23565.541853884886</v>
      </c>
      <c r="U212" s="5">
        <f t="shared" si="52"/>
        <v>6757.4370241801262</v>
      </c>
      <c r="V212" s="5">
        <f t="shared" si="53"/>
        <v>22563.028317334818</v>
      </c>
      <c r="W212" s="5">
        <f t="shared" si="54"/>
        <v>11504.122165154748</v>
      </c>
      <c r="X212" s="6" t="str">
        <f t="shared" si="55"/>
        <v>n/a</v>
      </c>
      <c r="Y212" s="16">
        <f t="shared" si="56"/>
        <v>0.13192222162885012</v>
      </c>
      <c r="Z212" s="16">
        <f t="shared" si="57"/>
        <v>0.46005883948719978</v>
      </c>
      <c r="AA212" s="16">
        <f t="shared" si="58"/>
        <v>0.13778374921701841</v>
      </c>
      <c r="AB212" s="16">
        <f t="shared" si="59"/>
        <v>0.27023518966693166</v>
      </c>
      <c r="AC212" s="18" t="e">
        <f t="shared" si="60"/>
        <v>#VALUE!</v>
      </c>
      <c r="AD212" s="16">
        <f t="shared" si="61"/>
        <v>5.4204769260446928E-2</v>
      </c>
      <c r="AE212" s="16">
        <f t="shared" si="62"/>
        <v>0.65921692089410511</v>
      </c>
      <c r="AF212" s="16">
        <f t="shared" si="63"/>
        <v>5.9128598259040557E-2</v>
      </c>
      <c r="AG212" s="16">
        <f t="shared" si="64"/>
        <v>0.22744971158640759</v>
      </c>
      <c r="AH212" s="16" t="e">
        <f t="shared" si="65"/>
        <v>#VALUE!</v>
      </c>
    </row>
    <row r="213" spans="1:34" x14ac:dyDescent="0.25">
      <c r="A213" s="12">
        <v>23891</v>
      </c>
      <c r="B213" s="13">
        <v>44.409880000000001</v>
      </c>
      <c r="C213" s="12">
        <v>89.611930000000001</v>
      </c>
      <c r="D213" s="14">
        <v>0</v>
      </c>
      <c r="T213" s="5">
        <f t="shared" si="51"/>
        <v>32732015.132157791</v>
      </c>
      <c r="U213" s="5">
        <f t="shared" si="52"/>
        <v>32732015.132157791</v>
      </c>
      <c r="V213" s="5" t="str">
        <f t="shared" si="53"/>
        <v>n/a</v>
      </c>
      <c r="W213" s="5" t="str">
        <f t="shared" si="54"/>
        <v>n/a</v>
      </c>
      <c r="X213" s="6" t="str">
        <f t="shared" si="55"/>
        <v>n/a</v>
      </c>
      <c r="Y213" s="16" t="str">
        <f t="shared" si="56"/>
        <v>error</v>
      </c>
      <c r="Z213" s="16" t="str">
        <f t="shared" si="57"/>
        <v>error</v>
      </c>
      <c r="AA213" s="16" t="str">
        <f t="shared" si="58"/>
        <v>error</v>
      </c>
      <c r="AB213" s="16" t="str">
        <f t="shared" si="59"/>
        <v>error</v>
      </c>
      <c r="AC213" s="18" t="str">
        <f t="shared" si="60"/>
        <v>error</v>
      </c>
      <c r="AD213" s="16" t="str">
        <f t="shared" si="61"/>
        <v>error</v>
      </c>
      <c r="AE213" s="16" t="str">
        <f t="shared" si="62"/>
        <v>error</v>
      </c>
      <c r="AF213" s="16" t="str">
        <f t="shared" si="63"/>
        <v>error</v>
      </c>
      <c r="AG213" s="16" t="str">
        <f t="shared" si="64"/>
        <v>error</v>
      </c>
      <c r="AH213" s="16" t="str">
        <f t="shared" si="65"/>
        <v>error</v>
      </c>
    </row>
    <row r="214" spans="1:34" x14ac:dyDescent="0.25">
      <c r="A214" s="12">
        <v>23895</v>
      </c>
      <c r="B214" s="13">
        <v>44.424711000000002</v>
      </c>
      <c r="C214" s="12">
        <v>89.528503999999998</v>
      </c>
      <c r="D214" s="14">
        <v>4</v>
      </c>
      <c r="E214" s="13" t="s">
        <v>42</v>
      </c>
      <c r="F214" s="13">
        <v>44.470410000000001</v>
      </c>
      <c r="G214" s="12">
        <v>89.511759999999995</v>
      </c>
      <c r="H214" s="13" t="s">
        <v>44</v>
      </c>
      <c r="I214" s="13">
        <v>44.388379999999998</v>
      </c>
      <c r="J214" s="12">
        <v>89.530510000000007</v>
      </c>
      <c r="K214" s="13" t="s">
        <v>48</v>
      </c>
      <c r="L214" s="13">
        <v>44.462609999999998</v>
      </c>
      <c r="M214" s="12">
        <v>89.562640000000002</v>
      </c>
      <c r="N214" s="13" t="s">
        <v>49</v>
      </c>
      <c r="O214" s="13">
        <v>44.433489999999999</v>
      </c>
      <c r="P214" s="12">
        <v>89.562479999999994</v>
      </c>
      <c r="T214" s="5">
        <f t="shared" si="51"/>
        <v>17232.459980931511</v>
      </c>
      <c r="U214" s="5">
        <f t="shared" si="52"/>
        <v>13264.319011613927</v>
      </c>
      <c r="V214" s="5">
        <f t="shared" si="53"/>
        <v>16437.967621467615</v>
      </c>
      <c r="W214" s="5">
        <f t="shared" si="54"/>
        <v>9412.9931063115964</v>
      </c>
      <c r="X214" s="6" t="str">
        <f t="shared" si="55"/>
        <v>n/a</v>
      </c>
      <c r="Y214" s="16">
        <f t="shared" si="56"/>
        <v>0.19311723469630013</v>
      </c>
      <c r="Z214" s="16">
        <f t="shared" si="57"/>
        <v>0.25089000163659603</v>
      </c>
      <c r="AA214" s="16">
        <f t="shared" si="58"/>
        <v>0.20245112383516364</v>
      </c>
      <c r="AB214" s="16">
        <f t="shared" si="59"/>
        <v>0.35354163983194015</v>
      </c>
      <c r="AC214" s="18" t="e">
        <f t="shared" si="60"/>
        <v>#VALUE!</v>
      </c>
      <c r="AD214" s="16">
        <f t="shared" si="61"/>
        <v>0.14008908944138146</v>
      </c>
      <c r="AE214" s="16">
        <f t="shared" si="62"/>
        <v>0.23644435675115763</v>
      </c>
      <c r="AF214" s="16">
        <f t="shared" si="63"/>
        <v>0.15395813031040145</v>
      </c>
      <c r="AG214" s="16">
        <f t="shared" si="64"/>
        <v>0.46950842349705946</v>
      </c>
      <c r="AH214" s="16" t="e">
        <f t="shared" si="65"/>
        <v>#VALUE!</v>
      </c>
    </row>
    <row r="215" spans="1:34" x14ac:dyDescent="0.25">
      <c r="A215" s="12">
        <v>23898</v>
      </c>
      <c r="B215" s="13">
        <v>44.542023999999998</v>
      </c>
      <c r="C215" s="12">
        <v>89.488904000000005</v>
      </c>
      <c r="D215" s="14">
        <v>3</v>
      </c>
      <c r="E215" s="13" t="s">
        <v>42</v>
      </c>
      <c r="F215" s="13">
        <v>44.475450000000002</v>
      </c>
      <c r="G215" s="12">
        <v>89.479529999999997</v>
      </c>
      <c r="H215" s="13" t="s">
        <v>40</v>
      </c>
      <c r="I215" s="13">
        <v>44.549160000000001</v>
      </c>
      <c r="J215" s="12">
        <v>89.493300000000005</v>
      </c>
      <c r="K215" s="13" t="s">
        <v>39</v>
      </c>
      <c r="L215" s="13">
        <v>44.538640000000001</v>
      </c>
      <c r="M215" s="12">
        <v>89.516409999999993</v>
      </c>
      <c r="T215" s="5">
        <f t="shared" si="51"/>
        <v>24409.181424351169</v>
      </c>
      <c r="U215" s="5">
        <f t="shared" si="52"/>
        <v>2843.1568922939991</v>
      </c>
      <c r="V215" s="5">
        <f t="shared" si="53"/>
        <v>7257.9498222723905</v>
      </c>
      <c r="W215" s="5" t="str">
        <f t="shared" si="54"/>
        <v>n/a</v>
      </c>
      <c r="X215" s="6" t="str">
        <f t="shared" si="55"/>
        <v>n/a</v>
      </c>
      <c r="Y215" s="16">
        <f t="shared" si="56"/>
        <v>7.723000730017042E-2</v>
      </c>
      <c r="Z215" s="16">
        <f t="shared" si="57"/>
        <v>0.66303807035876106</v>
      </c>
      <c r="AA215" s="16">
        <f t="shared" si="58"/>
        <v>0.25973192234106857</v>
      </c>
      <c r="AB215" s="16" t="e">
        <f t="shared" si="59"/>
        <v>#VALUE!</v>
      </c>
      <c r="AC215" s="18" t="e">
        <f t="shared" si="60"/>
        <v>#VALUE!</v>
      </c>
      <c r="AD215" s="16">
        <f t="shared" si="61"/>
        <v>1.1625643655725776E-2</v>
      </c>
      <c r="AE215" s="16">
        <f t="shared" si="62"/>
        <v>0.8568835117517597</v>
      </c>
      <c r="AF215" s="16">
        <f t="shared" si="63"/>
        <v>0.13149084459251464</v>
      </c>
      <c r="AG215" s="16" t="e">
        <f t="shared" si="64"/>
        <v>#VALUE!</v>
      </c>
      <c r="AH215" s="16" t="e">
        <f t="shared" si="65"/>
        <v>#VALUE!</v>
      </c>
    </row>
    <row r="216" spans="1:34" x14ac:dyDescent="0.25">
      <c r="A216" s="12">
        <v>23908</v>
      </c>
      <c r="B216" s="13">
        <v>44.515056700000002</v>
      </c>
      <c r="C216" s="12">
        <v>89.462138300000007</v>
      </c>
      <c r="D216" s="14">
        <v>4</v>
      </c>
      <c r="E216" s="13" t="s">
        <v>42</v>
      </c>
      <c r="F216" s="13">
        <v>44.482329999999997</v>
      </c>
      <c r="G216" s="12">
        <v>89.479870000000005</v>
      </c>
      <c r="H216" s="13" t="s">
        <v>39</v>
      </c>
      <c r="I216" s="13">
        <v>44.521000000000001</v>
      </c>
      <c r="J216" s="12">
        <v>89.535889999999995</v>
      </c>
      <c r="K216" s="13" t="s">
        <v>40</v>
      </c>
      <c r="L216" s="13">
        <v>44.550559999999997</v>
      </c>
      <c r="M216" s="12">
        <v>89.470920000000007</v>
      </c>
      <c r="N216" s="13" t="s">
        <v>41</v>
      </c>
      <c r="O216" s="13">
        <v>44.527900000000002</v>
      </c>
      <c r="P216" s="12">
        <v>89.340280000000007</v>
      </c>
      <c r="T216" s="5">
        <f t="shared" si="51"/>
        <v>12799.647978706847</v>
      </c>
      <c r="U216" s="5">
        <f t="shared" si="52"/>
        <v>19306.601345362415</v>
      </c>
      <c r="V216" s="5">
        <f t="shared" si="53"/>
        <v>13151.852507631776</v>
      </c>
      <c r="W216" s="5">
        <f t="shared" si="54"/>
        <v>32040.623544885071</v>
      </c>
      <c r="X216" s="6" t="str">
        <f t="shared" si="55"/>
        <v>n/a</v>
      </c>
      <c r="Y216" s="16">
        <f t="shared" si="56"/>
        <v>0.3294166293057047</v>
      </c>
      <c r="Z216" s="16">
        <f t="shared" si="57"/>
        <v>0.21839249788301032</v>
      </c>
      <c r="AA216" s="16">
        <f t="shared" si="58"/>
        <v>0.32059490410179681</v>
      </c>
      <c r="AB216" s="16">
        <f t="shared" si="59"/>
        <v>0.13159596870948814</v>
      </c>
      <c r="AC216" s="18" t="e">
        <f t="shared" si="60"/>
        <v>#VALUE!</v>
      </c>
      <c r="AD216" s="16">
        <f t="shared" si="61"/>
        <v>0.39273147426206995</v>
      </c>
      <c r="AE216" s="16">
        <f t="shared" si="62"/>
        <v>0.17261562338132239</v>
      </c>
      <c r="AF216" s="16">
        <f t="shared" si="63"/>
        <v>0.37197855207142366</v>
      </c>
      <c r="AG216" s="16">
        <f t="shared" si="64"/>
        <v>6.2674350285183977E-2</v>
      </c>
      <c r="AH216" s="16" t="e">
        <f t="shared" si="65"/>
        <v>#VALUE!</v>
      </c>
    </row>
    <row r="217" spans="1:34" x14ac:dyDescent="0.25">
      <c r="A217" s="12">
        <v>23909</v>
      </c>
      <c r="B217" s="13">
        <v>44.441788299999999</v>
      </c>
      <c r="C217" s="12">
        <v>89.461941699999997</v>
      </c>
      <c r="D217" s="14">
        <v>3</v>
      </c>
      <c r="E217" s="13" t="s">
        <v>42</v>
      </c>
      <c r="F217" s="13">
        <v>44.468089999999997</v>
      </c>
      <c r="G217" s="12">
        <v>89.486580000000004</v>
      </c>
      <c r="H217" s="13" t="s">
        <v>43</v>
      </c>
      <c r="I217" s="13">
        <v>44.436529999999998</v>
      </c>
      <c r="J217" s="12">
        <v>89.376130000000003</v>
      </c>
      <c r="K217" s="13" t="s">
        <v>44</v>
      </c>
      <c r="L217" s="13">
        <v>44.400230000000001</v>
      </c>
      <c r="M217" s="12">
        <v>89.48048</v>
      </c>
      <c r="T217" s="5">
        <f t="shared" si="51"/>
        <v>11542.60198517239</v>
      </c>
      <c r="U217" s="5">
        <f t="shared" si="52"/>
        <v>22433.901717091052</v>
      </c>
      <c r="V217" s="5">
        <f t="shared" si="53"/>
        <v>15911.855862023685</v>
      </c>
      <c r="W217" s="5" t="str">
        <f t="shared" si="54"/>
        <v>n/a</v>
      </c>
      <c r="X217" s="6" t="str">
        <f t="shared" si="55"/>
        <v>n/a</v>
      </c>
      <c r="Y217" s="16">
        <f t="shared" si="56"/>
        <v>0.44644353223706357</v>
      </c>
      <c r="Z217" s="16">
        <f t="shared" si="57"/>
        <v>0.22970235255782764</v>
      </c>
      <c r="AA217" s="16">
        <f t="shared" si="58"/>
        <v>0.32385411520510876</v>
      </c>
      <c r="AB217" s="16" t="e">
        <f t="shared" si="59"/>
        <v>#VALUE!</v>
      </c>
      <c r="AC217" s="18" t="e">
        <f t="shared" si="60"/>
        <v>#VALUE!</v>
      </c>
      <c r="AD217" s="16">
        <f t="shared" si="61"/>
        <v>0.55836449312921954</v>
      </c>
      <c r="AE217" s="16">
        <f t="shared" si="62"/>
        <v>0.14781401322868876</v>
      </c>
      <c r="AF217" s="16">
        <f t="shared" si="63"/>
        <v>0.2938214936420917</v>
      </c>
      <c r="AG217" s="16" t="e">
        <f t="shared" si="64"/>
        <v>#VALUE!</v>
      </c>
      <c r="AH217" s="16" t="e">
        <f t="shared" si="65"/>
        <v>#VALUE!</v>
      </c>
    </row>
    <row r="218" spans="1:34" x14ac:dyDescent="0.25">
      <c r="A218" s="12">
        <v>23910</v>
      </c>
      <c r="B218" s="13">
        <v>44.439990000000002</v>
      </c>
      <c r="C218" s="12">
        <v>89.570409999999995</v>
      </c>
      <c r="D218" s="14">
        <v>4</v>
      </c>
      <c r="E218" s="13" t="s">
        <v>42</v>
      </c>
      <c r="F218" s="13">
        <v>44.470410000000001</v>
      </c>
      <c r="G218" s="12">
        <v>89.511759999999995</v>
      </c>
      <c r="H218" s="13" t="s">
        <v>44</v>
      </c>
      <c r="I218" s="13">
        <v>44.388379999999998</v>
      </c>
      <c r="J218" s="12">
        <v>89.530510000000007</v>
      </c>
      <c r="K218" s="13" t="s">
        <v>48</v>
      </c>
      <c r="L218" s="13">
        <v>44.462609999999998</v>
      </c>
      <c r="M218" s="12">
        <v>89.562640000000002</v>
      </c>
      <c r="N218" s="13" t="s">
        <v>49</v>
      </c>
      <c r="O218" s="13">
        <v>44.435670000000002</v>
      </c>
      <c r="P218" s="12">
        <v>89.562870000000004</v>
      </c>
      <c r="T218" s="5">
        <f t="shared" si="51"/>
        <v>18878.815555233843</v>
      </c>
      <c r="U218" s="5">
        <f t="shared" si="52"/>
        <v>21508.095947595477</v>
      </c>
      <c r="V218" s="5">
        <f t="shared" si="53"/>
        <v>8496.5272151947356</v>
      </c>
      <c r="W218" s="5">
        <f t="shared" si="54"/>
        <v>2518.1588486550254</v>
      </c>
      <c r="X218" s="6" t="str">
        <f t="shared" si="55"/>
        <v>n/a</v>
      </c>
      <c r="Y218" s="16">
        <f t="shared" si="56"/>
        <v>8.6230908878759657E-2</v>
      </c>
      <c r="Z218" s="16">
        <f t="shared" si="57"/>
        <v>7.5689518395712613E-2</v>
      </c>
      <c r="AA218" s="16">
        <f t="shared" si="58"/>
        <v>0.19160033065873824</v>
      </c>
      <c r="AB218" s="16">
        <f t="shared" si="59"/>
        <v>0.64647924206678942</v>
      </c>
      <c r="AC218" s="18" t="e">
        <f t="shared" si="60"/>
        <v>#VALUE!</v>
      </c>
      <c r="AD218" s="16">
        <f t="shared" si="61"/>
        <v>1.5894823555449501E-2</v>
      </c>
      <c r="AE218" s="16">
        <f t="shared" si="62"/>
        <v>1.2246197742107922E-2</v>
      </c>
      <c r="AF218" s="16">
        <f t="shared" si="63"/>
        <v>7.847336800448336E-2</v>
      </c>
      <c r="AG218" s="16">
        <f t="shared" si="64"/>
        <v>0.89338561069795919</v>
      </c>
      <c r="AH218" s="16" t="e">
        <f t="shared" si="65"/>
        <v>#VALUE!</v>
      </c>
    </row>
    <row r="219" spans="1:34" x14ac:dyDescent="0.25">
      <c r="A219" s="12">
        <v>23913</v>
      </c>
      <c r="B219" s="13">
        <v>44.4744083</v>
      </c>
      <c r="C219" s="12">
        <v>89.310178300000004</v>
      </c>
      <c r="D219" s="14">
        <v>3</v>
      </c>
      <c r="E219" s="13" t="s">
        <v>42</v>
      </c>
      <c r="F219" s="13">
        <v>44.477629999999998</v>
      </c>
      <c r="G219" s="12">
        <v>89.479680000000002</v>
      </c>
      <c r="H219" s="13" t="s">
        <v>41</v>
      </c>
      <c r="I219" s="13">
        <v>44.47616</v>
      </c>
      <c r="J219" s="12">
        <v>89.296719999999993</v>
      </c>
      <c r="K219" s="13" t="s">
        <v>43</v>
      </c>
      <c r="L219" s="13">
        <v>44.435969999999998</v>
      </c>
      <c r="M219" s="12">
        <v>89.310069999999996</v>
      </c>
      <c r="T219" s="5">
        <f t="shared" si="51"/>
        <v>44138.606445005753</v>
      </c>
      <c r="U219" s="5">
        <f t="shared" si="52"/>
        <v>3561.1785756759136</v>
      </c>
      <c r="V219" s="5">
        <f t="shared" si="53"/>
        <v>14022.810344580374</v>
      </c>
      <c r="W219" s="5" t="str">
        <f t="shared" si="54"/>
        <v>n/a</v>
      </c>
      <c r="X219" s="6" t="str">
        <f t="shared" si="55"/>
        <v>n/a</v>
      </c>
      <c r="Y219" s="16">
        <f t="shared" si="56"/>
        <v>6.0452142841706392E-2</v>
      </c>
      <c r="Z219" s="16">
        <f t="shared" si="57"/>
        <v>0.74926693086176122</v>
      </c>
      <c r="AA219" s="16">
        <f t="shared" si="58"/>
        <v>0.1902809262965324</v>
      </c>
      <c r="AB219" s="16" t="e">
        <f t="shared" si="59"/>
        <v>#VALUE!</v>
      </c>
      <c r="AC219" s="18" t="e">
        <f t="shared" si="60"/>
        <v>#VALUE!</v>
      </c>
      <c r="AD219" s="16">
        <f t="shared" si="61"/>
        <v>6.0779829749762447E-3</v>
      </c>
      <c r="AE219" s="16">
        <f t="shared" si="62"/>
        <v>0.93370398014128975</v>
      </c>
      <c r="AF219" s="16">
        <f t="shared" si="63"/>
        <v>6.0218036883734033E-2</v>
      </c>
      <c r="AG219" s="16" t="e">
        <f t="shared" si="64"/>
        <v>#VALUE!</v>
      </c>
      <c r="AH219" s="16" t="e">
        <f t="shared" si="65"/>
        <v>#VALUE!</v>
      </c>
    </row>
    <row r="220" spans="1:34" x14ac:dyDescent="0.25">
      <c r="A220" s="12">
        <v>23915</v>
      </c>
      <c r="B220" s="13">
        <v>44.557203999999999</v>
      </c>
      <c r="C220" s="12">
        <v>89.390553999999995</v>
      </c>
      <c r="D220" s="14">
        <v>4</v>
      </c>
      <c r="E220" s="13" t="s">
        <v>42</v>
      </c>
      <c r="F220" s="13">
        <v>44.481119999999997</v>
      </c>
      <c r="G220" s="12">
        <v>89.479669999999999</v>
      </c>
      <c r="H220" s="13" t="s">
        <v>39</v>
      </c>
      <c r="I220" s="13">
        <v>44.566249999999997</v>
      </c>
      <c r="J220" s="12">
        <v>89.504400000000004</v>
      </c>
      <c r="K220" s="13" t="s">
        <v>40</v>
      </c>
      <c r="L220" s="13">
        <v>44.554780000000001</v>
      </c>
      <c r="M220" s="13">
        <v>89.461330000000004</v>
      </c>
      <c r="N220" s="13" t="s">
        <v>41</v>
      </c>
      <c r="O220" s="13">
        <v>44.570529999999998</v>
      </c>
      <c r="P220" s="12">
        <v>89.378259999999997</v>
      </c>
      <c r="T220" s="5">
        <f t="shared" si="51"/>
        <v>36162.951625716043</v>
      </c>
      <c r="U220" s="5">
        <f t="shared" si="52"/>
        <v>29775.119649965374</v>
      </c>
      <c r="V220" s="5">
        <f t="shared" si="53"/>
        <v>18419.661997850431</v>
      </c>
      <c r="W220" s="5">
        <f t="shared" si="54"/>
        <v>5817.6361009869552</v>
      </c>
      <c r="X220" s="6" t="str">
        <f t="shared" si="55"/>
        <v>n/a</v>
      </c>
      <c r="Y220" s="16">
        <f t="shared" si="56"/>
        <v>9.6210220564310028E-2</v>
      </c>
      <c r="Z220" s="16">
        <f t="shared" si="57"/>
        <v>0.11685076644757195</v>
      </c>
      <c r="AA220" s="16">
        <f t="shared" si="58"/>
        <v>0.18888758939076303</v>
      </c>
      <c r="AB220" s="16">
        <f t="shared" si="59"/>
        <v>0.59805142359735497</v>
      </c>
      <c r="AC220" s="18" t="e">
        <f t="shared" si="60"/>
        <v>#VALUE!</v>
      </c>
      <c r="AD220" s="16">
        <f t="shared" si="61"/>
        <v>2.2237371045819292E-2</v>
      </c>
      <c r="AE220" s="16">
        <f t="shared" si="62"/>
        <v>3.2802289167141063E-2</v>
      </c>
      <c r="AF220" s="16">
        <f t="shared" si="63"/>
        <v>8.5713231781235077E-2</v>
      </c>
      <c r="AG220" s="16">
        <f t="shared" si="64"/>
        <v>0.85924710800580462</v>
      </c>
      <c r="AH220" s="16" t="e">
        <f t="shared" si="65"/>
        <v>#VALUE!</v>
      </c>
    </row>
    <row r="221" spans="1:34" x14ac:dyDescent="0.25">
      <c r="A221" s="12">
        <v>23916</v>
      </c>
      <c r="B221" s="13">
        <v>44.558023300000002</v>
      </c>
      <c r="C221" s="12">
        <v>89.499783300000004</v>
      </c>
      <c r="D221" s="14">
        <v>0</v>
      </c>
      <c r="T221" s="5">
        <f t="shared" si="51"/>
        <v>32703120.223842483</v>
      </c>
      <c r="U221" s="5">
        <f t="shared" si="52"/>
        <v>32703120.223842483</v>
      </c>
      <c r="V221" s="5" t="str">
        <f t="shared" si="53"/>
        <v>n/a</v>
      </c>
      <c r="W221" s="5" t="str">
        <f t="shared" si="54"/>
        <v>n/a</v>
      </c>
      <c r="X221" s="6" t="str">
        <f t="shared" si="55"/>
        <v>n/a</v>
      </c>
      <c r="Y221" s="16" t="str">
        <f t="shared" si="56"/>
        <v>error</v>
      </c>
      <c r="Z221" s="16" t="str">
        <f t="shared" si="57"/>
        <v>error</v>
      </c>
      <c r="AA221" s="16" t="str">
        <f t="shared" si="58"/>
        <v>error</v>
      </c>
      <c r="AB221" s="16" t="str">
        <f t="shared" si="59"/>
        <v>error</v>
      </c>
      <c r="AC221" s="18" t="str">
        <f t="shared" si="60"/>
        <v>error</v>
      </c>
      <c r="AD221" s="16" t="str">
        <f t="shared" si="61"/>
        <v>error</v>
      </c>
      <c r="AE221" s="16" t="str">
        <f t="shared" si="62"/>
        <v>error</v>
      </c>
      <c r="AF221" s="16" t="str">
        <f t="shared" si="63"/>
        <v>error</v>
      </c>
      <c r="AG221" s="16" t="str">
        <f t="shared" si="64"/>
        <v>error</v>
      </c>
      <c r="AH221" s="16" t="str">
        <f t="shared" si="65"/>
        <v>error</v>
      </c>
    </row>
    <row r="222" spans="1:34" x14ac:dyDescent="0.25">
      <c r="A222" s="12">
        <v>23919</v>
      </c>
      <c r="B222" s="13">
        <v>44.484903299999999</v>
      </c>
      <c r="C222" s="12">
        <v>89.520771699999997</v>
      </c>
      <c r="D222" s="14">
        <v>2</v>
      </c>
      <c r="E222" s="13" t="s">
        <v>42</v>
      </c>
      <c r="F222" s="13">
        <v>44.473230000000001</v>
      </c>
      <c r="G222" s="12">
        <v>89.522319999999993</v>
      </c>
      <c r="H222" s="13" t="s">
        <v>39</v>
      </c>
      <c r="I222" s="13">
        <v>44.49315</v>
      </c>
      <c r="J222" s="12">
        <v>89.552869999999999</v>
      </c>
      <c r="T222" s="5">
        <f t="shared" si="51"/>
        <v>4277.5962687268257</v>
      </c>
      <c r="U222" s="5">
        <f t="shared" si="52"/>
        <v>8878.8738001558759</v>
      </c>
      <c r="V222" s="5" t="str">
        <f t="shared" si="53"/>
        <v>n/a</v>
      </c>
      <c r="W222" s="5" t="str">
        <f t="shared" si="54"/>
        <v>n/a</v>
      </c>
      <c r="X222" s="6" t="str">
        <f t="shared" si="55"/>
        <v>n/a</v>
      </c>
      <c r="Y222" s="16">
        <f t="shared" si="56"/>
        <v>0.67486747992958451</v>
      </c>
      <c r="Z222" s="16">
        <f t="shared" si="57"/>
        <v>0.32513252007041554</v>
      </c>
      <c r="AA222" s="16" t="e">
        <f t="shared" si="58"/>
        <v>#VALUE!</v>
      </c>
      <c r="AB222" s="16" t="e">
        <f t="shared" si="59"/>
        <v>#VALUE!</v>
      </c>
      <c r="AC222" s="18" t="e">
        <f t="shared" si="60"/>
        <v>#VALUE!</v>
      </c>
      <c r="AD222" s="16">
        <f t="shared" si="61"/>
        <v>0.81161937828044695</v>
      </c>
      <c r="AE222" s="16">
        <f t="shared" si="62"/>
        <v>0.18838062171955311</v>
      </c>
      <c r="AF222" s="16" t="e">
        <f t="shared" si="63"/>
        <v>#VALUE!</v>
      </c>
      <c r="AG222" s="16" t="e">
        <f t="shared" si="64"/>
        <v>#VALUE!</v>
      </c>
      <c r="AH222" s="16" t="e">
        <f t="shared" si="65"/>
        <v>#VALUE!</v>
      </c>
    </row>
    <row r="223" spans="1:34" x14ac:dyDescent="0.25">
      <c r="A223" s="12">
        <v>23925</v>
      </c>
      <c r="B223" s="13">
        <v>44.550753800000003</v>
      </c>
      <c r="C223" s="12">
        <v>89.501702100000003</v>
      </c>
      <c r="D223" s="14">
        <v>0</v>
      </c>
      <c r="T223" s="5">
        <f t="shared" si="51"/>
        <v>32703602.812918816</v>
      </c>
      <c r="U223" s="5">
        <f t="shared" si="52"/>
        <v>32703602.812918816</v>
      </c>
      <c r="V223" s="5" t="str">
        <f t="shared" si="53"/>
        <v>n/a</v>
      </c>
      <c r="W223" s="5" t="str">
        <f t="shared" si="54"/>
        <v>n/a</v>
      </c>
      <c r="X223" s="6" t="str">
        <f t="shared" si="55"/>
        <v>n/a</v>
      </c>
      <c r="Y223" s="16" t="str">
        <f t="shared" si="56"/>
        <v>error</v>
      </c>
      <c r="Z223" s="16" t="str">
        <f t="shared" si="57"/>
        <v>error</v>
      </c>
      <c r="AA223" s="16" t="str">
        <f t="shared" si="58"/>
        <v>error</v>
      </c>
      <c r="AB223" s="16" t="str">
        <f t="shared" si="59"/>
        <v>error</v>
      </c>
      <c r="AC223" s="18" t="str">
        <f t="shared" si="60"/>
        <v>error</v>
      </c>
      <c r="AD223" s="16" t="str">
        <f t="shared" si="61"/>
        <v>error</v>
      </c>
      <c r="AE223" s="16" t="str">
        <f t="shared" si="62"/>
        <v>error</v>
      </c>
      <c r="AF223" s="16" t="str">
        <f t="shared" si="63"/>
        <v>error</v>
      </c>
      <c r="AG223" s="16" t="str">
        <f t="shared" si="64"/>
        <v>error</v>
      </c>
      <c r="AH223" s="16" t="str">
        <f t="shared" si="65"/>
        <v>error</v>
      </c>
    </row>
    <row r="224" spans="1:34" x14ac:dyDescent="0.25">
      <c r="A224" s="12">
        <v>23926</v>
      </c>
      <c r="B224" s="13">
        <v>44.546149999999997</v>
      </c>
      <c r="C224" s="12">
        <v>89.441100000000006</v>
      </c>
      <c r="D224" s="14">
        <v>4</v>
      </c>
      <c r="E224" s="13" t="s">
        <v>42</v>
      </c>
      <c r="F224" s="13">
        <v>44.481119999999997</v>
      </c>
      <c r="G224" s="12">
        <v>89.479669999999999</v>
      </c>
      <c r="H224" s="13" t="s">
        <v>39</v>
      </c>
      <c r="I224" s="13">
        <v>44.558810000000001</v>
      </c>
      <c r="J224" s="12">
        <v>89.506240000000005</v>
      </c>
      <c r="K224" s="13" t="s">
        <v>40</v>
      </c>
      <c r="L224" s="13">
        <v>44.554780000000001</v>
      </c>
      <c r="M224" s="13">
        <v>89.461330000000004</v>
      </c>
      <c r="N224" s="13" t="s">
        <v>41</v>
      </c>
      <c r="O224" s="13">
        <v>44.54806</v>
      </c>
      <c r="P224" s="12">
        <v>89.354929999999996</v>
      </c>
      <c r="T224" s="5">
        <f t="shared" si="51"/>
        <v>25758.33934416925</v>
      </c>
      <c r="U224" s="5">
        <f t="shared" si="52"/>
        <v>17552.863872627389</v>
      </c>
      <c r="V224" s="5">
        <f t="shared" si="53"/>
        <v>6129.6593592367053</v>
      </c>
      <c r="W224" s="5">
        <f t="shared" si="54"/>
        <v>22414.390130753636</v>
      </c>
      <c r="X224" s="6" t="str">
        <f t="shared" si="55"/>
        <v>n/a</v>
      </c>
      <c r="Y224" s="16">
        <f t="shared" si="56"/>
        <v>0.12789512611634313</v>
      </c>
      <c r="Z224" s="16">
        <f t="shared" si="57"/>
        <v>0.18768253903611995</v>
      </c>
      <c r="AA224" s="16">
        <f t="shared" si="58"/>
        <v>0.53744684099057671</v>
      </c>
      <c r="AB224" s="16">
        <f t="shared" si="59"/>
        <v>0.14697549385696018</v>
      </c>
      <c r="AC224" s="18" t="e">
        <f t="shared" si="60"/>
        <v>#VALUE!</v>
      </c>
      <c r="AD224" s="16">
        <f t="shared" si="61"/>
        <v>4.5181439968336484E-2</v>
      </c>
      <c r="AE224" s="16">
        <f t="shared" si="62"/>
        <v>9.7297082805882076E-2</v>
      </c>
      <c r="AF224" s="16">
        <f t="shared" si="63"/>
        <v>0.79785341480366079</v>
      </c>
      <c r="AG224" s="16">
        <f t="shared" si="64"/>
        <v>5.9668062422120569E-2</v>
      </c>
      <c r="AH224" s="16" t="e">
        <f t="shared" si="65"/>
        <v>#VALUE!</v>
      </c>
    </row>
    <row r="225" spans="1:34" x14ac:dyDescent="0.25">
      <c r="A225" s="12">
        <v>23928</v>
      </c>
      <c r="B225" s="13">
        <v>44.443703999999997</v>
      </c>
      <c r="C225" s="12">
        <v>89.440871000000001</v>
      </c>
      <c r="D225" s="14">
        <v>3</v>
      </c>
      <c r="E225" s="13" t="s">
        <v>42</v>
      </c>
      <c r="F225" s="13">
        <v>44.468229999999998</v>
      </c>
      <c r="G225" s="12">
        <v>89.486239999999995</v>
      </c>
      <c r="H225" s="13" t="s">
        <v>44</v>
      </c>
      <c r="I225" s="13">
        <v>44.40052</v>
      </c>
      <c r="J225" s="12">
        <v>89.480739999999997</v>
      </c>
      <c r="K225" s="13" t="s">
        <v>43</v>
      </c>
      <c r="L225" s="13">
        <v>44.436869999999999</v>
      </c>
      <c r="M225" s="12">
        <v>89.375789999999995</v>
      </c>
      <c r="T225" s="5">
        <f t="shared" si="51"/>
        <v>14819.845451912728</v>
      </c>
      <c r="U225" s="5">
        <f t="shared" si="52"/>
        <v>18870.580346351966</v>
      </c>
      <c r="V225" s="5">
        <f t="shared" si="53"/>
        <v>17133.951738786396</v>
      </c>
      <c r="W225" s="5" t="str">
        <f t="shared" si="54"/>
        <v>n/a</v>
      </c>
      <c r="X225" s="6" t="str">
        <f t="shared" si="55"/>
        <v>n/a</v>
      </c>
      <c r="Y225" s="16">
        <f t="shared" si="56"/>
        <v>0.37731839925631527</v>
      </c>
      <c r="Z225" s="16">
        <f t="shared" si="57"/>
        <v>0.29632370920816403</v>
      </c>
      <c r="AA225" s="16">
        <f t="shared" si="58"/>
        <v>0.32635789153552064</v>
      </c>
      <c r="AB225" s="16" t="e">
        <f t="shared" si="59"/>
        <v>#VALUE!</v>
      </c>
      <c r="AC225" s="18" t="e">
        <f t="shared" si="60"/>
        <v>#VALUE!</v>
      </c>
      <c r="AD225" s="16">
        <f t="shared" si="61"/>
        <v>0.42285396532920305</v>
      </c>
      <c r="AE225" s="16">
        <f t="shared" si="62"/>
        <v>0.26079979368923101</v>
      </c>
      <c r="AF225" s="16">
        <f t="shared" si="63"/>
        <v>0.31634624098156594</v>
      </c>
      <c r="AG225" s="16" t="e">
        <f t="shared" si="64"/>
        <v>#VALUE!</v>
      </c>
      <c r="AH225" s="16" t="e">
        <f t="shared" si="65"/>
        <v>#VALUE!</v>
      </c>
    </row>
    <row r="226" spans="1:34" x14ac:dyDescent="0.25">
      <c r="A226" s="12">
        <v>23929</v>
      </c>
      <c r="B226" s="13">
        <v>44.483384999999998</v>
      </c>
      <c r="C226" s="12">
        <v>89.497971000000007</v>
      </c>
      <c r="D226" s="14">
        <v>2</v>
      </c>
      <c r="E226" s="13" t="s">
        <v>42</v>
      </c>
      <c r="F226" s="13">
        <v>44.482489999999999</v>
      </c>
      <c r="G226" s="12">
        <v>89.479799999999997</v>
      </c>
      <c r="H226" s="13" t="s">
        <v>39</v>
      </c>
      <c r="I226" s="13">
        <v>44.497280000000003</v>
      </c>
      <c r="J226" s="12">
        <v>89.548010000000005</v>
      </c>
      <c r="T226" s="5">
        <f t="shared" si="51"/>
        <v>4740.7865670991268</v>
      </c>
      <c r="U226" s="5">
        <f t="shared" si="52"/>
        <v>13974.2508606597</v>
      </c>
      <c r="V226" s="5" t="str">
        <f t="shared" si="53"/>
        <v>n/a</v>
      </c>
      <c r="W226" s="5" t="str">
        <f t="shared" si="54"/>
        <v>n/a</v>
      </c>
      <c r="X226" s="6" t="str">
        <f t="shared" si="55"/>
        <v>n/a</v>
      </c>
      <c r="Y226" s="16">
        <f t="shared" si="56"/>
        <v>0.7466857020511527</v>
      </c>
      <c r="Z226" s="16">
        <f t="shared" si="57"/>
        <v>0.25331429794884719</v>
      </c>
      <c r="AA226" s="16" t="e">
        <f t="shared" si="58"/>
        <v>#VALUE!</v>
      </c>
      <c r="AB226" s="16" t="e">
        <f t="shared" si="59"/>
        <v>#VALUE!</v>
      </c>
      <c r="AC226" s="18" t="e">
        <f t="shared" si="60"/>
        <v>#VALUE!</v>
      </c>
      <c r="AD226" s="16">
        <f t="shared" si="61"/>
        <v>0.89678729004229474</v>
      </c>
      <c r="AE226" s="16">
        <f t="shared" si="62"/>
        <v>0.10321270995770529</v>
      </c>
      <c r="AF226" s="16" t="e">
        <f t="shared" si="63"/>
        <v>#VALUE!</v>
      </c>
      <c r="AG226" s="16" t="e">
        <f t="shared" si="64"/>
        <v>#VALUE!</v>
      </c>
      <c r="AH226" s="16" t="e">
        <f t="shared" si="65"/>
        <v>#VALUE!</v>
      </c>
    </row>
    <row r="227" spans="1:34" x14ac:dyDescent="0.25">
      <c r="A227" s="12">
        <v>23930</v>
      </c>
      <c r="B227" s="13">
        <v>44.438668300000003</v>
      </c>
      <c r="C227" s="12">
        <v>89.4743833</v>
      </c>
      <c r="D227" s="14">
        <v>3</v>
      </c>
      <c r="E227" s="13" t="s">
        <v>42</v>
      </c>
      <c r="F227" s="13">
        <v>44.467759999999998</v>
      </c>
      <c r="G227" s="12">
        <v>89.487620000000007</v>
      </c>
      <c r="H227" s="13" t="s">
        <v>44</v>
      </c>
      <c r="I227" s="13">
        <v>44.400329999999997</v>
      </c>
      <c r="J227" s="12">
        <v>89.480490000000003</v>
      </c>
      <c r="K227" s="13" t="s">
        <v>43</v>
      </c>
      <c r="L227" s="13">
        <v>44.436639999999997</v>
      </c>
      <c r="M227" s="12">
        <v>89.376559999999998</v>
      </c>
      <c r="T227" s="5">
        <f t="shared" si="51"/>
        <v>11158.763261256612</v>
      </c>
      <c r="U227" s="5">
        <f t="shared" si="52"/>
        <v>14076.520842721706</v>
      </c>
      <c r="V227" s="5">
        <f t="shared" si="53"/>
        <v>25491.845391275801</v>
      </c>
      <c r="W227" s="5" t="str">
        <f t="shared" si="54"/>
        <v>n/a</v>
      </c>
      <c r="X227" s="6" t="str">
        <f t="shared" si="55"/>
        <v>n/a</v>
      </c>
      <c r="Y227" s="16">
        <f t="shared" si="56"/>
        <v>0.4483379660119628</v>
      </c>
      <c r="Z227" s="16">
        <f t="shared" si="57"/>
        <v>0.35540722595154361</v>
      </c>
      <c r="AA227" s="16">
        <f t="shared" si="58"/>
        <v>0.19625480803649359</v>
      </c>
      <c r="AB227" s="16" t="e">
        <f t="shared" si="59"/>
        <v>#VALUE!</v>
      </c>
      <c r="AC227" s="18" t="e">
        <f t="shared" si="60"/>
        <v>#VALUE!</v>
      </c>
      <c r="AD227" s="16">
        <f t="shared" si="61"/>
        <v>0.54944369795710901</v>
      </c>
      <c r="AE227" s="16">
        <f t="shared" si="62"/>
        <v>0.34527463023688904</v>
      </c>
      <c r="AF227" s="16">
        <f t="shared" si="63"/>
        <v>0.10528167180600209</v>
      </c>
      <c r="AG227" s="16" t="e">
        <f t="shared" si="64"/>
        <v>#VALUE!</v>
      </c>
      <c r="AH227" s="16" t="e">
        <f t="shared" si="65"/>
        <v>#VALUE!</v>
      </c>
    </row>
    <row r="228" spans="1:34" x14ac:dyDescent="0.25">
      <c r="A228" s="12">
        <v>23934</v>
      </c>
      <c r="B228" s="13">
        <v>44.486111700000002</v>
      </c>
      <c r="C228" s="12">
        <v>89.477778200000003</v>
      </c>
      <c r="D228" s="14">
        <v>3</v>
      </c>
      <c r="E228" s="13" t="s">
        <v>42</v>
      </c>
      <c r="F228" s="13">
        <v>44.482599999999998</v>
      </c>
      <c r="G228" s="12">
        <v>89.479839999999996</v>
      </c>
      <c r="H228" s="13" t="s">
        <v>39</v>
      </c>
      <c r="I228" s="13">
        <v>44.49962</v>
      </c>
      <c r="J228" s="12">
        <v>89.544370000000001</v>
      </c>
      <c r="K228" s="13" t="s">
        <v>41</v>
      </c>
      <c r="L228" s="13">
        <v>44.514890000000001</v>
      </c>
      <c r="M228" s="12">
        <v>89.334909999999994</v>
      </c>
      <c r="T228" s="5">
        <f t="shared" ref="T228:T291" si="66">ACOS( SIN($B228*PI()/180)*SIN(F228*PI()/180) + COS($B228*PI()/180) *COS(F228*PI()/180) *COS(G228*PI()/180 - $C228*PI()/180))*20902230.97</f>
        <v>1388.964501180159</v>
      </c>
      <c r="U228" s="5">
        <f t="shared" ref="U228:U291" si="67">ACOS( SIN($B228*PI()/180)*SIN(I228*PI()/180) + COS($B228*PI()/180) *COS(I228*PI()/180) *COS(J228*PI()/180 - $C228*PI()/180))*20902230.97</f>
        <v>18016.565195496871</v>
      </c>
      <c r="V228" s="5">
        <f t="shared" ref="V228:V291" si="68">IF(D228&lt;3,"n/a",ACOS( SIN($B228*PI()/180)*SIN(L228*PI()/180) + COS($B228*PI()/180) *COS(L228*PI()/180) *COS(M228*PI()/180 - $C228*PI()/180))*20902230.97)</f>
        <v>38628.456705474717</v>
      </c>
      <c r="W228" s="5" t="str">
        <f t="shared" ref="W228:W291" si="69">IF(D228&lt;4,"n/a",ACOS( SIN($B228*PI()/180)*SIN(O228*PI()/180) + COS($B228*PI()/180) *COS(O228*PI()/180) *COS(P228*PI()/180 - $C228*PI()/180))*20902230.97)</f>
        <v>n/a</v>
      </c>
      <c r="X228" s="6" t="str">
        <f t="shared" ref="X228:X291" si="70">IF(D228&lt;5,"n/a", ACOS( SIN($B228*PI()/180)*SIN(R228*PI()/180) + COS($B228*PI()/180) *COS(R228*PI()/180) *COS(S228*PI()/180 - $C228*PI()/180))*20902230.97)</f>
        <v>n/a</v>
      </c>
      <c r="Y228" s="16">
        <f t="shared" ref="Y228:Y291" si="71">IF($D228=2,(1/T228)/((1/$T228)+(1/$U228)),IF($D228=3,(1/T228)/((1/$T228)+(1/$U228)+(1/$V228)),IF($D228=4,(1/T228)/((1/$T228)+(1/$U228)+(1/$V228)+(1/$W228)),IF($D228=5,(1/T228)/((1/$T228)+(1/$U228)+(1/$V228)+(1/$W228)+(1/$X228)),"error"))))</f>
        <v>0.89843161094399981</v>
      </c>
      <c r="Z228" s="16">
        <f t="shared" ref="Z228:Z291" si="72">IF($D228=2,(1/U228)/((1/$T228)+(1/$U228)),IF($D228=3,(1/U228)/((1/$T228)+(1/$U228)+(1/$V228)),IF($D228=4,(1/U228)/((1/$T228)+(1/$U228)+(1/$V228)+(1/$W228)),IF($D228=5,(1/U228)/((1/$T228)+(1/$U228)+(1/$V228)+(1/$W228)+(1/$X228)),"error"))))</f>
        <v>6.9263458422764268E-2</v>
      </c>
      <c r="AA228" s="16">
        <f t="shared" ref="AA228:AA291" si="73">IF($D228=2,(1/V228)/((1/$T228)+(1/$U228)),IF($D228=3,(1/V228)/((1/$T228)+(1/$U228)+(1/$V228)),IF($D228=4,(1/V228)/((1/$T228)+(1/$U228)+(1/$V228)+(1/$W228)),IF($D228=5,(1/V228)/((1/$T228)+(1/$U228)+(1/$V228)+(1/$W228)+(1/$X228)),"error"))))</f>
        <v>3.2304930633235959E-2</v>
      </c>
      <c r="AB228" s="16" t="e">
        <f t="shared" ref="AB228:AB291" si="74">IF($D228=2,(1/W228)/((1/$T228)+(1/$U228)),IF($D228=3,(1/W228)/((1/$T228)+(1/$U228)+(1/$V228)),IF($D228=4,(1/W228)/((1/$T228)+(1/$U228)+(1/$V228)+(1/$W228)),IF($D228=5,(1/W228)/((1/$T228)+(1/$U228)+(1/$V228)+(1/$W228)+(1/$X228)),"error"))))</f>
        <v>#VALUE!</v>
      </c>
      <c r="AC228" s="18" t="e">
        <f t="shared" ref="AC228:AC291" si="75">IF($D228=2,(1/X228)/((1/$T228)+(1/$U228)),IF($D228=3,(1/X228)/((1/$T228)+(1/$U228)+(1/$V228)),IF($D228=4,(1/X228)/((1/$T228)+(1/$U228)+(1/$V228)+(1/$W228)),IF($D228=5,(1/X228)/((1/$T228)+(1/$U228)+(1/$V228)+(1/$W228)+(1/$X228)),"error"))))</f>
        <v>#VALUE!</v>
      </c>
      <c r="AD228" s="16">
        <f t="shared" ref="AD228:AD291" si="76">IF($D228=2,(1/T228^2)/((1/$T228^2)+(1/$U228^2)),IF($D228=3,(1/T228^2)/((1/$T228^2)+(1/$U228^2)+(1/$V228^2)),IF($D228=4,(1/T228^2)/((1/$T228^2)+(1/$U228^2)+(1/$V228^2)+(1/$W228^2)),IF($D228=5,(1/T228^2)/((1/$T228^2)+(1/$U228^2)+(1/$V228^2)+(1/$W228^2)+(1/$X228^2)),"error"))))</f>
        <v>0.99281563506456771</v>
      </c>
      <c r="AE228" s="16">
        <f t="shared" ref="AE228:AE291" si="77">IF($D228=2,(1/U228^2)/((1/$T228^2)+(1/$U228^2)),IF($D228=3,(1/U228^2)/((1/$T228^2)+(1/$U228^2)+(1/$V228^2)),IF($D228=4,(1/U228^2)/((1/$T228^2)+(1/$U228^2)+(1/$V228^2)+(1/$W228^2)),IF($D228=5,(1/U228^2)/((1/$T228^2)+(1/$U228^2)+(1/$V228^2)+(1/$W228^2)+(1/$X228^2)),"error"))))</f>
        <v>5.9007457913797133E-3</v>
      </c>
      <c r="AF228" s="16">
        <f t="shared" ref="AF228:AF291" si="78">IF($D228=2,(1/V228^2)/((1/$T228^2)+(1/$U228^2)),IF($D228=3,(1/V228^2)/((1/$T228^2)+(1/$U228^2)+(1/$V228^2)),IF($D228=4,(1/V228^2)/((1/$T228^2)+(1/$U228^2)+(1/$V228^2)+(1/$W228^2)),IF($D228=5,(1/V228^2)/((1/$T228^2)+(1/$U228^2)+(1/$V228^2)+(1/$W228^2)+(1/$X228^2)),"error"))))</f>
        <v>1.2836191440524869E-3</v>
      </c>
      <c r="AG228" s="16" t="e">
        <f t="shared" ref="AG228:AG291" si="79">IF($D228=2,(1/W228^2)/((1/$T228^2)+(1/$U228^2)),IF($D228=3,(1/W228^2)/((1/$T228^2)+(1/$U228^2)+(1/$V228^2)),IF($D228=4,(1/W228^2)/((1/$T228^2)+(1/$U228^2)+(1/$V228^2)+(1/$W228^2)),IF($D228=5,(1/W228^2)/((1/$T228^2)+(1/$U228^2)+(1/$V228^2)+(1/$W228^2)+(1/$X228^2)),"error"))))</f>
        <v>#VALUE!</v>
      </c>
      <c r="AH228" s="16" t="e">
        <f t="shared" ref="AH228:AH291" si="80">IF($D228=2,(1/X228^2)/((1/$T228^2)+(1/$U228^2)),IF($D228=3,(1/X228^2)/((1/$T228^2)+(1/$U228^2)+(1/$V228^2)),IF($D228=4,(1/X228^2)/((1/$T228^2)+(1/$U228^2)+(1/$V228^2)+(1/$W228^2)),IF($D228=5,(1/X228^2)/((1/$T228^2)+(1/$U228^2)+(1/$V228^2)+(1/$W228^2)+(1/$X228^2)),"error"))))</f>
        <v>#VALUE!</v>
      </c>
    </row>
    <row r="229" spans="1:34" x14ac:dyDescent="0.25">
      <c r="A229" s="12">
        <v>23935</v>
      </c>
      <c r="B229" s="13">
        <v>44.497466699999997</v>
      </c>
      <c r="C229" s="12">
        <v>89.503600000000006</v>
      </c>
      <c r="D229" s="13">
        <v>0</v>
      </c>
      <c r="T229" s="5">
        <f t="shared" si="66"/>
        <v>32703978.11219044</v>
      </c>
      <c r="U229" s="5">
        <f t="shared" si="67"/>
        <v>32703978.11219044</v>
      </c>
      <c r="V229" s="5" t="str">
        <f t="shared" si="68"/>
        <v>n/a</v>
      </c>
      <c r="W229" s="5" t="str">
        <f t="shared" si="69"/>
        <v>n/a</v>
      </c>
      <c r="X229" s="6" t="str">
        <f t="shared" si="70"/>
        <v>n/a</v>
      </c>
      <c r="Y229" s="16" t="str">
        <f t="shared" si="71"/>
        <v>error</v>
      </c>
      <c r="Z229" s="16" t="str">
        <f t="shared" si="72"/>
        <v>error</v>
      </c>
      <c r="AA229" s="16" t="str">
        <f t="shared" si="73"/>
        <v>error</v>
      </c>
      <c r="AB229" s="16" t="str">
        <f t="shared" si="74"/>
        <v>error</v>
      </c>
      <c r="AC229" s="18" t="str">
        <f t="shared" si="75"/>
        <v>error</v>
      </c>
      <c r="AD229" s="16" t="str">
        <f t="shared" si="76"/>
        <v>error</v>
      </c>
      <c r="AE229" s="16" t="str">
        <f t="shared" si="77"/>
        <v>error</v>
      </c>
      <c r="AF229" s="16" t="str">
        <f t="shared" si="78"/>
        <v>error</v>
      </c>
      <c r="AG229" s="16" t="str">
        <f t="shared" si="79"/>
        <v>error</v>
      </c>
      <c r="AH229" s="16" t="str">
        <f t="shared" si="80"/>
        <v>error</v>
      </c>
    </row>
    <row r="230" spans="1:34" x14ac:dyDescent="0.25">
      <c r="A230" s="12">
        <v>23936</v>
      </c>
      <c r="B230" s="13">
        <v>44.500774999999997</v>
      </c>
      <c r="C230" s="12">
        <v>89.472388300000006</v>
      </c>
      <c r="D230" s="14">
        <v>4</v>
      </c>
      <c r="E230" s="13" t="s">
        <v>42</v>
      </c>
      <c r="F230" s="13">
        <v>44.48254</v>
      </c>
      <c r="G230" s="12">
        <v>89.479749999999996</v>
      </c>
      <c r="H230" s="13" t="s">
        <v>39</v>
      </c>
      <c r="I230" s="13">
        <v>44.508710000000001</v>
      </c>
      <c r="J230" s="12">
        <v>89.539320000000004</v>
      </c>
      <c r="K230" s="13" t="s">
        <v>40</v>
      </c>
      <c r="L230" s="13">
        <v>44.550669999999997</v>
      </c>
      <c r="M230" s="12">
        <v>89.481380000000001</v>
      </c>
      <c r="N230" s="13" t="s">
        <v>41</v>
      </c>
      <c r="O230" s="13">
        <v>44.515129999999999</v>
      </c>
      <c r="P230" s="12">
        <v>89.335830000000001</v>
      </c>
      <c r="T230" s="5">
        <f t="shared" si="66"/>
        <v>6922.7325674130079</v>
      </c>
      <c r="U230" s="5">
        <f t="shared" si="67"/>
        <v>17653.362804173223</v>
      </c>
      <c r="V230" s="5">
        <f t="shared" si="68"/>
        <v>18351.950970977952</v>
      </c>
      <c r="W230" s="5">
        <f t="shared" si="69"/>
        <v>35911.89757186213</v>
      </c>
      <c r="X230" s="6" t="str">
        <f t="shared" si="70"/>
        <v>n/a</v>
      </c>
      <c r="Y230" s="16">
        <f t="shared" si="71"/>
        <v>0.5096480170479567</v>
      </c>
      <c r="Z230" s="16">
        <f t="shared" si="72"/>
        <v>0.19985749823831298</v>
      </c>
      <c r="AA230" s="16">
        <f t="shared" si="73"/>
        <v>0.19224969220519547</v>
      </c>
      <c r="AB230" s="16">
        <f t="shared" si="74"/>
        <v>9.8244792508534795E-2</v>
      </c>
      <c r="AC230" s="18" t="e">
        <f t="shared" si="75"/>
        <v>#VALUE!</v>
      </c>
      <c r="AD230" s="16">
        <f t="shared" si="76"/>
        <v>0.75005493293862335</v>
      </c>
      <c r="AE230" s="16">
        <f t="shared" si="77"/>
        <v>0.11534354301747775</v>
      </c>
      <c r="AF230" s="16">
        <f t="shared" si="78"/>
        <v>0.10672930967173418</v>
      </c>
      <c r="AG230" s="16">
        <f t="shared" si="79"/>
        <v>2.7872214372164666E-2</v>
      </c>
      <c r="AH230" s="16" t="e">
        <f t="shared" si="80"/>
        <v>#VALUE!</v>
      </c>
    </row>
    <row r="231" spans="1:34" x14ac:dyDescent="0.25">
      <c r="A231" s="12">
        <v>23937</v>
      </c>
      <c r="B231" s="13">
        <v>44.439279999999997</v>
      </c>
      <c r="C231" s="12">
        <v>89.486585000000005</v>
      </c>
      <c r="D231" s="14">
        <v>4</v>
      </c>
      <c r="E231" s="13" t="s">
        <v>42</v>
      </c>
      <c r="F231" s="13">
        <v>44.467880000000001</v>
      </c>
      <c r="G231" s="12">
        <v>89.489230000000006</v>
      </c>
      <c r="H231" s="13" t="s">
        <v>50</v>
      </c>
      <c r="I231" s="13">
        <v>44.429630000000003</v>
      </c>
      <c r="J231" s="12">
        <v>89.569119999999998</v>
      </c>
      <c r="K231" s="13" t="s">
        <v>44</v>
      </c>
      <c r="L231" s="13">
        <v>44.400149999999996</v>
      </c>
      <c r="M231" s="12">
        <v>89.481020000000001</v>
      </c>
      <c r="N231" s="13" t="s">
        <v>43</v>
      </c>
      <c r="O231" s="13">
        <v>44.436500000000002</v>
      </c>
      <c r="P231" s="12">
        <v>89.375389999999996</v>
      </c>
      <c r="T231" s="5">
        <f t="shared" si="66"/>
        <v>10456.355257638759</v>
      </c>
      <c r="U231" s="5">
        <f t="shared" si="67"/>
        <v>21786.285984612779</v>
      </c>
      <c r="V231" s="5">
        <f t="shared" si="68"/>
        <v>14348.578233698607</v>
      </c>
      <c r="W231" s="5">
        <f t="shared" si="69"/>
        <v>28981.809655847323</v>
      </c>
      <c r="X231" s="6" t="str">
        <f t="shared" si="70"/>
        <v>n/a</v>
      </c>
      <c r="Y231" s="16">
        <f t="shared" si="71"/>
        <v>0.38918386314640474</v>
      </c>
      <c r="Z231" s="16">
        <f t="shared" si="72"/>
        <v>0.18678928278428183</v>
      </c>
      <c r="AA231" s="16">
        <f t="shared" si="73"/>
        <v>0.28361309861639855</v>
      </c>
      <c r="AB231" s="16">
        <f t="shared" si="74"/>
        <v>0.14041375545291487</v>
      </c>
      <c r="AC231" s="18" t="e">
        <f t="shared" si="75"/>
        <v>#VALUE!</v>
      </c>
      <c r="AD231" s="16">
        <f t="shared" si="76"/>
        <v>0.52865801941599422</v>
      </c>
      <c r="AE231" s="16">
        <f t="shared" si="77"/>
        <v>0.12177806928270268</v>
      </c>
      <c r="AF231" s="16">
        <f t="shared" si="78"/>
        <v>0.28074869406970687</v>
      </c>
      <c r="AG231" s="16">
        <f t="shared" si="79"/>
        <v>6.8815217231596323E-2</v>
      </c>
      <c r="AH231" s="16" t="e">
        <f t="shared" si="80"/>
        <v>#VALUE!</v>
      </c>
    </row>
    <row r="232" spans="1:34" x14ac:dyDescent="0.25">
      <c r="A232" s="12">
        <v>23938</v>
      </c>
      <c r="B232" s="13">
        <v>44.506479900000002</v>
      </c>
      <c r="C232" s="12">
        <v>89.5112922</v>
      </c>
      <c r="D232" s="13">
        <v>0</v>
      </c>
      <c r="T232" s="5">
        <f t="shared" si="66"/>
        <v>32705999.353979666</v>
      </c>
      <c r="U232" s="5">
        <f t="shared" si="67"/>
        <v>32705999.353979666</v>
      </c>
      <c r="V232" s="5" t="str">
        <f t="shared" si="68"/>
        <v>n/a</v>
      </c>
      <c r="W232" s="5" t="str">
        <f t="shared" si="69"/>
        <v>n/a</v>
      </c>
      <c r="X232" s="6" t="str">
        <f t="shared" si="70"/>
        <v>n/a</v>
      </c>
      <c r="Y232" s="16" t="str">
        <f t="shared" si="71"/>
        <v>error</v>
      </c>
      <c r="Z232" s="16" t="str">
        <f t="shared" si="72"/>
        <v>error</v>
      </c>
      <c r="AA232" s="16" t="str">
        <f t="shared" si="73"/>
        <v>error</v>
      </c>
      <c r="AB232" s="16" t="str">
        <f t="shared" si="74"/>
        <v>error</v>
      </c>
      <c r="AC232" s="18" t="str">
        <f t="shared" si="75"/>
        <v>error</v>
      </c>
      <c r="AD232" s="16" t="str">
        <f t="shared" si="76"/>
        <v>error</v>
      </c>
      <c r="AE232" s="16" t="str">
        <f t="shared" si="77"/>
        <v>error</v>
      </c>
      <c r="AF232" s="16" t="str">
        <f t="shared" si="78"/>
        <v>error</v>
      </c>
      <c r="AG232" s="16" t="str">
        <f t="shared" si="79"/>
        <v>error</v>
      </c>
      <c r="AH232" s="16" t="str">
        <f t="shared" si="80"/>
        <v>error</v>
      </c>
    </row>
    <row r="233" spans="1:34" x14ac:dyDescent="0.25">
      <c r="A233" s="12">
        <v>23939</v>
      </c>
      <c r="B233" s="13">
        <v>44.484981699999999</v>
      </c>
      <c r="C233" s="12">
        <v>89.451993400000006</v>
      </c>
      <c r="D233" s="14">
        <v>3</v>
      </c>
      <c r="E233" s="13" t="s">
        <v>42</v>
      </c>
      <c r="F233" s="13">
        <v>44.48245</v>
      </c>
      <c r="G233" s="12">
        <v>89.479990000000001</v>
      </c>
      <c r="H233" s="13" t="s">
        <v>41</v>
      </c>
      <c r="I233" s="13">
        <v>44.51446</v>
      </c>
      <c r="J233" s="12">
        <v>89.335939999999994</v>
      </c>
      <c r="K233" s="13" t="s">
        <v>43</v>
      </c>
      <c r="L233" s="13">
        <v>44.436320000000002</v>
      </c>
      <c r="M233" s="12">
        <v>89.375429999999994</v>
      </c>
      <c r="T233" s="5">
        <f t="shared" si="66"/>
        <v>7345.1287478480644</v>
      </c>
      <c r="U233" s="5">
        <f t="shared" si="67"/>
        <v>32055.309473643738</v>
      </c>
      <c r="V233" s="5">
        <f t="shared" si="68"/>
        <v>26694.012401155614</v>
      </c>
      <c r="W233" s="5" t="str">
        <f t="shared" si="69"/>
        <v>n/a</v>
      </c>
      <c r="X233" s="6" t="str">
        <f t="shared" si="70"/>
        <v>n/a</v>
      </c>
      <c r="Y233" s="16">
        <f t="shared" si="71"/>
        <v>0.6647612900856319</v>
      </c>
      <c r="Z233" s="16">
        <f t="shared" si="72"/>
        <v>0.15232288636237323</v>
      </c>
      <c r="AA233" s="16">
        <f t="shared" si="73"/>
        <v>0.18291582355199482</v>
      </c>
      <c r="AB233" s="16" t="e">
        <f t="shared" si="74"/>
        <v>#VALUE!</v>
      </c>
      <c r="AC233" s="18" t="e">
        <f t="shared" si="75"/>
        <v>#VALUE!</v>
      </c>
      <c r="AD233" s="16">
        <f t="shared" si="76"/>
        <v>0.88635360379366734</v>
      </c>
      <c r="AE233" s="16">
        <f t="shared" si="77"/>
        <v>4.6537804619367032E-2</v>
      </c>
      <c r="AF233" s="16">
        <f t="shared" si="78"/>
        <v>6.7108591586965582E-2</v>
      </c>
      <c r="AG233" s="16" t="e">
        <f t="shared" si="79"/>
        <v>#VALUE!</v>
      </c>
      <c r="AH233" s="16" t="e">
        <f t="shared" si="80"/>
        <v>#VALUE!</v>
      </c>
    </row>
    <row r="234" spans="1:34" x14ac:dyDescent="0.25">
      <c r="A234" s="12">
        <v>23942</v>
      </c>
      <c r="B234" s="13">
        <v>44.450184999999998</v>
      </c>
      <c r="C234" s="12">
        <v>89.569192000000001</v>
      </c>
      <c r="D234" s="14">
        <v>4</v>
      </c>
      <c r="E234" s="13" t="s">
        <v>42</v>
      </c>
      <c r="F234" s="13">
        <v>44.470410000000001</v>
      </c>
      <c r="G234" s="12">
        <v>89.511759999999995</v>
      </c>
      <c r="H234" s="13" t="s">
        <v>44</v>
      </c>
      <c r="I234" s="13">
        <v>44.388379999999998</v>
      </c>
      <c r="J234" s="12">
        <v>89.530510000000007</v>
      </c>
      <c r="K234" s="13" t="s">
        <v>48</v>
      </c>
      <c r="L234" s="13">
        <v>44.462609999999998</v>
      </c>
      <c r="M234" s="12">
        <v>89.562640000000002</v>
      </c>
      <c r="N234" s="13" t="s">
        <v>49</v>
      </c>
      <c r="O234" s="13">
        <v>44.43582</v>
      </c>
      <c r="P234" s="12">
        <v>89.562870000000004</v>
      </c>
      <c r="T234" s="5">
        <f t="shared" si="66"/>
        <v>16675.318511775033</v>
      </c>
      <c r="U234" s="5">
        <f t="shared" si="67"/>
        <v>24697.502279847311</v>
      </c>
      <c r="V234" s="5">
        <f t="shared" si="68"/>
        <v>4843.2550402131355</v>
      </c>
      <c r="W234" s="5">
        <f t="shared" si="69"/>
        <v>5493.135047793915</v>
      </c>
      <c r="X234" s="6" t="str">
        <f t="shared" si="70"/>
        <v>n/a</v>
      </c>
      <c r="Y234" s="16">
        <f t="shared" si="71"/>
        <v>0.12264151565093519</v>
      </c>
      <c r="Z234" s="16">
        <f t="shared" si="72"/>
        <v>8.2805391131188927E-2</v>
      </c>
      <c r="AA234" s="16">
        <f t="shared" si="73"/>
        <v>0.42225452082659459</v>
      </c>
      <c r="AB234" s="16">
        <f t="shared" si="74"/>
        <v>0.37229857239128117</v>
      </c>
      <c r="AC234" s="18" t="e">
        <f t="shared" si="75"/>
        <v>#VALUE!</v>
      </c>
      <c r="AD234" s="16">
        <f t="shared" si="76"/>
        <v>4.4394385705670801E-2</v>
      </c>
      <c r="AE234" s="16">
        <f t="shared" si="77"/>
        <v>2.0238124284380175E-2</v>
      </c>
      <c r="AF234" s="16">
        <f t="shared" si="78"/>
        <v>0.52626156006199953</v>
      </c>
      <c r="AG234" s="16">
        <f t="shared" si="79"/>
        <v>0.40910592994794942</v>
      </c>
      <c r="AH234" s="16" t="e">
        <f t="shared" si="80"/>
        <v>#VALUE!</v>
      </c>
    </row>
    <row r="235" spans="1:34" x14ac:dyDescent="0.25">
      <c r="A235" s="12">
        <v>23944</v>
      </c>
      <c r="B235" s="13">
        <v>44.4610719</v>
      </c>
      <c r="C235" s="12">
        <v>89.383177599999996</v>
      </c>
      <c r="D235" s="14">
        <v>3</v>
      </c>
      <c r="E235" s="13" t="s">
        <v>42</v>
      </c>
      <c r="F235" s="13">
        <v>44.48245</v>
      </c>
      <c r="G235" s="12">
        <v>89.479990000000001</v>
      </c>
      <c r="H235" s="13" t="s">
        <v>41</v>
      </c>
      <c r="I235" s="13">
        <v>44.51446</v>
      </c>
      <c r="J235" s="12">
        <v>89.335939999999994</v>
      </c>
      <c r="K235" s="13" t="s">
        <v>43</v>
      </c>
      <c r="L235" s="13">
        <v>44.436320000000002</v>
      </c>
      <c r="M235" s="12">
        <v>89.375429999999994</v>
      </c>
      <c r="T235" s="5">
        <f t="shared" si="66"/>
        <v>26382.16515836757</v>
      </c>
      <c r="U235" s="5">
        <f t="shared" si="67"/>
        <v>23032.175771078706</v>
      </c>
      <c r="V235" s="5">
        <f t="shared" si="68"/>
        <v>9252.4938594950345</v>
      </c>
      <c r="W235" s="5" t="str">
        <f t="shared" si="69"/>
        <v>n/a</v>
      </c>
      <c r="X235" s="6" t="str">
        <f t="shared" si="70"/>
        <v>n/a</v>
      </c>
      <c r="Y235" s="16">
        <f t="shared" si="71"/>
        <v>0.20012786341311245</v>
      </c>
      <c r="Z235" s="16">
        <f t="shared" si="72"/>
        <v>0.22923610855669849</v>
      </c>
      <c r="AA235" s="16">
        <f t="shared" si="73"/>
        <v>0.57063602803018898</v>
      </c>
      <c r="AB235" s="16" t="e">
        <f t="shared" si="74"/>
        <v>#VALUE!</v>
      </c>
      <c r="AC235" s="18" t="e">
        <f t="shared" si="75"/>
        <v>#VALUE!</v>
      </c>
      <c r="AD235" s="16">
        <f t="shared" si="76"/>
        <v>9.5764437970504324E-2</v>
      </c>
      <c r="AE235" s="16">
        <f t="shared" si="77"/>
        <v>0.1256478904156049</v>
      </c>
      <c r="AF235" s="16">
        <f t="shared" si="78"/>
        <v>0.77858767161389097</v>
      </c>
      <c r="AG235" s="16" t="e">
        <f t="shared" si="79"/>
        <v>#VALUE!</v>
      </c>
      <c r="AH235" s="16" t="e">
        <f t="shared" si="80"/>
        <v>#VALUE!</v>
      </c>
    </row>
    <row r="236" spans="1:34" x14ac:dyDescent="0.25">
      <c r="A236" s="12">
        <v>23945</v>
      </c>
      <c r="B236" s="13">
        <v>44.428199999999997</v>
      </c>
      <c r="C236" s="12">
        <v>89.621920000000003</v>
      </c>
      <c r="D236" s="14">
        <v>0</v>
      </c>
      <c r="T236" s="5">
        <f t="shared" si="66"/>
        <v>32734649.411890224</v>
      </c>
      <c r="U236" s="5">
        <f t="shared" si="67"/>
        <v>32734649.411890224</v>
      </c>
      <c r="V236" s="5" t="str">
        <f t="shared" si="68"/>
        <v>n/a</v>
      </c>
      <c r="W236" s="5" t="str">
        <f t="shared" si="69"/>
        <v>n/a</v>
      </c>
      <c r="X236" s="6" t="str">
        <f t="shared" si="70"/>
        <v>n/a</v>
      </c>
      <c r="Y236" s="16" t="str">
        <f t="shared" si="71"/>
        <v>error</v>
      </c>
      <c r="Z236" s="16" t="str">
        <f t="shared" si="72"/>
        <v>error</v>
      </c>
      <c r="AA236" s="16" t="str">
        <f t="shared" si="73"/>
        <v>error</v>
      </c>
      <c r="AB236" s="16" t="str">
        <f t="shared" si="74"/>
        <v>error</v>
      </c>
      <c r="AC236" s="18" t="str">
        <f t="shared" si="75"/>
        <v>error</v>
      </c>
      <c r="AD236" s="16" t="str">
        <f t="shared" si="76"/>
        <v>error</v>
      </c>
      <c r="AE236" s="16" t="str">
        <f t="shared" si="77"/>
        <v>error</v>
      </c>
      <c r="AF236" s="16" t="str">
        <f t="shared" si="78"/>
        <v>error</v>
      </c>
      <c r="AG236" s="16" t="str">
        <f t="shared" si="79"/>
        <v>error</v>
      </c>
      <c r="AH236" s="16" t="str">
        <f t="shared" si="80"/>
        <v>error</v>
      </c>
    </row>
    <row r="237" spans="1:34" x14ac:dyDescent="0.25">
      <c r="A237" s="12">
        <v>23947</v>
      </c>
      <c r="B237" s="13">
        <v>44.419888</v>
      </c>
      <c r="C237" s="12">
        <v>89.446280000000002</v>
      </c>
      <c r="D237" s="13">
        <v>0</v>
      </c>
      <c r="T237" s="5">
        <f t="shared" si="66"/>
        <v>32688871.374724437</v>
      </c>
      <c r="U237" s="5">
        <f t="shared" si="67"/>
        <v>32688871.374724437</v>
      </c>
      <c r="V237" s="5" t="str">
        <f t="shared" si="68"/>
        <v>n/a</v>
      </c>
      <c r="W237" s="5" t="str">
        <f t="shared" si="69"/>
        <v>n/a</v>
      </c>
      <c r="X237" s="6" t="str">
        <f t="shared" si="70"/>
        <v>n/a</v>
      </c>
      <c r="Y237" s="16" t="str">
        <f t="shared" si="71"/>
        <v>error</v>
      </c>
      <c r="Z237" s="16" t="str">
        <f t="shared" si="72"/>
        <v>error</v>
      </c>
      <c r="AA237" s="16" t="str">
        <f t="shared" si="73"/>
        <v>error</v>
      </c>
      <c r="AB237" s="16" t="str">
        <f t="shared" si="74"/>
        <v>error</v>
      </c>
      <c r="AC237" s="18" t="str">
        <f t="shared" si="75"/>
        <v>error</v>
      </c>
      <c r="AD237" s="16" t="str">
        <f t="shared" si="76"/>
        <v>error</v>
      </c>
      <c r="AE237" s="16" t="str">
        <f t="shared" si="77"/>
        <v>error</v>
      </c>
      <c r="AF237" s="16" t="str">
        <f t="shared" si="78"/>
        <v>error</v>
      </c>
      <c r="AG237" s="16" t="str">
        <f t="shared" si="79"/>
        <v>error</v>
      </c>
      <c r="AH237" s="16" t="str">
        <f t="shared" si="80"/>
        <v>error</v>
      </c>
    </row>
    <row r="238" spans="1:34" x14ac:dyDescent="0.25">
      <c r="A238" s="12">
        <v>23948</v>
      </c>
      <c r="B238" s="13">
        <v>44.430905000000003</v>
      </c>
      <c r="C238" s="12">
        <v>89.459102000000001</v>
      </c>
      <c r="D238" s="14">
        <v>3</v>
      </c>
      <c r="E238" s="13" t="s">
        <v>42</v>
      </c>
      <c r="F238" s="13">
        <v>44.467599999999997</v>
      </c>
      <c r="G238" s="12">
        <v>89.486879999999999</v>
      </c>
      <c r="H238" s="13" t="s">
        <v>44</v>
      </c>
      <c r="I238" s="13">
        <v>44.399880000000003</v>
      </c>
      <c r="J238" s="12">
        <v>89.480710000000002</v>
      </c>
      <c r="K238" s="13" t="s">
        <v>43</v>
      </c>
      <c r="L238" s="13">
        <v>44.436320000000002</v>
      </c>
      <c r="M238" s="12">
        <v>89.375429999999994</v>
      </c>
      <c r="T238" s="5">
        <f t="shared" si="66"/>
        <v>15216.445321936739</v>
      </c>
      <c r="U238" s="5">
        <f t="shared" si="67"/>
        <v>12641.522987420685</v>
      </c>
      <c r="V238" s="5">
        <f t="shared" si="68"/>
        <v>21885.805022798857</v>
      </c>
      <c r="W238" s="5" t="str">
        <f t="shared" si="69"/>
        <v>n/a</v>
      </c>
      <c r="X238" s="6" t="str">
        <f t="shared" si="70"/>
        <v>n/a</v>
      </c>
      <c r="Y238" s="16">
        <f t="shared" si="71"/>
        <v>0.34495210503977852</v>
      </c>
      <c r="Z238" s="16">
        <f t="shared" si="72"/>
        <v>0.41521459481170769</v>
      </c>
      <c r="AA238" s="16">
        <f t="shared" si="73"/>
        <v>0.23983330014851378</v>
      </c>
      <c r="AB238" s="16" t="e">
        <f t="shared" si="74"/>
        <v>#VALUE!</v>
      </c>
      <c r="AC238" s="18" t="e">
        <f t="shared" si="75"/>
        <v>#VALUE!</v>
      </c>
      <c r="AD238" s="16">
        <f t="shared" si="76"/>
        <v>0.34103409619190234</v>
      </c>
      <c r="AE238" s="16">
        <f t="shared" si="77"/>
        <v>0.49411202528029508</v>
      </c>
      <c r="AF238" s="16">
        <f t="shared" si="78"/>
        <v>0.1648538785278027</v>
      </c>
      <c r="AG238" s="16" t="e">
        <f t="shared" si="79"/>
        <v>#VALUE!</v>
      </c>
      <c r="AH238" s="16" t="e">
        <f t="shared" si="80"/>
        <v>#VALUE!</v>
      </c>
    </row>
    <row r="239" spans="1:34" x14ac:dyDescent="0.25">
      <c r="A239" s="12">
        <v>23951</v>
      </c>
      <c r="B239" s="13">
        <v>44.486499999999999</v>
      </c>
      <c r="C239" s="12">
        <v>89.334599999999995</v>
      </c>
      <c r="D239" s="13">
        <v>0</v>
      </c>
      <c r="T239" s="5">
        <f t="shared" si="66"/>
        <v>32659970.474563707</v>
      </c>
      <c r="U239" s="5">
        <f t="shared" si="67"/>
        <v>32659970.474563707</v>
      </c>
      <c r="V239" s="5" t="str">
        <f t="shared" si="68"/>
        <v>n/a</v>
      </c>
      <c r="W239" s="5" t="str">
        <f t="shared" si="69"/>
        <v>n/a</v>
      </c>
      <c r="X239" s="6" t="str">
        <f t="shared" si="70"/>
        <v>n/a</v>
      </c>
      <c r="Y239" s="16" t="str">
        <f t="shared" si="71"/>
        <v>error</v>
      </c>
      <c r="Z239" s="16" t="str">
        <f t="shared" si="72"/>
        <v>error</v>
      </c>
      <c r="AA239" s="16" t="str">
        <f t="shared" si="73"/>
        <v>error</v>
      </c>
      <c r="AB239" s="16" t="str">
        <f t="shared" si="74"/>
        <v>error</v>
      </c>
      <c r="AC239" s="18" t="str">
        <f t="shared" si="75"/>
        <v>error</v>
      </c>
      <c r="AD239" s="16" t="str">
        <f t="shared" si="76"/>
        <v>error</v>
      </c>
      <c r="AE239" s="16" t="str">
        <f t="shared" si="77"/>
        <v>error</v>
      </c>
      <c r="AF239" s="16" t="str">
        <f t="shared" si="78"/>
        <v>error</v>
      </c>
      <c r="AG239" s="16" t="str">
        <f t="shared" si="79"/>
        <v>error</v>
      </c>
      <c r="AH239" s="16" t="str">
        <f t="shared" si="80"/>
        <v>error</v>
      </c>
    </row>
    <row r="240" spans="1:34" x14ac:dyDescent="0.25">
      <c r="A240" s="12">
        <v>23956</v>
      </c>
      <c r="B240" s="13">
        <v>44.425741000000002</v>
      </c>
      <c r="C240" s="12">
        <v>89.431466</v>
      </c>
      <c r="D240" s="14">
        <v>3</v>
      </c>
      <c r="E240" s="13" t="s">
        <v>42</v>
      </c>
      <c r="F240" s="13">
        <v>44.467599999999997</v>
      </c>
      <c r="G240" s="12">
        <v>89.486879999999999</v>
      </c>
      <c r="H240" s="13" t="s">
        <v>44</v>
      </c>
      <c r="I240" s="13">
        <v>44.399880000000003</v>
      </c>
      <c r="J240" s="12">
        <v>89.480710000000002</v>
      </c>
      <c r="K240" s="13" t="s">
        <v>43</v>
      </c>
      <c r="L240" s="13">
        <v>44.436320000000002</v>
      </c>
      <c r="M240" s="12">
        <v>89.375429999999994</v>
      </c>
      <c r="T240" s="5">
        <f t="shared" si="66"/>
        <v>21011.392110031047</v>
      </c>
      <c r="U240" s="5">
        <f t="shared" si="67"/>
        <v>15927.439308255534</v>
      </c>
      <c r="V240" s="5">
        <f t="shared" si="68"/>
        <v>15099.509075839682</v>
      </c>
      <c r="W240" s="5" t="str">
        <f t="shared" si="69"/>
        <v>n/a</v>
      </c>
      <c r="X240" s="6" t="str">
        <f t="shared" si="70"/>
        <v>n/a</v>
      </c>
      <c r="Y240" s="16">
        <f t="shared" si="71"/>
        <v>0.26948927771510811</v>
      </c>
      <c r="Z240" s="16">
        <f t="shared" si="72"/>
        <v>0.3555088030118107</v>
      </c>
      <c r="AA240" s="16">
        <f t="shared" si="73"/>
        <v>0.37500191927308107</v>
      </c>
      <c r="AB240" s="16" t="e">
        <f t="shared" si="74"/>
        <v>#VALUE!</v>
      </c>
      <c r="AC240" s="18" t="e">
        <f t="shared" si="75"/>
        <v>#VALUE!</v>
      </c>
      <c r="AD240" s="16">
        <f t="shared" si="76"/>
        <v>0.21382941537242192</v>
      </c>
      <c r="AE240" s="16">
        <f t="shared" si="77"/>
        <v>0.37212186244531642</v>
      </c>
      <c r="AF240" s="16">
        <f t="shared" si="78"/>
        <v>0.41404872218226163</v>
      </c>
      <c r="AG240" s="16" t="e">
        <f t="shared" si="79"/>
        <v>#VALUE!</v>
      </c>
      <c r="AH240" s="16" t="e">
        <f t="shared" si="80"/>
        <v>#VALUE!</v>
      </c>
    </row>
    <row r="241" spans="1:34" x14ac:dyDescent="0.25">
      <c r="A241" s="12">
        <v>23959</v>
      </c>
      <c r="B241" s="13">
        <v>44.510404000000001</v>
      </c>
      <c r="C241" s="12">
        <v>89.511469300000002</v>
      </c>
      <c r="D241" s="13">
        <v>0</v>
      </c>
      <c r="T241" s="5">
        <f t="shared" si="66"/>
        <v>32706053.986713476</v>
      </c>
      <c r="U241" s="5">
        <f t="shared" si="67"/>
        <v>32706053.986713476</v>
      </c>
      <c r="V241" s="5" t="str">
        <f t="shared" si="68"/>
        <v>n/a</v>
      </c>
      <c r="W241" s="5" t="str">
        <f t="shared" si="69"/>
        <v>n/a</v>
      </c>
      <c r="X241" s="6" t="str">
        <f t="shared" si="70"/>
        <v>n/a</v>
      </c>
      <c r="Y241" s="16" t="str">
        <f t="shared" si="71"/>
        <v>error</v>
      </c>
      <c r="Z241" s="16" t="str">
        <f t="shared" si="72"/>
        <v>error</v>
      </c>
      <c r="AA241" s="16" t="str">
        <f t="shared" si="73"/>
        <v>error</v>
      </c>
      <c r="AB241" s="16" t="str">
        <f t="shared" si="74"/>
        <v>error</v>
      </c>
      <c r="AC241" s="18" t="str">
        <f t="shared" si="75"/>
        <v>error</v>
      </c>
      <c r="AD241" s="16" t="str">
        <f t="shared" si="76"/>
        <v>error</v>
      </c>
      <c r="AE241" s="16" t="str">
        <f t="shared" si="77"/>
        <v>error</v>
      </c>
      <c r="AF241" s="16" t="str">
        <f t="shared" si="78"/>
        <v>error</v>
      </c>
      <c r="AG241" s="16" t="str">
        <f t="shared" si="79"/>
        <v>error</v>
      </c>
      <c r="AH241" s="16" t="str">
        <f t="shared" si="80"/>
        <v>error</v>
      </c>
    </row>
    <row r="242" spans="1:34" x14ac:dyDescent="0.25">
      <c r="A242" s="12">
        <v>23961</v>
      </c>
      <c r="B242" s="13">
        <v>44.444118000000003</v>
      </c>
      <c r="C242" s="12">
        <v>89.304670999999999</v>
      </c>
      <c r="D242" s="14">
        <v>3</v>
      </c>
      <c r="E242" s="13" t="s">
        <v>42</v>
      </c>
      <c r="F242" s="13">
        <v>44.472119999999997</v>
      </c>
      <c r="G242" s="12">
        <v>89.482460000000003</v>
      </c>
      <c r="H242" s="13" t="s">
        <v>41</v>
      </c>
      <c r="I242" s="13">
        <v>44.444110000000002</v>
      </c>
      <c r="J242" s="12">
        <v>89.28622</v>
      </c>
      <c r="K242" s="13" t="s">
        <v>43</v>
      </c>
      <c r="L242" s="13">
        <v>44.43627</v>
      </c>
      <c r="M242" s="12">
        <v>89.307379999999995</v>
      </c>
      <c r="T242" s="5">
        <f t="shared" si="66"/>
        <v>47408.109326868856</v>
      </c>
      <c r="U242" s="5">
        <f t="shared" si="67"/>
        <v>4805.6033907801457</v>
      </c>
      <c r="V242" s="5">
        <f t="shared" si="68"/>
        <v>2948.7194866572381</v>
      </c>
      <c r="W242" s="5" t="str">
        <f t="shared" si="69"/>
        <v>n/a</v>
      </c>
      <c r="X242" s="6" t="str">
        <f t="shared" si="70"/>
        <v>n/a</v>
      </c>
      <c r="Y242" s="16">
        <f t="shared" si="71"/>
        <v>3.7115808538281725E-2</v>
      </c>
      <c r="Z242" s="16">
        <f t="shared" si="72"/>
        <v>0.36615387618418072</v>
      </c>
      <c r="AA242" s="16">
        <f t="shared" si="73"/>
        <v>0.59673031527753762</v>
      </c>
      <c r="AB242" s="16" t="e">
        <f t="shared" si="74"/>
        <v>#VALUE!</v>
      </c>
      <c r="AC242" s="18" t="e">
        <f t="shared" si="75"/>
        <v>#VALUE!</v>
      </c>
      <c r="AD242" s="16">
        <f t="shared" si="76"/>
        <v>2.8026243709811717E-3</v>
      </c>
      <c r="AE242" s="16">
        <f t="shared" si="77"/>
        <v>0.27275600121817511</v>
      </c>
      <c r="AF242" s="16">
        <f t="shared" si="78"/>
        <v>0.72444137441084366</v>
      </c>
      <c r="AG242" s="16" t="e">
        <f t="shared" si="79"/>
        <v>#VALUE!</v>
      </c>
      <c r="AH242" s="16" t="e">
        <f t="shared" si="80"/>
        <v>#VALUE!</v>
      </c>
    </row>
    <row r="243" spans="1:34" x14ac:dyDescent="0.25">
      <c r="A243" s="12">
        <v>23962</v>
      </c>
      <c r="B243" s="13">
        <v>44.424434900000001</v>
      </c>
      <c r="C243" s="12">
        <v>89.438981999999996</v>
      </c>
      <c r="D243" s="14">
        <v>5</v>
      </c>
      <c r="E243" s="13" t="s">
        <v>42</v>
      </c>
      <c r="F243" s="13">
        <v>44.467849999999999</v>
      </c>
      <c r="G243" s="12">
        <v>89.487679999999997</v>
      </c>
      <c r="H243" s="13" t="s">
        <v>44</v>
      </c>
      <c r="I243" s="13">
        <v>44.400129999999997</v>
      </c>
      <c r="J243" s="12">
        <v>89.480549999999994</v>
      </c>
      <c r="K243" s="13" t="s">
        <v>51</v>
      </c>
      <c r="L243" s="13">
        <v>44.37968</v>
      </c>
      <c r="M243" s="12">
        <v>89.436890000000005</v>
      </c>
      <c r="N243" s="13" t="s">
        <v>46</v>
      </c>
      <c r="O243" s="13">
        <v>44.382379999999998</v>
      </c>
      <c r="P243" s="12">
        <v>89.367450000000005</v>
      </c>
      <c r="Q243" s="13" t="s">
        <v>43</v>
      </c>
      <c r="R243" s="13">
        <v>44.436579999999999</v>
      </c>
      <c r="S243" s="12">
        <v>89.376000000000005</v>
      </c>
      <c r="T243" s="5">
        <f t="shared" si="66"/>
        <v>20290.743584335698</v>
      </c>
      <c r="U243" s="5">
        <f t="shared" si="67"/>
        <v>13998.546802291296</v>
      </c>
      <c r="V243" s="5">
        <f t="shared" si="68"/>
        <v>16336.260329282826</v>
      </c>
      <c r="W243" s="5">
        <f t="shared" si="69"/>
        <v>24144.714172213142</v>
      </c>
      <c r="X243" s="6">
        <f t="shared" si="70"/>
        <v>16995.319188546306</v>
      </c>
      <c r="Y243" s="16">
        <f t="shared" si="71"/>
        <v>0.1746468833352387</v>
      </c>
      <c r="Z243" s="16">
        <f t="shared" si="72"/>
        <v>0.25314878591388368</v>
      </c>
      <c r="AA243" s="16">
        <f t="shared" si="73"/>
        <v>0.21692327718398277</v>
      </c>
      <c r="AB243" s="16">
        <f t="shared" si="74"/>
        <v>0.14676981066261666</v>
      </c>
      <c r="AC243" s="18">
        <f t="shared" si="75"/>
        <v>0.20851124290427825</v>
      </c>
      <c r="AD243" s="16">
        <f t="shared" si="76"/>
        <v>0.14759292410904162</v>
      </c>
      <c r="AE243" s="16">
        <f t="shared" si="77"/>
        <v>0.31009556512620673</v>
      </c>
      <c r="AF243" s="16">
        <f t="shared" si="78"/>
        <v>0.22769640369904862</v>
      </c>
      <c r="AG243" s="16">
        <f t="shared" si="79"/>
        <v>0.10423590115200773</v>
      </c>
      <c r="AH243" s="16">
        <f t="shared" si="80"/>
        <v>0.21037920591369538</v>
      </c>
    </row>
    <row r="244" spans="1:34" x14ac:dyDescent="0.25">
      <c r="A244" s="12">
        <v>23963</v>
      </c>
      <c r="B244" s="13">
        <v>44.403655200000003</v>
      </c>
      <c r="C244" s="12">
        <v>89.449217099999998</v>
      </c>
      <c r="D244" s="14">
        <v>5</v>
      </c>
      <c r="E244" s="13" t="s">
        <v>42</v>
      </c>
      <c r="F244" s="13">
        <v>44.467849999999999</v>
      </c>
      <c r="G244" s="12">
        <v>89.487679999999997</v>
      </c>
      <c r="H244" s="13" t="s">
        <v>44</v>
      </c>
      <c r="I244" s="13">
        <v>44.400129999999997</v>
      </c>
      <c r="J244" s="12">
        <v>89.480549999999994</v>
      </c>
      <c r="K244" s="13" t="s">
        <v>51</v>
      </c>
      <c r="L244" s="13">
        <v>44.37968</v>
      </c>
      <c r="M244" s="12">
        <v>89.436890000000005</v>
      </c>
      <c r="N244" s="13" t="s">
        <v>46</v>
      </c>
      <c r="O244" s="13">
        <v>44.382379999999998</v>
      </c>
      <c r="P244" s="12">
        <v>89.367450000000005</v>
      </c>
      <c r="Q244" s="13" t="s">
        <v>43</v>
      </c>
      <c r="R244" s="13">
        <v>44.436579999999999</v>
      </c>
      <c r="S244" s="12">
        <v>89.376000000000005</v>
      </c>
      <c r="T244" s="5">
        <f t="shared" si="66"/>
        <v>25472.284524286075</v>
      </c>
      <c r="U244" s="5">
        <f t="shared" si="67"/>
        <v>8267.2560893143382</v>
      </c>
      <c r="V244" s="5">
        <f t="shared" si="68"/>
        <v>9318.1073968333803</v>
      </c>
      <c r="W244" s="5">
        <f t="shared" si="69"/>
        <v>22684.157350002781</v>
      </c>
      <c r="X244" s="6">
        <f t="shared" si="70"/>
        <v>22543.732197910289</v>
      </c>
      <c r="Y244" s="16">
        <f t="shared" si="71"/>
        <v>0.11028332367121714</v>
      </c>
      <c r="Z244" s="16">
        <f t="shared" si="72"/>
        <v>0.33979450599916766</v>
      </c>
      <c r="AA244" s="16">
        <f t="shared" si="73"/>
        <v>0.30147411692119264</v>
      </c>
      <c r="AB244" s="16">
        <f t="shared" si="74"/>
        <v>0.12383833154978675</v>
      </c>
      <c r="AC244" s="18">
        <f t="shared" si="75"/>
        <v>0.12460972185863593</v>
      </c>
      <c r="AD244" s="16">
        <f t="shared" si="76"/>
        <v>4.8771990242159127E-2</v>
      </c>
      <c r="AE244" s="16">
        <f t="shared" si="77"/>
        <v>0.46300266537159168</v>
      </c>
      <c r="AF244" s="16">
        <f t="shared" si="78"/>
        <v>0.3644608210547951</v>
      </c>
      <c r="AG244" s="16">
        <f t="shared" si="79"/>
        <v>6.1497996897949443E-2</v>
      </c>
      <c r="AH244" s="16">
        <f t="shared" si="80"/>
        <v>6.2266526433504443E-2</v>
      </c>
    </row>
    <row r="245" spans="1:34" x14ac:dyDescent="0.25">
      <c r="A245" s="12">
        <v>23964</v>
      </c>
      <c r="B245" s="13">
        <v>44.420999999999999</v>
      </c>
      <c r="C245" s="12">
        <v>89.594700000000003</v>
      </c>
      <c r="D245" s="13">
        <v>0</v>
      </c>
      <c r="T245" s="5">
        <f t="shared" si="66"/>
        <v>32727545.048934065</v>
      </c>
      <c r="U245" s="5">
        <f t="shared" si="67"/>
        <v>32727545.048934065</v>
      </c>
      <c r="V245" s="5" t="str">
        <f t="shared" si="68"/>
        <v>n/a</v>
      </c>
      <c r="W245" s="5" t="str">
        <f t="shared" si="69"/>
        <v>n/a</v>
      </c>
      <c r="X245" s="6" t="str">
        <f t="shared" si="70"/>
        <v>n/a</v>
      </c>
      <c r="Y245" s="16" t="str">
        <f t="shared" si="71"/>
        <v>error</v>
      </c>
      <c r="Z245" s="16" t="str">
        <f t="shared" si="72"/>
        <v>error</v>
      </c>
      <c r="AA245" s="16" t="str">
        <f t="shared" si="73"/>
        <v>error</v>
      </c>
      <c r="AB245" s="16" t="str">
        <f t="shared" si="74"/>
        <v>error</v>
      </c>
      <c r="AC245" s="18" t="str">
        <f t="shared" si="75"/>
        <v>error</v>
      </c>
      <c r="AD245" s="16" t="str">
        <f t="shared" si="76"/>
        <v>error</v>
      </c>
      <c r="AE245" s="16" t="str">
        <f t="shared" si="77"/>
        <v>error</v>
      </c>
      <c r="AF245" s="16" t="str">
        <f t="shared" si="78"/>
        <v>error</v>
      </c>
      <c r="AG245" s="16" t="str">
        <f t="shared" si="79"/>
        <v>error</v>
      </c>
      <c r="AH245" s="16" t="str">
        <f t="shared" si="80"/>
        <v>error</v>
      </c>
    </row>
    <row r="246" spans="1:34" x14ac:dyDescent="0.25">
      <c r="A246" s="12">
        <v>23965</v>
      </c>
      <c r="B246" s="13">
        <v>44.421073999999997</v>
      </c>
      <c r="C246" s="12">
        <v>89.574245000000005</v>
      </c>
      <c r="D246" s="14">
        <v>0</v>
      </c>
      <c r="T246" s="5">
        <f t="shared" si="66"/>
        <v>32722215.601936895</v>
      </c>
      <c r="U246" s="5">
        <f t="shared" si="67"/>
        <v>32722215.601936895</v>
      </c>
      <c r="V246" s="5" t="str">
        <f t="shared" si="68"/>
        <v>n/a</v>
      </c>
      <c r="W246" s="5" t="str">
        <f t="shared" si="69"/>
        <v>n/a</v>
      </c>
      <c r="X246" s="6" t="str">
        <f t="shared" si="70"/>
        <v>n/a</v>
      </c>
      <c r="Y246" s="16" t="str">
        <f t="shared" si="71"/>
        <v>error</v>
      </c>
      <c r="Z246" s="16" t="str">
        <f t="shared" si="72"/>
        <v>error</v>
      </c>
      <c r="AA246" s="16" t="str">
        <f t="shared" si="73"/>
        <v>error</v>
      </c>
      <c r="AB246" s="16" t="str">
        <f t="shared" si="74"/>
        <v>error</v>
      </c>
      <c r="AC246" s="18" t="str">
        <f t="shared" si="75"/>
        <v>error</v>
      </c>
      <c r="AD246" s="16" t="str">
        <f t="shared" si="76"/>
        <v>error</v>
      </c>
      <c r="AE246" s="16" t="str">
        <f t="shared" si="77"/>
        <v>error</v>
      </c>
      <c r="AF246" s="16" t="str">
        <f t="shared" si="78"/>
        <v>error</v>
      </c>
      <c r="AG246" s="16" t="str">
        <f t="shared" si="79"/>
        <v>error</v>
      </c>
      <c r="AH246" s="16" t="str">
        <f t="shared" si="80"/>
        <v>error</v>
      </c>
    </row>
    <row r="247" spans="1:34" x14ac:dyDescent="0.25">
      <c r="A247" s="12">
        <v>23966</v>
      </c>
      <c r="B247" s="13">
        <v>44.399341</v>
      </c>
      <c r="C247" s="12">
        <v>89.446933000000001</v>
      </c>
      <c r="D247" s="14">
        <v>5</v>
      </c>
      <c r="E247" s="13" t="s">
        <v>42</v>
      </c>
      <c r="F247" s="13">
        <v>44.467849999999999</v>
      </c>
      <c r="G247" s="12">
        <v>89.487679999999997</v>
      </c>
      <c r="H247" s="13" t="s">
        <v>44</v>
      </c>
      <c r="I247" s="13">
        <v>44.400129999999997</v>
      </c>
      <c r="J247" s="12">
        <v>89.480549999999994</v>
      </c>
      <c r="K247" s="13" t="s">
        <v>51</v>
      </c>
      <c r="L247" s="13">
        <v>44.37968</v>
      </c>
      <c r="M247" s="12">
        <v>89.436890000000005</v>
      </c>
      <c r="N247" s="13" t="s">
        <v>46</v>
      </c>
      <c r="O247" s="13">
        <v>44.382379999999998</v>
      </c>
      <c r="P247" s="12">
        <v>89.367450000000005</v>
      </c>
      <c r="Q247" s="13" t="s">
        <v>43</v>
      </c>
      <c r="R247" s="13">
        <v>44.436579999999999</v>
      </c>
      <c r="S247" s="12">
        <v>89.376000000000005</v>
      </c>
      <c r="T247" s="5">
        <f t="shared" si="66"/>
        <v>27153.574263479397</v>
      </c>
      <c r="U247" s="5">
        <f t="shared" si="67"/>
        <v>8766.9947765092093</v>
      </c>
      <c r="V247" s="5">
        <f t="shared" si="68"/>
        <v>7635.4921080969489</v>
      </c>
      <c r="W247" s="5">
        <f t="shared" si="69"/>
        <v>21624.531486249845</v>
      </c>
      <c r="X247" s="6">
        <f t="shared" si="70"/>
        <v>22938.562390413925</v>
      </c>
      <c r="Y247" s="16">
        <f t="shared" si="71"/>
        <v>9.9079383330284251E-2</v>
      </c>
      <c r="Z247" s="16">
        <f t="shared" si="72"/>
        <v>0.3068736165381688</v>
      </c>
      <c r="AA247" s="16">
        <f t="shared" si="73"/>
        <v>0.35234918131676973</v>
      </c>
      <c r="AB247" s="16">
        <f t="shared" si="74"/>
        <v>0.12441237836525179</v>
      </c>
      <c r="AC247" s="18">
        <f t="shared" si="75"/>
        <v>0.11728544044952544</v>
      </c>
      <c r="AD247" s="16">
        <f t="shared" si="76"/>
        <v>3.8142101379480868E-2</v>
      </c>
      <c r="AE247" s="16">
        <f t="shared" si="77"/>
        <v>0.36589555157558867</v>
      </c>
      <c r="AF247" s="16">
        <f t="shared" si="78"/>
        <v>0.48237474266906599</v>
      </c>
      <c r="AG247" s="16">
        <f t="shared" si="79"/>
        <v>6.0140247541321065E-2</v>
      </c>
      <c r="AH247" s="16">
        <f t="shared" si="80"/>
        <v>5.3447356834543436E-2</v>
      </c>
    </row>
    <row r="248" spans="1:34" x14ac:dyDescent="0.25">
      <c r="A248" s="12">
        <v>23967</v>
      </c>
      <c r="B248" s="13">
        <v>44.418688299999999</v>
      </c>
      <c r="C248" s="12">
        <v>89.459059999999994</v>
      </c>
      <c r="D248" s="14">
        <v>3</v>
      </c>
      <c r="E248" s="13" t="s">
        <v>42</v>
      </c>
      <c r="F248" s="13">
        <v>44.470410000000001</v>
      </c>
      <c r="G248" s="12">
        <v>89.511759999999995</v>
      </c>
      <c r="H248" s="13" t="s">
        <v>44</v>
      </c>
      <c r="I248" s="13">
        <v>44.388379999999998</v>
      </c>
      <c r="J248" s="12">
        <v>89.530510000000007</v>
      </c>
      <c r="K248" s="13" t="s">
        <v>48</v>
      </c>
      <c r="L248" s="13">
        <v>44.462609999999998</v>
      </c>
      <c r="M248" s="12">
        <v>89.562640000000002</v>
      </c>
      <c r="T248" s="5">
        <f t="shared" si="66"/>
        <v>23332.909754300515</v>
      </c>
      <c r="U248" s="5">
        <f t="shared" si="67"/>
        <v>21657.362309427102</v>
      </c>
      <c r="V248" s="5">
        <f t="shared" si="68"/>
        <v>31378.680661881506</v>
      </c>
      <c r="W248" s="5" t="str">
        <f t="shared" si="69"/>
        <v>n/a</v>
      </c>
      <c r="X248" s="6" t="str">
        <f t="shared" si="70"/>
        <v>n/a</v>
      </c>
      <c r="Y248" s="16">
        <f t="shared" si="71"/>
        <v>0.35448958502718669</v>
      </c>
      <c r="Z248" s="16">
        <f t="shared" si="72"/>
        <v>0.38191509095631809</v>
      </c>
      <c r="AA248" s="16">
        <f t="shared" si="73"/>
        <v>0.26359532401649516</v>
      </c>
      <c r="AB248" s="16" t="e">
        <f t="shared" si="74"/>
        <v>#VALUE!</v>
      </c>
      <c r="AC248" s="18" t="e">
        <f t="shared" si="75"/>
        <v>#VALUE!</v>
      </c>
      <c r="AD248" s="16">
        <f t="shared" si="76"/>
        <v>0.36850794296702216</v>
      </c>
      <c r="AE248" s="16">
        <f t="shared" si="77"/>
        <v>0.42773376244818456</v>
      </c>
      <c r="AF248" s="16">
        <f t="shared" si="78"/>
        <v>0.20375829458479322</v>
      </c>
      <c r="AG248" s="16" t="e">
        <f t="shared" si="79"/>
        <v>#VALUE!</v>
      </c>
      <c r="AH248" s="16" t="e">
        <f t="shared" si="80"/>
        <v>#VALUE!</v>
      </c>
    </row>
    <row r="249" spans="1:34" x14ac:dyDescent="0.25">
      <c r="A249" s="12">
        <v>23969</v>
      </c>
      <c r="B249" s="13">
        <v>44.414299999999997</v>
      </c>
      <c r="C249" s="12">
        <v>89.579665000000006</v>
      </c>
      <c r="D249" s="14">
        <v>0</v>
      </c>
      <c r="T249" s="5">
        <f t="shared" si="66"/>
        <v>32723615.101661764</v>
      </c>
      <c r="U249" s="5">
        <f t="shared" si="67"/>
        <v>32723615.101661764</v>
      </c>
      <c r="V249" s="5" t="str">
        <f t="shared" si="68"/>
        <v>n/a</v>
      </c>
      <c r="W249" s="5" t="str">
        <f t="shared" si="69"/>
        <v>n/a</v>
      </c>
      <c r="X249" s="6" t="str">
        <f t="shared" si="70"/>
        <v>n/a</v>
      </c>
      <c r="Y249" s="16" t="str">
        <f t="shared" si="71"/>
        <v>error</v>
      </c>
      <c r="Z249" s="16" t="str">
        <f t="shared" si="72"/>
        <v>error</v>
      </c>
      <c r="AA249" s="16" t="str">
        <f t="shared" si="73"/>
        <v>error</v>
      </c>
      <c r="AB249" s="16" t="str">
        <f t="shared" si="74"/>
        <v>error</v>
      </c>
      <c r="AC249" s="18" t="str">
        <f t="shared" si="75"/>
        <v>error</v>
      </c>
      <c r="AD249" s="16" t="str">
        <f t="shared" si="76"/>
        <v>error</v>
      </c>
      <c r="AE249" s="16" t="str">
        <f t="shared" si="77"/>
        <v>error</v>
      </c>
      <c r="AF249" s="16" t="str">
        <f t="shared" si="78"/>
        <v>error</v>
      </c>
      <c r="AG249" s="16" t="str">
        <f t="shared" si="79"/>
        <v>error</v>
      </c>
      <c r="AH249" s="16" t="str">
        <f t="shared" si="80"/>
        <v>error</v>
      </c>
    </row>
    <row r="250" spans="1:34" x14ac:dyDescent="0.25">
      <c r="A250" s="12">
        <v>23970</v>
      </c>
      <c r="B250" s="13">
        <v>44.413924399999999</v>
      </c>
      <c r="C250" s="12">
        <v>89.574640900000006</v>
      </c>
      <c r="D250" s="14">
        <v>0</v>
      </c>
      <c r="T250" s="5">
        <f t="shared" si="66"/>
        <v>32722305.201953016</v>
      </c>
      <c r="U250" s="5">
        <f t="shared" si="67"/>
        <v>32722305.201953016</v>
      </c>
      <c r="V250" s="5" t="str">
        <f t="shared" si="68"/>
        <v>n/a</v>
      </c>
      <c r="W250" s="5" t="str">
        <f t="shared" si="69"/>
        <v>n/a</v>
      </c>
      <c r="X250" s="6" t="str">
        <f t="shared" si="70"/>
        <v>n/a</v>
      </c>
      <c r="Y250" s="16" t="str">
        <f t="shared" si="71"/>
        <v>error</v>
      </c>
      <c r="Z250" s="16" t="str">
        <f t="shared" si="72"/>
        <v>error</v>
      </c>
      <c r="AA250" s="16" t="str">
        <f t="shared" si="73"/>
        <v>error</v>
      </c>
      <c r="AB250" s="16" t="str">
        <f t="shared" si="74"/>
        <v>error</v>
      </c>
      <c r="AC250" s="18" t="str">
        <f t="shared" si="75"/>
        <v>error</v>
      </c>
      <c r="AD250" s="16" t="str">
        <f t="shared" si="76"/>
        <v>error</v>
      </c>
      <c r="AE250" s="16" t="str">
        <f t="shared" si="77"/>
        <v>error</v>
      </c>
      <c r="AF250" s="16" t="str">
        <f t="shared" si="78"/>
        <v>error</v>
      </c>
      <c r="AG250" s="16" t="str">
        <f t="shared" si="79"/>
        <v>error</v>
      </c>
      <c r="AH250" s="16" t="str">
        <f t="shared" si="80"/>
        <v>error</v>
      </c>
    </row>
    <row r="251" spans="1:34" x14ac:dyDescent="0.25">
      <c r="A251" s="12">
        <v>23972</v>
      </c>
      <c r="B251" s="13">
        <v>44.446410999999998</v>
      </c>
      <c r="C251" s="12">
        <v>89.574306000000007</v>
      </c>
      <c r="D251" s="14">
        <v>4</v>
      </c>
      <c r="E251" s="13" t="s">
        <v>42</v>
      </c>
      <c r="F251" s="13">
        <v>44.470410000000001</v>
      </c>
      <c r="G251" s="12">
        <v>89.511759999999995</v>
      </c>
      <c r="H251" s="13" t="s">
        <v>44</v>
      </c>
      <c r="I251" s="13">
        <v>44.388379999999998</v>
      </c>
      <c r="J251" s="12">
        <v>89.530510000000007</v>
      </c>
      <c r="K251" s="13" t="s">
        <v>48</v>
      </c>
      <c r="L251" s="13">
        <v>44.462609999999998</v>
      </c>
      <c r="M251" s="12">
        <v>89.562640000000002</v>
      </c>
      <c r="N251" s="13" t="s">
        <v>49</v>
      </c>
      <c r="O251" s="13">
        <v>44.435670000000002</v>
      </c>
      <c r="P251" s="12">
        <v>89.562870000000004</v>
      </c>
      <c r="T251" s="5">
        <f t="shared" si="66"/>
        <v>18490.389268915682</v>
      </c>
      <c r="U251" s="5">
        <f t="shared" si="67"/>
        <v>24050.386583444226</v>
      </c>
      <c r="V251" s="5">
        <f t="shared" si="68"/>
        <v>6644.7115887036252</v>
      </c>
      <c r="W251" s="5">
        <f t="shared" si="69"/>
        <v>4922.0786748749742</v>
      </c>
      <c r="X251" s="6" t="str">
        <f t="shared" si="70"/>
        <v>n/a</v>
      </c>
      <c r="Y251" s="16">
        <f t="shared" si="71"/>
        <v>0.12036354410281776</v>
      </c>
      <c r="Z251" s="16">
        <f t="shared" si="72"/>
        <v>9.253775512196695E-2</v>
      </c>
      <c r="AA251" s="16">
        <f t="shared" si="73"/>
        <v>0.33493835729920768</v>
      </c>
      <c r="AB251" s="16">
        <f t="shared" si="74"/>
        <v>0.45216034347600764</v>
      </c>
      <c r="AC251" s="18" t="e">
        <f t="shared" si="75"/>
        <v>#VALUE!</v>
      </c>
      <c r="AD251" s="16">
        <f t="shared" si="76"/>
        <v>4.2649676397329896E-2</v>
      </c>
      <c r="AE251" s="16">
        <f t="shared" si="77"/>
        <v>2.5209470605439266E-2</v>
      </c>
      <c r="AF251" s="16">
        <f t="shared" si="78"/>
        <v>0.330259697076982</v>
      </c>
      <c r="AG251" s="16">
        <f t="shared" si="79"/>
        <v>0.60188115592024893</v>
      </c>
      <c r="AH251" s="16" t="e">
        <f t="shared" si="80"/>
        <v>#VALUE!</v>
      </c>
    </row>
    <row r="252" spans="1:34" x14ac:dyDescent="0.25">
      <c r="A252" s="12">
        <v>23973</v>
      </c>
      <c r="B252" s="13">
        <v>44.442619000000001</v>
      </c>
      <c r="C252" s="12">
        <v>89.614178999999993</v>
      </c>
      <c r="D252" s="14">
        <v>0</v>
      </c>
      <c r="T252" s="5">
        <f t="shared" si="66"/>
        <v>32732657.5235921</v>
      </c>
      <c r="U252" s="5">
        <f t="shared" si="67"/>
        <v>32732657.5235921</v>
      </c>
      <c r="V252" s="5" t="str">
        <f t="shared" si="68"/>
        <v>n/a</v>
      </c>
      <c r="W252" s="5" t="str">
        <f t="shared" si="69"/>
        <v>n/a</v>
      </c>
      <c r="X252" s="6" t="str">
        <f t="shared" si="70"/>
        <v>n/a</v>
      </c>
      <c r="Y252" s="16" t="str">
        <f t="shared" si="71"/>
        <v>error</v>
      </c>
      <c r="Z252" s="16" t="str">
        <f t="shared" si="72"/>
        <v>error</v>
      </c>
      <c r="AA252" s="16" t="str">
        <f t="shared" si="73"/>
        <v>error</v>
      </c>
      <c r="AB252" s="16" t="str">
        <f t="shared" si="74"/>
        <v>error</v>
      </c>
      <c r="AC252" s="18" t="str">
        <f t="shared" si="75"/>
        <v>error</v>
      </c>
      <c r="AD252" s="16" t="str">
        <f t="shared" si="76"/>
        <v>error</v>
      </c>
      <c r="AE252" s="16" t="str">
        <f t="shared" si="77"/>
        <v>error</v>
      </c>
      <c r="AF252" s="16" t="str">
        <f t="shared" si="78"/>
        <v>error</v>
      </c>
      <c r="AG252" s="16" t="str">
        <f t="shared" si="79"/>
        <v>error</v>
      </c>
      <c r="AH252" s="16" t="str">
        <f t="shared" si="80"/>
        <v>error</v>
      </c>
    </row>
    <row r="253" spans="1:34" x14ac:dyDescent="0.25">
      <c r="A253" s="12">
        <v>23974</v>
      </c>
      <c r="B253" s="13">
        <v>44.446396999999997</v>
      </c>
      <c r="C253" s="12">
        <v>89.610913999999994</v>
      </c>
      <c r="D253" s="14">
        <v>0</v>
      </c>
      <c r="T253" s="5">
        <f t="shared" si="66"/>
        <v>32731813.688865796</v>
      </c>
      <c r="U253" s="5">
        <f t="shared" si="67"/>
        <v>32731813.688865796</v>
      </c>
      <c r="V253" s="5" t="str">
        <f t="shared" si="68"/>
        <v>n/a</v>
      </c>
      <c r="W253" s="5" t="str">
        <f t="shared" si="69"/>
        <v>n/a</v>
      </c>
      <c r="X253" s="6" t="str">
        <f t="shared" si="70"/>
        <v>n/a</v>
      </c>
      <c r="Y253" s="16" t="str">
        <f t="shared" si="71"/>
        <v>error</v>
      </c>
      <c r="Z253" s="16" t="str">
        <f t="shared" si="72"/>
        <v>error</v>
      </c>
      <c r="AA253" s="16" t="str">
        <f t="shared" si="73"/>
        <v>error</v>
      </c>
      <c r="AB253" s="16" t="str">
        <f t="shared" si="74"/>
        <v>error</v>
      </c>
      <c r="AC253" s="18" t="str">
        <f t="shared" si="75"/>
        <v>error</v>
      </c>
      <c r="AD253" s="16" t="str">
        <f t="shared" si="76"/>
        <v>error</v>
      </c>
      <c r="AE253" s="16" t="str">
        <f t="shared" si="77"/>
        <v>error</v>
      </c>
      <c r="AF253" s="16" t="str">
        <f t="shared" si="78"/>
        <v>error</v>
      </c>
      <c r="AG253" s="16" t="str">
        <f t="shared" si="79"/>
        <v>error</v>
      </c>
      <c r="AH253" s="16" t="str">
        <f t="shared" si="80"/>
        <v>error</v>
      </c>
    </row>
    <row r="254" spans="1:34" x14ac:dyDescent="0.25">
      <c r="A254" s="12">
        <v>23975</v>
      </c>
      <c r="B254" s="13">
        <v>44.442399999999999</v>
      </c>
      <c r="C254" s="12">
        <v>89.579700000000003</v>
      </c>
      <c r="D254" s="14">
        <v>0</v>
      </c>
      <c r="T254" s="5">
        <f t="shared" si="66"/>
        <v>32723676.862952776</v>
      </c>
      <c r="U254" s="5">
        <f t="shared" si="67"/>
        <v>32723676.862952776</v>
      </c>
      <c r="V254" s="5" t="str">
        <f t="shared" si="68"/>
        <v>n/a</v>
      </c>
      <c r="W254" s="5" t="str">
        <f t="shared" si="69"/>
        <v>n/a</v>
      </c>
      <c r="X254" s="6" t="str">
        <f t="shared" si="70"/>
        <v>n/a</v>
      </c>
      <c r="Y254" s="16" t="str">
        <f t="shared" si="71"/>
        <v>error</v>
      </c>
      <c r="Z254" s="16" t="str">
        <f t="shared" si="72"/>
        <v>error</v>
      </c>
      <c r="AA254" s="16" t="str">
        <f t="shared" si="73"/>
        <v>error</v>
      </c>
      <c r="AB254" s="16" t="str">
        <f t="shared" si="74"/>
        <v>error</v>
      </c>
      <c r="AC254" s="18" t="str">
        <f t="shared" si="75"/>
        <v>error</v>
      </c>
      <c r="AD254" s="16" t="str">
        <f t="shared" si="76"/>
        <v>error</v>
      </c>
      <c r="AE254" s="16" t="str">
        <f t="shared" si="77"/>
        <v>error</v>
      </c>
      <c r="AF254" s="16" t="str">
        <f t="shared" si="78"/>
        <v>error</v>
      </c>
      <c r="AG254" s="16" t="str">
        <f t="shared" si="79"/>
        <v>error</v>
      </c>
      <c r="AH254" s="16" t="str">
        <f t="shared" si="80"/>
        <v>error</v>
      </c>
    </row>
    <row r="255" spans="1:34" x14ac:dyDescent="0.25">
      <c r="A255" s="12">
        <v>23976</v>
      </c>
      <c r="B255" s="13">
        <v>44.442599999999999</v>
      </c>
      <c r="C255" s="12">
        <v>89.586600000000004</v>
      </c>
      <c r="D255" s="13">
        <v>0</v>
      </c>
      <c r="T255" s="5">
        <f t="shared" si="66"/>
        <v>32725474.380764145</v>
      </c>
      <c r="U255" s="5">
        <f t="shared" si="67"/>
        <v>32725474.380764145</v>
      </c>
      <c r="V255" s="5" t="str">
        <f t="shared" si="68"/>
        <v>n/a</v>
      </c>
      <c r="W255" s="5" t="str">
        <f t="shared" si="69"/>
        <v>n/a</v>
      </c>
      <c r="X255" s="6" t="str">
        <f t="shared" si="70"/>
        <v>n/a</v>
      </c>
      <c r="Y255" s="16" t="str">
        <f t="shared" si="71"/>
        <v>error</v>
      </c>
      <c r="Z255" s="16" t="str">
        <f t="shared" si="72"/>
        <v>error</v>
      </c>
      <c r="AA255" s="16" t="str">
        <f t="shared" si="73"/>
        <v>error</v>
      </c>
      <c r="AB255" s="16" t="str">
        <f t="shared" si="74"/>
        <v>error</v>
      </c>
      <c r="AC255" s="18" t="str">
        <f t="shared" si="75"/>
        <v>error</v>
      </c>
      <c r="AD255" s="16" t="str">
        <f t="shared" si="76"/>
        <v>error</v>
      </c>
      <c r="AE255" s="16" t="str">
        <f t="shared" si="77"/>
        <v>error</v>
      </c>
      <c r="AF255" s="16" t="str">
        <f t="shared" si="78"/>
        <v>error</v>
      </c>
      <c r="AG255" s="16" t="str">
        <f t="shared" si="79"/>
        <v>error</v>
      </c>
      <c r="AH255" s="16" t="str">
        <f t="shared" si="80"/>
        <v>error</v>
      </c>
    </row>
    <row r="256" spans="1:34" x14ac:dyDescent="0.25">
      <c r="A256" s="12">
        <v>23977</v>
      </c>
      <c r="B256" s="13">
        <v>44.441501700000003</v>
      </c>
      <c r="C256" s="12">
        <v>89.456734999999995</v>
      </c>
      <c r="D256" s="14">
        <v>3</v>
      </c>
      <c r="E256" s="13" t="s">
        <v>42</v>
      </c>
      <c r="F256" s="13">
        <v>44.467599999999997</v>
      </c>
      <c r="G256" s="12">
        <v>89.486879999999999</v>
      </c>
      <c r="H256" s="13" t="s">
        <v>44</v>
      </c>
      <c r="I256" s="13">
        <v>44.399880000000003</v>
      </c>
      <c r="J256" s="12">
        <v>89.480710000000002</v>
      </c>
      <c r="K256" s="13" t="s">
        <v>43</v>
      </c>
      <c r="L256" s="13">
        <v>44.436320000000002</v>
      </c>
      <c r="M256" s="12">
        <v>89.375429999999994</v>
      </c>
      <c r="T256" s="5">
        <f t="shared" si="66"/>
        <v>12339.799457596211</v>
      </c>
      <c r="U256" s="5">
        <f t="shared" si="67"/>
        <v>16418.91452435133</v>
      </c>
      <c r="V256" s="5">
        <f t="shared" si="68"/>
        <v>21262.145920201663</v>
      </c>
      <c r="W256" s="5" t="str">
        <f t="shared" si="69"/>
        <v>n/a</v>
      </c>
      <c r="X256" s="6" t="str">
        <f t="shared" si="70"/>
        <v>n/a</v>
      </c>
      <c r="Y256" s="16">
        <f t="shared" si="71"/>
        <v>0.42883030829460045</v>
      </c>
      <c r="Z256" s="16">
        <f t="shared" si="72"/>
        <v>0.32229170800824225</v>
      </c>
      <c r="AA256" s="16">
        <f t="shared" si="73"/>
        <v>0.24887798369715722</v>
      </c>
      <c r="AB256" s="16" t="e">
        <f t="shared" si="74"/>
        <v>#VALUE!</v>
      </c>
      <c r="AC256" s="18" t="e">
        <f t="shared" si="75"/>
        <v>#VALUE!</v>
      </c>
      <c r="AD256" s="16">
        <f t="shared" si="76"/>
        <v>0.52585479409884428</v>
      </c>
      <c r="AE256" s="16">
        <f t="shared" si="77"/>
        <v>0.2970251043955367</v>
      </c>
      <c r="AF256" s="16">
        <f t="shared" si="78"/>
        <v>0.17712010150561905</v>
      </c>
      <c r="AG256" s="16" t="e">
        <f t="shared" si="79"/>
        <v>#VALUE!</v>
      </c>
      <c r="AH256" s="16" t="e">
        <f t="shared" si="80"/>
        <v>#VALUE!</v>
      </c>
    </row>
    <row r="257" spans="1:34" x14ac:dyDescent="0.25">
      <c r="A257" s="12">
        <v>23978</v>
      </c>
      <c r="B257" s="13">
        <v>44.583046699999997</v>
      </c>
      <c r="C257" s="12">
        <v>89.451511600000003</v>
      </c>
      <c r="D257" s="14">
        <v>4</v>
      </c>
      <c r="E257" s="13" t="s">
        <v>42</v>
      </c>
      <c r="F257" s="13">
        <v>44.481119999999997</v>
      </c>
      <c r="G257" s="12">
        <v>89.479669999999999</v>
      </c>
      <c r="H257" s="13" t="s">
        <v>39</v>
      </c>
      <c r="I257" s="13">
        <v>44.58616</v>
      </c>
      <c r="J257" s="12">
        <v>89.487179999999995</v>
      </c>
      <c r="K257" s="13" t="s">
        <v>40</v>
      </c>
      <c r="L257" s="13">
        <v>44.554780000000001</v>
      </c>
      <c r="M257" s="13">
        <v>89.461330000000004</v>
      </c>
      <c r="N257" s="13" t="s">
        <v>41</v>
      </c>
      <c r="O257" s="13">
        <v>44.570529999999998</v>
      </c>
      <c r="P257" s="12">
        <v>89.378259999999997</v>
      </c>
      <c r="T257" s="5">
        <f t="shared" si="66"/>
        <v>37898.364289749283</v>
      </c>
      <c r="U257" s="5">
        <f t="shared" si="67"/>
        <v>9336.8792845163389</v>
      </c>
      <c r="V257" s="5">
        <f t="shared" si="68"/>
        <v>10623.082333357937</v>
      </c>
      <c r="W257" s="5">
        <f t="shared" si="69"/>
        <v>19575.182847143707</v>
      </c>
      <c r="X257" s="6" t="str">
        <f t="shared" si="70"/>
        <v>n/a</v>
      </c>
      <c r="Y257" s="16">
        <f t="shared" si="71"/>
        <v>9.4673775649268835E-2</v>
      </c>
      <c r="Z257" s="16">
        <f t="shared" si="72"/>
        <v>0.38428056408441041</v>
      </c>
      <c r="AA257" s="16">
        <f t="shared" si="73"/>
        <v>0.33775331167068445</v>
      </c>
      <c r="AB257" s="16">
        <f t="shared" si="74"/>
        <v>0.18329234859563631</v>
      </c>
      <c r="AC257" s="18" t="e">
        <f t="shared" si="75"/>
        <v>#VALUE!</v>
      </c>
      <c r="AD257" s="16">
        <f t="shared" si="76"/>
        <v>2.9454112342796223E-2</v>
      </c>
      <c r="AE257" s="16">
        <f t="shared" si="77"/>
        <v>0.48526993262807017</v>
      </c>
      <c r="AF257" s="16">
        <f t="shared" si="78"/>
        <v>0.37487439347466917</v>
      </c>
      <c r="AG257" s="16">
        <f t="shared" si="79"/>
        <v>0.11040156155446434</v>
      </c>
      <c r="AH257" s="16" t="e">
        <f t="shared" si="80"/>
        <v>#VALUE!</v>
      </c>
    </row>
    <row r="258" spans="1:34" x14ac:dyDescent="0.25">
      <c r="A258" s="12">
        <v>23979</v>
      </c>
      <c r="B258" s="13">
        <v>44.556986000000002</v>
      </c>
      <c r="C258" s="12">
        <v>89.435924</v>
      </c>
      <c r="D258" s="14">
        <v>4</v>
      </c>
      <c r="E258" s="13" t="s">
        <v>42</v>
      </c>
      <c r="F258" s="13">
        <v>44.481119999999997</v>
      </c>
      <c r="G258" s="12">
        <v>89.479669999999999</v>
      </c>
      <c r="H258" s="13" t="s">
        <v>39</v>
      </c>
      <c r="I258" s="13">
        <v>44.566249999999997</v>
      </c>
      <c r="J258" s="12">
        <v>89.504400000000004</v>
      </c>
      <c r="K258" s="13" t="s">
        <v>40</v>
      </c>
      <c r="L258" s="13">
        <v>44.554780000000001</v>
      </c>
      <c r="M258" s="13">
        <v>89.461330000000004</v>
      </c>
      <c r="N258" s="13" t="s">
        <v>41</v>
      </c>
      <c r="O258" s="13">
        <v>44.570529999999998</v>
      </c>
      <c r="P258" s="12">
        <v>89.378259999999997</v>
      </c>
      <c r="T258" s="5">
        <f t="shared" si="66"/>
        <v>29924.807025059075</v>
      </c>
      <c r="U258" s="5">
        <f t="shared" si="67"/>
        <v>18116.829183728652</v>
      </c>
      <c r="V258" s="5">
        <f t="shared" si="68"/>
        <v>6653.2269308573841</v>
      </c>
      <c r="W258" s="5">
        <f t="shared" si="69"/>
        <v>15781.364597297839</v>
      </c>
      <c r="X258" s="6" t="str">
        <f t="shared" si="70"/>
        <v>n/a</v>
      </c>
      <c r="Y258" s="16">
        <f t="shared" si="71"/>
        <v>0.1105489268001983</v>
      </c>
      <c r="Z258" s="16">
        <f t="shared" si="72"/>
        <v>0.18260123047881271</v>
      </c>
      <c r="AA258" s="16">
        <f t="shared" si="73"/>
        <v>0.49722568246999543</v>
      </c>
      <c r="AB258" s="16">
        <f t="shared" si="74"/>
        <v>0.2096241602509934</v>
      </c>
      <c r="AC258" s="18" t="e">
        <f t="shared" si="75"/>
        <v>#VALUE!</v>
      </c>
      <c r="AD258" s="16">
        <f t="shared" si="76"/>
        <v>3.6292294663587035E-2</v>
      </c>
      <c r="AE258" s="16">
        <f t="shared" si="77"/>
        <v>9.9017684474900294E-2</v>
      </c>
      <c r="AF258" s="16">
        <f t="shared" si="78"/>
        <v>0.73419677363869795</v>
      </c>
      <c r="AG258" s="16">
        <f t="shared" si="79"/>
        <v>0.1304932472228148</v>
      </c>
      <c r="AH258" s="16" t="e">
        <f t="shared" si="80"/>
        <v>#VALUE!</v>
      </c>
    </row>
    <row r="259" spans="1:34" x14ac:dyDescent="0.25">
      <c r="A259" s="12">
        <v>23980</v>
      </c>
      <c r="B259" s="13">
        <v>44.405113</v>
      </c>
      <c r="C259" s="12">
        <v>89.441811999999999</v>
      </c>
      <c r="D259" s="14">
        <v>5</v>
      </c>
      <c r="E259" s="13" t="s">
        <v>42</v>
      </c>
      <c r="F259" s="13">
        <v>44.467849999999999</v>
      </c>
      <c r="G259" s="12">
        <v>89.487679999999997</v>
      </c>
      <c r="H259" s="13" t="s">
        <v>44</v>
      </c>
      <c r="I259" s="13">
        <v>44.400129999999997</v>
      </c>
      <c r="J259" s="12">
        <v>89.480549999999994</v>
      </c>
      <c r="K259" s="13" t="s">
        <v>51</v>
      </c>
      <c r="L259" s="13">
        <v>44.37968</v>
      </c>
      <c r="M259" s="12">
        <v>89.436890000000005</v>
      </c>
      <c r="N259" s="13" t="s">
        <v>46</v>
      </c>
      <c r="O259" s="13">
        <v>44.382379999999998</v>
      </c>
      <c r="P259" s="12">
        <v>89.367450000000005</v>
      </c>
      <c r="Q259" s="13" t="s">
        <v>43</v>
      </c>
      <c r="R259" s="13">
        <v>44.436579999999999</v>
      </c>
      <c r="S259" s="12">
        <v>89.376000000000005</v>
      </c>
      <c r="T259" s="5">
        <f t="shared" si="66"/>
        <v>25818.224545201698</v>
      </c>
      <c r="U259" s="5">
        <f t="shared" si="67"/>
        <v>10258.904232555582</v>
      </c>
      <c r="V259" s="5">
        <f t="shared" si="68"/>
        <v>9366.5801554848967</v>
      </c>
      <c r="W259" s="5">
        <f t="shared" si="69"/>
        <v>21083.994981465239</v>
      </c>
      <c r="X259" s="6">
        <f t="shared" si="70"/>
        <v>20635.503558463221</v>
      </c>
      <c r="Y259" s="16">
        <f t="shared" si="71"/>
        <v>0.11430163290037099</v>
      </c>
      <c r="Z259" s="16">
        <f t="shared" si="72"/>
        <v>0.28765891144008238</v>
      </c>
      <c r="AA259" s="16">
        <f t="shared" si="73"/>
        <v>0.31506325415652403</v>
      </c>
      <c r="AB259" s="16">
        <f t="shared" si="74"/>
        <v>0.139967080560361</v>
      </c>
      <c r="AC259" s="18">
        <f t="shared" si="75"/>
        <v>0.14300912094266169</v>
      </c>
      <c r="AD259" s="16">
        <f t="shared" si="76"/>
        <v>5.5566845324311984E-2</v>
      </c>
      <c r="AE259" s="16">
        <f t="shared" si="77"/>
        <v>0.35193830440306623</v>
      </c>
      <c r="AF259" s="16">
        <f t="shared" si="78"/>
        <v>0.42218848182629481</v>
      </c>
      <c r="AG259" s="16">
        <f t="shared" si="79"/>
        <v>8.3322574503910202E-2</v>
      </c>
      <c r="AH259" s="16">
        <f t="shared" si="80"/>
        <v>8.6983793942416593E-2</v>
      </c>
    </row>
    <row r="260" spans="1:34" x14ac:dyDescent="0.25">
      <c r="A260" s="12">
        <v>23981</v>
      </c>
      <c r="B260" s="13">
        <v>44.445107899999996</v>
      </c>
      <c r="C260" s="12">
        <v>89.490872699999997</v>
      </c>
      <c r="D260" s="14">
        <v>3</v>
      </c>
      <c r="E260" s="13" t="s">
        <v>42</v>
      </c>
      <c r="F260" s="13">
        <v>44.468170000000001</v>
      </c>
      <c r="G260" s="12">
        <v>89.49221</v>
      </c>
      <c r="H260" s="13" t="s">
        <v>44</v>
      </c>
      <c r="I260" s="13">
        <v>44.399880000000003</v>
      </c>
      <c r="J260" s="12">
        <v>89.480710000000002</v>
      </c>
      <c r="K260" s="13" t="s">
        <v>43</v>
      </c>
      <c r="L260" s="13">
        <v>44.436320000000002</v>
      </c>
      <c r="M260" s="12">
        <v>89.375429999999994</v>
      </c>
      <c r="T260" s="5">
        <f t="shared" si="66"/>
        <v>8420.5516443709275</v>
      </c>
      <c r="U260" s="5">
        <f t="shared" si="67"/>
        <v>16710.829763645233</v>
      </c>
      <c r="V260" s="5">
        <f t="shared" si="68"/>
        <v>30239.470361976433</v>
      </c>
      <c r="W260" s="5" t="str">
        <f t="shared" si="69"/>
        <v>n/a</v>
      </c>
      <c r="X260" s="6" t="str">
        <f t="shared" si="70"/>
        <v>n/a</v>
      </c>
      <c r="Y260" s="16">
        <f t="shared" si="71"/>
        <v>0.56105383640293083</v>
      </c>
      <c r="Z260" s="16">
        <f t="shared" si="72"/>
        <v>0.28271383716572301</v>
      </c>
      <c r="AA260" s="16">
        <f t="shared" si="73"/>
        <v>0.15623232643134607</v>
      </c>
      <c r="AB260" s="16" t="e">
        <f t="shared" si="74"/>
        <v>#VALUE!</v>
      </c>
      <c r="AC260" s="18" t="e">
        <f t="shared" si="75"/>
        <v>#VALUE!</v>
      </c>
      <c r="AD260" s="16">
        <f t="shared" si="76"/>
        <v>0.75105844337219752</v>
      </c>
      <c r="AE260" s="16">
        <f t="shared" si="77"/>
        <v>0.19070355560168289</v>
      </c>
      <c r="AF260" s="16">
        <f t="shared" si="78"/>
        <v>5.8238001026119583E-2</v>
      </c>
      <c r="AG260" s="16" t="e">
        <f t="shared" si="79"/>
        <v>#VALUE!</v>
      </c>
      <c r="AH260" s="16" t="e">
        <f t="shared" si="80"/>
        <v>#VALUE!</v>
      </c>
    </row>
    <row r="261" spans="1:34" x14ac:dyDescent="0.25">
      <c r="A261" s="12">
        <v>23983</v>
      </c>
      <c r="B261" s="13">
        <v>44.535150999999999</v>
      </c>
      <c r="C261" s="12">
        <v>89.439670000000007</v>
      </c>
      <c r="D261" s="14">
        <v>4</v>
      </c>
      <c r="E261" s="13" t="s">
        <v>42</v>
      </c>
      <c r="F261" s="13">
        <v>44.481119999999997</v>
      </c>
      <c r="G261" s="12">
        <v>89.479669999999999</v>
      </c>
      <c r="H261" s="13" t="s">
        <v>39</v>
      </c>
      <c r="I261" s="13">
        <v>44.558810000000001</v>
      </c>
      <c r="J261" s="12">
        <v>89.506240000000005</v>
      </c>
      <c r="K261" s="13" t="s">
        <v>40</v>
      </c>
      <c r="L261" s="13">
        <v>44.554780000000001</v>
      </c>
      <c r="M261" s="13">
        <v>89.461330000000004</v>
      </c>
      <c r="N261" s="13" t="s">
        <v>41</v>
      </c>
      <c r="O261" s="13">
        <v>44.54806</v>
      </c>
      <c r="P261" s="12">
        <v>89.354929999999996</v>
      </c>
      <c r="T261" s="5">
        <f t="shared" si="66"/>
        <v>22289.68140680404</v>
      </c>
      <c r="U261" s="5">
        <f t="shared" si="67"/>
        <v>19340.471531466577</v>
      </c>
      <c r="V261" s="5">
        <f t="shared" si="68"/>
        <v>9110.1073377830689</v>
      </c>
      <c r="W261" s="5">
        <f t="shared" si="69"/>
        <v>22531.50337185277</v>
      </c>
      <c r="X261" s="6" t="str">
        <f t="shared" si="70"/>
        <v>n/a</v>
      </c>
      <c r="Y261" s="16">
        <f t="shared" si="71"/>
        <v>0.17894035176093076</v>
      </c>
      <c r="Z261" s="16">
        <f t="shared" si="72"/>
        <v>0.20622679364788712</v>
      </c>
      <c r="AA261" s="16">
        <f t="shared" si="73"/>
        <v>0.43781300084475128</v>
      </c>
      <c r="AB261" s="16">
        <f t="shared" si="74"/>
        <v>0.17701985374643095</v>
      </c>
      <c r="AC261" s="18" t="e">
        <f t="shared" si="75"/>
        <v>#VALUE!</v>
      </c>
      <c r="AD261" s="16">
        <f t="shared" si="76"/>
        <v>0.10760542161086463</v>
      </c>
      <c r="AE261" s="16">
        <f t="shared" si="77"/>
        <v>0.14292485459666529</v>
      </c>
      <c r="AF261" s="16">
        <f t="shared" si="78"/>
        <v>0.64416168247432548</v>
      </c>
      <c r="AG261" s="16">
        <f t="shared" si="79"/>
        <v>0.10530804131814453</v>
      </c>
      <c r="AH261" s="16" t="e">
        <f t="shared" si="80"/>
        <v>#VALUE!</v>
      </c>
    </row>
    <row r="262" spans="1:34" x14ac:dyDescent="0.25">
      <c r="A262" s="12">
        <v>23984</v>
      </c>
      <c r="B262" s="13">
        <v>44.427312000000001</v>
      </c>
      <c r="C262" s="12">
        <v>89.508318000000003</v>
      </c>
      <c r="D262" s="14">
        <v>3</v>
      </c>
      <c r="E262" s="13" t="s">
        <v>42</v>
      </c>
      <c r="F262" s="13">
        <v>44.468649999999997</v>
      </c>
      <c r="G262" s="12">
        <v>89.498069999999998</v>
      </c>
      <c r="H262" s="13" t="s">
        <v>44</v>
      </c>
      <c r="I262" s="13">
        <v>44.396560000000001</v>
      </c>
      <c r="J262" s="12">
        <v>89.494640000000004</v>
      </c>
      <c r="K262" s="13" t="s">
        <v>50</v>
      </c>
      <c r="L262" s="13">
        <v>44.41048</v>
      </c>
      <c r="M262" s="12">
        <v>89.549909999999997</v>
      </c>
      <c r="T262" s="5">
        <f t="shared" si="66"/>
        <v>15314.979907903309</v>
      </c>
      <c r="U262" s="5">
        <f t="shared" si="67"/>
        <v>11771.357178907601</v>
      </c>
      <c r="V262" s="5">
        <f t="shared" si="68"/>
        <v>12456.136517536601</v>
      </c>
      <c r="W262" s="5" t="str">
        <f t="shared" si="69"/>
        <v>n/a</v>
      </c>
      <c r="X262" s="6" t="str">
        <f t="shared" si="70"/>
        <v>n/a</v>
      </c>
      <c r="Y262" s="16">
        <f t="shared" si="71"/>
        <v>0.28324194069433162</v>
      </c>
      <c r="Z262" s="16">
        <f t="shared" si="72"/>
        <v>0.3685084536031204</v>
      </c>
      <c r="AA262" s="16">
        <f t="shared" si="73"/>
        <v>0.34824960570254793</v>
      </c>
      <c r="AB262" s="16" t="e">
        <f t="shared" si="74"/>
        <v>#VALUE!</v>
      </c>
      <c r="AC262" s="18" t="e">
        <f t="shared" si="75"/>
        <v>#VALUE!</v>
      </c>
      <c r="AD262" s="16">
        <f t="shared" si="76"/>
        <v>0.23784600710173981</v>
      </c>
      <c r="AE262" s="16">
        <f t="shared" si="77"/>
        <v>0.40260174443093083</v>
      </c>
      <c r="AF262" s="16">
        <f t="shared" si="78"/>
        <v>0.35955224846732931</v>
      </c>
      <c r="AG262" s="16" t="e">
        <f t="shared" si="79"/>
        <v>#VALUE!</v>
      </c>
      <c r="AH262" s="16" t="e">
        <f t="shared" si="80"/>
        <v>#VALUE!</v>
      </c>
    </row>
    <row r="263" spans="1:34" x14ac:dyDescent="0.25">
      <c r="A263" s="12">
        <v>23985</v>
      </c>
      <c r="B263" s="13">
        <v>44.437597099999998</v>
      </c>
      <c r="C263" s="12">
        <v>89.5161351</v>
      </c>
      <c r="D263" s="14">
        <v>3</v>
      </c>
      <c r="E263" s="13" t="s">
        <v>42</v>
      </c>
      <c r="F263" s="13">
        <v>44.468170000000001</v>
      </c>
      <c r="G263" s="12">
        <v>89.49221</v>
      </c>
      <c r="H263" s="13" t="s">
        <v>44</v>
      </c>
      <c r="I263" s="13">
        <v>44.399880000000003</v>
      </c>
      <c r="J263" s="12">
        <v>89.480710000000002</v>
      </c>
      <c r="K263" s="13" t="s">
        <v>43</v>
      </c>
      <c r="L263" s="13">
        <v>44.436320000000002</v>
      </c>
      <c r="M263" s="12">
        <v>89.375429999999994</v>
      </c>
      <c r="T263" s="5">
        <f t="shared" si="66"/>
        <v>12775.59981824303</v>
      </c>
      <c r="U263" s="5">
        <f t="shared" si="67"/>
        <v>16569.001444388512</v>
      </c>
      <c r="V263" s="5">
        <f t="shared" si="68"/>
        <v>36654.390000183281</v>
      </c>
      <c r="W263" s="5" t="str">
        <f t="shared" si="69"/>
        <v>n/a</v>
      </c>
      <c r="X263" s="6" t="str">
        <f t="shared" si="70"/>
        <v>n/a</v>
      </c>
      <c r="Y263" s="16">
        <f t="shared" si="71"/>
        <v>0.47178792019499133</v>
      </c>
      <c r="Z263" s="16">
        <f t="shared" si="72"/>
        <v>0.36377410477767219</v>
      </c>
      <c r="AA263" s="16">
        <f t="shared" si="73"/>
        <v>0.16443797502733642</v>
      </c>
      <c r="AB263" s="16" t="e">
        <f t="shared" si="74"/>
        <v>#VALUE!</v>
      </c>
      <c r="AC263" s="18" t="e">
        <f t="shared" si="75"/>
        <v>#VALUE!</v>
      </c>
      <c r="AD263" s="16">
        <f t="shared" si="76"/>
        <v>0.58274842186249842</v>
      </c>
      <c r="AE263" s="16">
        <f t="shared" si="77"/>
        <v>0.34645835065888431</v>
      </c>
      <c r="AF263" s="16">
        <f t="shared" si="78"/>
        <v>7.0793227478617285E-2</v>
      </c>
      <c r="AG263" s="16" t="e">
        <f t="shared" si="79"/>
        <v>#VALUE!</v>
      </c>
      <c r="AH263" s="16" t="e">
        <f t="shared" si="80"/>
        <v>#VALUE!</v>
      </c>
    </row>
    <row r="264" spans="1:34" x14ac:dyDescent="0.25">
      <c r="A264" s="12">
        <v>23987</v>
      </c>
      <c r="B264" s="13">
        <v>44.420663300000001</v>
      </c>
      <c r="C264" s="12">
        <v>89.464018300000006</v>
      </c>
      <c r="D264" s="14">
        <v>5</v>
      </c>
      <c r="E264" s="13" t="s">
        <v>42</v>
      </c>
      <c r="F264" s="13">
        <v>44.467849999999999</v>
      </c>
      <c r="G264" s="12">
        <v>89.487679999999997</v>
      </c>
      <c r="H264" s="13" t="s">
        <v>44</v>
      </c>
      <c r="I264" s="13">
        <v>44.400129999999997</v>
      </c>
      <c r="J264" s="12">
        <v>89.480549999999994</v>
      </c>
      <c r="K264" s="13" t="s">
        <v>51</v>
      </c>
      <c r="L264" s="13">
        <v>44.37968</v>
      </c>
      <c r="M264" s="12">
        <v>89.436890000000005</v>
      </c>
      <c r="N264" s="13" t="s">
        <v>46</v>
      </c>
      <c r="O264" s="13">
        <v>44.382379999999998</v>
      </c>
      <c r="P264" s="12">
        <v>89.367450000000005</v>
      </c>
      <c r="Q264" s="13" t="s">
        <v>43</v>
      </c>
      <c r="R264" s="13">
        <v>44.436579999999999</v>
      </c>
      <c r="S264" s="12">
        <v>89.376000000000005</v>
      </c>
      <c r="T264" s="5">
        <f t="shared" si="66"/>
        <v>18284.190995978555</v>
      </c>
      <c r="U264" s="5">
        <f t="shared" si="67"/>
        <v>8641.3439534171757</v>
      </c>
      <c r="V264" s="5">
        <f t="shared" si="68"/>
        <v>16538.966929759386</v>
      </c>
      <c r="W264" s="5">
        <f t="shared" si="69"/>
        <v>28784.926151175376</v>
      </c>
      <c r="X264" s="6">
        <f t="shared" si="70"/>
        <v>23654.400718441157</v>
      </c>
      <c r="Y264" s="16">
        <f t="shared" si="71"/>
        <v>0.17763280085242333</v>
      </c>
      <c r="Z264" s="16">
        <f t="shared" si="72"/>
        <v>0.37585265387474542</v>
      </c>
      <c r="AA264" s="16">
        <f t="shared" si="73"/>
        <v>0.1963769606487496</v>
      </c>
      <c r="AB264" s="16">
        <f t="shared" si="74"/>
        <v>0.11283239153989316</v>
      </c>
      <c r="AC264" s="18">
        <f t="shared" si="75"/>
        <v>0.13730519308418851</v>
      </c>
      <c r="AD264" s="16">
        <f t="shared" si="76"/>
        <v>0.1298673863249396</v>
      </c>
      <c r="AE264" s="16">
        <f t="shared" si="77"/>
        <v>0.58141872584883147</v>
      </c>
      <c r="AF264" s="16">
        <f t="shared" si="78"/>
        <v>0.15872116446194309</v>
      </c>
      <c r="AG264" s="16">
        <f t="shared" si="79"/>
        <v>5.2398802205345721E-2</v>
      </c>
      <c r="AH264" s="16">
        <f t="shared" si="80"/>
        <v>7.759392115894008E-2</v>
      </c>
    </row>
    <row r="265" spans="1:34" x14ac:dyDescent="0.25">
      <c r="A265" s="12">
        <v>23998</v>
      </c>
      <c r="B265" s="13">
        <v>44.541550999999998</v>
      </c>
      <c r="C265" s="12">
        <v>89.499075000000005</v>
      </c>
      <c r="D265" s="14">
        <v>3</v>
      </c>
      <c r="E265" s="13" t="s">
        <v>42</v>
      </c>
      <c r="F265" s="13">
        <v>44.475450000000002</v>
      </c>
      <c r="G265" s="12">
        <v>89.479529999999997</v>
      </c>
      <c r="H265" s="13" t="s">
        <v>40</v>
      </c>
      <c r="I265" s="13">
        <v>44.549160000000001</v>
      </c>
      <c r="J265" s="12">
        <v>89.493300000000005</v>
      </c>
      <c r="K265" s="13" t="s">
        <v>39</v>
      </c>
      <c r="L265" s="13">
        <v>44.538640000000001</v>
      </c>
      <c r="M265" s="12">
        <v>89.516409999999993</v>
      </c>
      <c r="T265" s="5">
        <f t="shared" si="66"/>
        <v>24644.775316921012</v>
      </c>
      <c r="U265" s="5">
        <f t="shared" si="67"/>
        <v>3155.9322787724259</v>
      </c>
      <c r="V265" s="5">
        <f t="shared" si="68"/>
        <v>4630.9241312328122</v>
      </c>
      <c r="W265" s="5" t="str">
        <f t="shared" si="69"/>
        <v>n/a</v>
      </c>
      <c r="X265" s="6" t="str">
        <f t="shared" si="70"/>
        <v>n/a</v>
      </c>
      <c r="Y265" s="16">
        <f t="shared" si="71"/>
        <v>7.0767325749345036E-2</v>
      </c>
      <c r="Z265" s="16">
        <f t="shared" si="72"/>
        <v>0.55262429254355061</v>
      </c>
      <c r="AA265" s="16">
        <f t="shared" si="73"/>
        <v>0.37660838170710431</v>
      </c>
      <c r="AB265" s="16" t="e">
        <f t="shared" si="74"/>
        <v>#VALUE!</v>
      </c>
      <c r="AC265" s="18" t="e">
        <f t="shared" si="75"/>
        <v>#VALUE!</v>
      </c>
      <c r="AD265" s="16">
        <f t="shared" si="76"/>
        <v>1.1073908251262948E-2</v>
      </c>
      <c r="AE265" s="16">
        <f t="shared" si="77"/>
        <v>0.67529774028074296</v>
      </c>
      <c r="AF265" s="16">
        <f t="shared" si="78"/>
        <v>0.31362835146799412</v>
      </c>
      <c r="AG265" s="16" t="e">
        <f t="shared" si="79"/>
        <v>#VALUE!</v>
      </c>
      <c r="AH265" s="16" t="e">
        <f t="shared" si="80"/>
        <v>#VALUE!</v>
      </c>
    </row>
    <row r="266" spans="1:34" x14ac:dyDescent="0.25">
      <c r="A266" s="12">
        <v>24003</v>
      </c>
      <c r="B266" s="13">
        <v>44.428347000000002</v>
      </c>
      <c r="C266" s="12">
        <v>89.521495999999999</v>
      </c>
      <c r="D266" s="14">
        <v>4</v>
      </c>
      <c r="E266" s="13" t="s">
        <v>42</v>
      </c>
      <c r="F266" s="13">
        <v>44.470410000000001</v>
      </c>
      <c r="G266" s="12">
        <v>89.511759999999995</v>
      </c>
      <c r="H266" s="13" t="s">
        <v>44</v>
      </c>
      <c r="I266" s="13">
        <v>44.388379999999998</v>
      </c>
      <c r="J266" s="12">
        <v>89.530510000000007</v>
      </c>
      <c r="K266" s="13" t="s">
        <v>48</v>
      </c>
      <c r="L266" s="13">
        <v>44.462609999999998</v>
      </c>
      <c r="M266" s="12">
        <v>89.562640000000002</v>
      </c>
      <c r="N266" s="13" t="s">
        <v>49</v>
      </c>
      <c r="O266" s="13">
        <v>44.431890000000003</v>
      </c>
      <c r="P266" s="12">
        <v>89.563100000000006</v>
      </c>
      <c r="T266" s="5">
        <f t="shared" si="66"/>
        <v>15553.186142853558</v>
      </c>
      <c r="U266" s="5">
        <f t="shared" si="67"/>
        <v>14768.502132130505</v>
      </c>
      <c r="V266" s="5">
        <f t="shared" si="68"/>
        <v>16464.133153700313</v>
      </c>
      <c r="W266" s="5">
        <f t="shared" si="69"/>
        <v>10915.244437177167</v>
      </c>
      <c r="X266" s="6" t="str">
        <f t="shared" si="70"/>
        <v>n/a</v>
      </c>
      <c r="Y266" s="16">
        <f t="shared" si="71"/>
        <v>0.22610581238354921</v>
      </c>
      <c r="Z266" s="16">
        <f t="shared" si="72"/>
        <v>0.23811932696489033</v>
      </c>
      <c r="AA266" s="16">
        <f t="shared" si="73"/>
        <v>0.21359556286096321</v>
      </c>
      <c r="AB266" s="16">
        <f t="shared" si="74"/>
        <v>0.32217929779059729</v>
      </c>
      <c r="AC266" s="18" t="e">
        <f t="shared" si="75"/>
        <v>#VALUE!</v>
      </c>
      <c r="AD266" s="16">
        <f t="shared" si="76"/>
        <v>0.19873427225410367</v>
      </c>
      <c r="AE266" s="16">
        <f t="shared" si="77"/>
        <v>0.22041371179422564</v>
      </c>
      <c r="AF266" s="16">
        <f t="shared" si="78"/>
        <v>0.17735105189894293</v>
      </c>
      <c r="AG266" s="16">
        <f t="shared" si="79"/>
        <v>0.40350096405272773</v>
      </c>
      <c r="AH266" s="16" t="e">
        <f t="shared" si="80"/>
        <v>#VALUE!</v>
      </c>
    </row>
    <row r="267" spans="1:34" x14ac:dyDescent="0.25">
      <c r="A267" s="12">
        <v>24005</v>
      </c>
      <c r="B267" s="13">
        <v>44.433606699999999</v>
      </c>
      <c r="C267" s="12">
        <v>89.441599600000004</v>
      </c>
      <c r="D267" s="14">
        <v>3</v>
      </c>
      <c r="E267" s="13" t="s">
        <v>42</v>
      </c>
      <c r="F267" s="13">
        <v>44.467599999999997</v>
      </c>
      <c r="G267" s="12">
        <v>89.486879999999999</v>
      </c>
      <c r="H267" s="13" t="s">
        <v>44</v>
      </c>
      <c r="I267" s="13">
        <v>44.399880000000003</v>
      </c>
      <c r="J267" s="12">
        <v>89.480710000000002</v>
      </c>
      <c r="K267" s="13" t="s">
        <v>43</v>
      </c>
      <c r="L267" s="13">
        <v>44.436320000000002</v>
      </c>
      <c r="M267" s="12">
        <v>89.375429999999994</v>
      </c>
      <c r="T267" s="5">
        <f t="shared" si="66"/>
        <v>17112.636382814348</v>
      </c>
      <c r="U267" s="5">
        <f t="shared" si="67"/>
        <v>15976.432843621318</v>
      </c>
      <c r="V267" s="5">
        <f t="shared" si="68"/>
        <v>17265.111408505967</v>
      </c>
      <c r="W267" s="5" t="str">
        <f t="shared" si="69"/>
        <v>n/a</v>
      </c>
      <c r="X267" s="6" t="str">
        <f t="shared" si="70"/>
        <v>n/a</v>
      </c>
      <c r="Y267" s="16">
        <f t="shared" si="71"/>
        <v>0.32655342267317272</v>
      </c>
      <c r="Z267" s="16">
        <f t="shared" si="72"/>
        <v>0.349777077052629</v>
      </c>
      <c r="AA267" s="16">
        <f t="shared" si="73"/>
        <v>0.32366950027419833</v>
      </c>
      <c r="AB267" s="16" t="e">
        <f t="shared" si="74"/>
        <v>#VALUE!</v>
      </c>
      <c r="AC267" s="18" t="e">
        <f t="shared" si="75"/>
        <v>#VALUE!</v>
      </c>
      <c r="AD267" s="16">
        <f t="shared" si="76"/>
        <v>0.31951864187047874</v>
      </c>
      <c r="AE267" s="16">
        <f t="shared" si="77"/>
        <v>0.36658138680361962</v>
      </c>
      <c r="AF267" s="16">
        <f t="shared" si="78"/>
        <v>0.31389997132590158</v>
      </c>
      <c r="AG267" s="16" t="e">
        <f t="shared" si="79"/>
        <v>#VALUE!</v>
      </c>
      <c r="AH267" s="16" t="e">
        <f t="shared" si="80"/>
        <v>#VALUE!</v>
      </c>
    </row>
    <row r="268" spans="1:34" x14ac:dyDescent="0.25">
      <c r="A268" s="12">
        <v>24010</v>
      </c>
      <c r="B268" s="13">
        <v>44.494378599999997</v>
      </c>
      <c r="C268" s="12">
        <v>89.493642100000002</v>
      </c>
      <c r="D268" s="14">
        <v>2</v>
      </c>
      <c r="E268" s="13" t="s">
        <v>42</v>
      </c>
      <c r="F268" s="13">
        <v>44.48263</v>
      </c>
      <c r="G268" s="12">
        <v>89.479879999999994</v>
      </c>
      <c r="H268" s="13" t="s">
        <v>39</v>
      </c>
      <c r="I268" s="13">
        <v>44.507199999999997</v>
      </c>
      <c r="J268" s="12">
        <v>89.540490000000005</v>
      </c>
      <c r="T268" s="5">
        <f t="shared" si="66"/>
        <v>5585.544087424536</v>
      </c>
      <c r="U268" s="5">
        <f t="shared" si="67"/>
        <v>13056.385442140696</v>
      </c>
      <c r="V268" s="5" t="str">
        <f t="shared" si="68"/>
        <v>n/a</v>
      </c>
      <c r="W268" s="5" t="str">
        <f t="shared" si="69"/>
        <v>n/a</v>
      </c>
      <c r="X268" s="6" t="str">
        <f t="shared" si="70"/>
        <v>n/a</v>
      </c>
      <c r="Y268" s="16">
        <f t="shared" si="71"/>
        <v>0.7003773628386416</v>
      </c>
      <c r="Z268" s="16">
        <f t="shared" si="72"/>
        <v>0.2996226371613584</v>
      </c>
      <c r="AA268" s="16" t="e">
        <f t="shared" si="73"/>
        <v>#VALUE!</v>
      </c>
      <c r="AB268" s="16" t="e">
        <f t="shared" si="74"/>
        <v>#VALUE!</v>
      </c>
      <c r="AC268" s="18" t="e">
        <f t="shared" si="75"/>
        <v>#VALUE!</v>
      </c>
      <c r="AD268" s="16">
        <f t="shared" si="76"/>
        <v>0.8452983143002738</v>
      </c>
      <c r="AE268" s="16">
        <f t="shared" si="77"/>
        <v>0.1547016856997262</v>
      </c>
      <c r="AF268" s="16" t="e">
        <f t="shared" si="78"/>
        <v>#VALUE!</v>
      </c>
      <c r="AG268" s="16" t="e">
        <f t="shared" si="79"/>
        <v>#VALUE!</v>
      </c>
      <c r="AH268" s="16" t="e">
        <f t="shared" si="80"/>
        <v>#VALUE!</v>
      </c>
    </row>
    <row r="269" spans="1:34" x14ac:dyDescent="0.25">
      <c r="A269" s="12">
        <v>24011</v>
      </c>
      <c r="B269" s="13">
        <v>44.491616</v>
      </c>
      <c r="C269" s="12">
        <v>89.446966000000003</v>
      </c>
      <c r="D269" s="14">
        <v>3</v>
      </c>
      <c r="E269" s="13" t="s">
        <v>42</v>
      </c>
      <c r="F269" s="13">
        <v>44.482080000000003</v>
      </c>
      <c r="G269" s="12">
        <v>89.479249999999993</v>
      </c>
      <c r="H269" s="13" t="s">
        <v>41</v>
      </c>
      <c r="I269" s="13">
        <v>44.515099999999997</v>
      </c>
      <c r="J269" s="12">
        <v>89.335120000000003</v>
      </c>
      <c r="K269" s="13" t="s">
        <v>43</v>
      </c>
      <c r="L269" s="13">
        <v>44.436140000000002</v>
      </c>
      <c r="M269" s="12">
        <v>89.375429999999994</v>
      </c>
      <c r="T269" s="5">
        <f t="shared" si="66"/>
        <v>9093.9979741436255</v>
      </c>
      <c r="U269" s="5">
        <f t="shared" si="67"/>
        <v>30335.860405179159</v>
      </c>
      <c r="V269" s="5">
        <f t="shared" si="68"/>
        <v>27504.477792114882</v>
      </c>
      <c r="W269" s="5" t="str">
        <f t="shared" si="69"/>
        <v>n/a</v>
      </c>
      <c r="X269" s="6" t="str">
        <f t="shared" si="70"/>
        <v>n/a</v>
      </c>
      <c r="Y269" s="16">
        <f t="shared" si="71"/>
        <v>0.61334109317019014</v>
      </c>
      <c r="Z269" s="16">
        <f t="shared" si="72"/>
        <v>0.18386564891353724</v>
      </c>
      <c r="AA269" s="16">
        <f t="shared" si="73"/>
        <v>0.20279325791627265</v>
      </c>
      <c r="AB269" s="16" t="e">
        <f t="shared" si="74"/>
        <v>#VALUE!</v>
      </c>
      <c r="AC269" s="18" t="e">
        <f t="shared" si="75"/>
        <v>#VALUE!</v>
      </c>
      <c r="AD269" s="16">
        <f t="shared" si="76"/>
        <v>0.83389818248596959</v>
      </c>
      <c r="AE269" s="16">
        <f t="shared" si="77"/>
        <v>7.4939380591980229E-2</v>
      </c>
      <c r="AF269" s="16">
        <f t="shared" si="78"/>
        <v>9.1162436922050172E-2</v>
      </c>
      <c r="AG269" s="16" t="e">
        <f t="shared" si="79"/>
        <v>#VALUE!</v>
      </c>
      <c r="AH269" s="16" t="e">
        <f t="shared" si="80"/>
        <v>#VALUE!</v>
      </c>
    </row>
    <row r="270" spans="1:34" x14ac:dyDescent="0.25">
      <c r="A270" s="12">
        <v>24012</v>
      </c>
      <c r="B270" s="13">
        <v>44.410333299999998</v>
      </c>
      <c r="C270" s="12">
        <v>89.533716699999999</v>
      </c>
      <c r="D270" s="14">
        <v>4</v>
      </c>
      <c r="E270" s="13" t="s">
        <v>42</v>
      </c>
      <c r="F270" s="13">
        <v>44.470410000000001</v>
      </c>
      <c r="G270" s="12">
        <v>89.511759999999995</v>
      </c>
      <c r="H270" s="13" t="s">
        <v>44</v>
      </c>
      <c r="I270" s="13">
        <v>44.388379999999998</v>
      </c>
      <c r="J270" s="12">
        <v>89.530510000000007</v>
      </c>
      <c r="K270" s="13" t="s">
        <v>48</v>
      </c>
      <c r="L270" s="13">
        <v>44.462609999999998</v>
      </c>
      <c r="M270" s="12">
        <v>89.562640000000002</v>
      </c>
      <c r="N270" s="13" t="s">
        <v>49</v>
      </c>
      <c r="O270" s="13">
        <v>44.411099999999998</v>
      </c>
      <c r="P270" s="12">
        <v>89.569959999999995</v>
      </c>
      <c r="T270" s="5">
        <f t="shared" si="66"/>
        <v>22650.631894927508</v>
      </c>
      <c r="U270" s="5">
        <f t="shared" si="67"/>
        <v>8052.3408392317106</v>
      </c>
      <c r="V270" s="5">
        <f t="shared" si="68"/>
        <v>20505.459996132879</v>
      </c>
      <c r="W270" s="5">
        <f t="shared" si="69"/>
        <v>9449.1806718134612</v>
      </c>
      <c r="X270" s="6" t="str">
        <f t="shared" si="70"/>
        <v>n/a</v>
      </c>
      <c r="Y270" s="16">
        <f t="shared" si="71"/>
        <v>0.13671212999675517</v>
      </c>
      <c r="Z270" s="16">
        <f t="shared" si="72"/>
        <v>0.38456098592362031</v>
      </c>
      <c r="AA270" s="16">
        <f t="shared" si="73"/>
        <v>0.15101422414868865</v>
      </c>
      <c r="AB270" s="16">
        <f t="shared" si="74"/>
        <v>0.32771265993093601</v>
      </c>
      <c r="AC270" s="18" t="e">
        <f t="shared" si="75"/>
        <v>#VALUE!</v>
      </c>
      <c r="AD270" s="16">
        <f t="shared" si="76"/>
        <v>6.2977010637965902E-2</v>
      </c>
      <c r="AE270" s="16">
        <f t="shared" si="77"/>
        <v>0.49830860584320674</v>
      </c>
      <c r="AF270" s="16">
        <f t="shared" si="78"/>
        <v>7.6842883629927333E-2</v>
      </c>
      <c r="AG270" s="16">
        <f t="shared" si="79"/>
        <v>0.36187149988890016</v>
      </c>
      <c r="AH270" s="16" t="e">
        <f t="shared" si="80"/>
        <v>#VALUE!</v>
      </c>
    </row>
    <row r="271" spans="1:34" x14ac:dyDescent="0.25">
      <c r="A271" s="12">
        <v>24016</v>
      </c>
      <c r="B271" s="13">
        <v>44.428235000000001</v>
      </c>
      <c r="C271" s="12">
        <v>89.559001699999996</v>
      </c>
      <c r="D271" s="14">
        <v>4</v>
      </c>
      <c r="E271" s="13" t="s">
        <v>42</v>
      </c>
      <c r="F271" s="13">
        <v>44.470410000000001</v>
      </c>
      <c r="G271" s="12">
        <v>89.511759999999995</v>
      </c>
      <c r="H271" s="13" t="s">
        <v>44</v>
      </c>
      <c r="I271" s="13">
        <v>44.388379999999998</v>
      </c>
      <c r="J271" s="12">
        <v>89.530510000000007</v>
      </c>
      <c r="K271" s="13" t="s">
        <v>48</v>
      </c>
      <c r="L271" s="13">
        <v>44.462609999999998</v>
      </c>
      <c r="M271" s="12">
        <v>89.562640000000002</v>
      </c>
      <c r="N271" s="13" t="s">
        <v>49</v>
      </c>
      <c r="O271" s="13">
        <v>44.428980000000003</v>
      </c>
      <c r="P271" s="12">
        <v>89.564130000000006</v>
      </c>
      <c r="T271" s="5">
        <f t="shared" si="66"/>
        <v>19700.118626265074</v>
      </c>
      <c r="U271" s="5">
        <f t="shared" si="67"/>
        <v>16325.89868378079</v>
      </c>
      <c r="V271" s="5">
        <f t="shared" si="68"/>
        <v>12576.187999363568</v>
      </c>
      <c r="W271" s="5">
        <f t="shared" si="69"/>
        <v>1363.3952731477621</v>
      </c>
      <c r="X271" s="6" t="str">
        <f t="shared" si="70"/>
        <v>n/a</v>
      </c>
      <c r="Y271" s="16">
        <f t="shared" si="71"/>
        <v>5.4877365505099432E-2</v>
      </c>
      <c r="Z271" s="16">
        <f t="shared" si="72"/>
        <v>6.6219362945170765E-2</v>
      </c>
      <c r="AA271" s="16">
        <f t="shared" si="73"/>
        <v>8.5963299085706713E-2</v>
      </c>
      <c r="AB271" s="16">
        <f t="shared" si="74"/>
        <v>0.79293997246402315</v>
      </c>
      <c r="AC271" s="18" t="e">
        <f t="shared" si="75"/>
        <v>#VALUE!</v>
      </c>
      <c r="AD271" s="16">
        <f t="shared" si="76"/>
        <v>4.6796238937321195E-3</v>
      </c>
      <c r="AE271" s="16">
        <f t="shared" si="77"/>
        <v>6.8138793334544812E-3</v>
      </c>
      <c r="AF271" s="16">
        <f t="shared" si="78"/>
        <v>1.1482873765529832E-2</v>
      </c>
      <c r="AG271" s="16">
        <f t="shared" si="79"/>
        <v>0.97702362300728351</v>
      </c>
      <c r="AH271" s="16" t="e">
        <f t="shared" si="80"/>
        <v>#VALUE!</v>
      </c>
    </row>
    <row r="272" spans="1:34" x14ac:dyDescent="0.25">
      <c r="A272" s="12">
        <v>24018</v>
      </c>
      <c r="B272" s="13">
        <v>44.421037800000001</v>
      </c>
      <c r="C272" s="12">
        <v>89.584445799999997</v>
      </c>
      <c r="D272" s="14">
        <v>0</v>
      </c>
      <c r="T272" s="5">
        <f t="shared" si="66"/>
        <v>32724873.367656402</v>
      </c>
      <c r="U272" s="5">
        <f t="shared" si="67"/>
        <v>32724873.367656402</v>
      </c>
      <c r="V272" s="5" t="str">
        <f t="shared" si="68"/>
        <v>n/a</v>
      </c>
      <c r="W272" s="5" t="str">
        <f t="shared" si="69"/>
        <v>n/a</v>
      </c>
      <c r="X272" s="6" t="str">
        <f t="shared" si="70"/>
        <v>n/a</v>
      </c>
      <c r="Y272" s="16" t="str">
        <f t="shared" si="71"/>
        <v>error</v>
      </c>
      <c r="Z272" s="16" t="str">
        <f t="shared" si="72"/>
        <v>error</v>
      </c>
      <c r="AA272" s="16" t="str">
        <f t="shared" si="73"/>
        <v>error</v>
      </c>
      <c r="AB272" s="16" t="str">
        <f t="shared" si="74"/>
        <v>error</v>
      </c>
      <c r="AC272" s="18" t="str">
        <f t="shared" si="75"/>
        <v>error</v>
      </c>
      <c r="AD272" s="16" t="str">
        <f t="shared" si="76"/>
        <v>error</v>
      </c>
      <c r="AE272" s="16" t="str">
        <f t="shared" si="77"/>
        <v>error</v>
      </c>
      <c r="AF272" s="16" t="str">
        <f t="shared" si="78"/>
        <v>error</v>
      </c>
      <c r="AG272" s="16" t="str">
        <f t="shared" si="79"/>
        <v>error</v>
      </c>
      <c r="AH272" s="16" t="str">
        <f t="shared" si="80"/>
        <v>error</v>
      </c>
    </row>
    <row r="273" spans="1:34" x14ac:dyDescent="0.25">
      <c r="A273" s="12">
        <v>24024</v>
      </c>
      <c r="B273" s="13">
        <v>44.397278999999997</v>
      </c>
      <c r="C273" s="12">
        <v>89.431704999999994</v>
      </c>
      <c r="D273" s="14">
        <v>5</v>
      </c>
      <c r="E273" s="13" t="s">
        <v>42</v>
      </c>
      <c r="F273" s="13">
        <v>44.467849999999999</v>
      </c>
      <c r="G273" s="12">
        <v>89.487679999999997</v>
      </c>
      <c r="H273" s="13" t="s">
        <v>44</v>
      </c>
      <c r="I273" s="13">
        <v>44.400129999999997</v>
      </c>
      <c r="J273" s="12">
        <v>89.480549999999994</v>
      </c>
      <c r="K273" s="13" t="s">
        <v>51</v>
      </c>
      <c r="L273" s="13">
        <v>44.37968</v>
      </c>
      <c r="M273" s="12">
        <v>89.436890000000005</v>
      </c>
      <c r="N273" s="13" t="s">
        <v>46</v>
      </c>
      <c r="O273" s="13">
        <v>44.382379999999998</v>
      </c>
      <c r="P273" s="12">
        <v>89.367450000000005</v>
      </c>
      <c r="Q273" s="13" t="s">
        <v>43</v>
      </c>
      <c r="R273" s="13">
        <v>44.436579999999999</v>
      </c>
      <c r="S273" s="12">
        <v>89.376000000000005</v>
      </c>
      <c r="T273" s="5">
        <f t="shared" si="66"/>
        <v>29587.851396529677</v>
      </c>
      <c r="U273" s="5">
        <f t="shared" si="67"/>
        <v>12774.082337763246</v>
      </c>
      <c r="V273" s="5">
        <f t="shared" si="68"/>
        <v>6561.0924496416774</v>
      </c>
      <c r="W273" s="5">
        <f t="shared" si="69"/>
        <v>17610.663702941885</v>
      </c>
      <c r="X273" s="6">
        <f t="shared" si="70"/>
        <v>20402.355878617615</v>
      </c>
      <c r="Y273" s="16">
        <f t="shared" si="71"/>
        <v>9.127285127089671E-2</v>
      </c>
      <c r="Z273" s="16">
        <f t="shared" si="72"/>
        <v>0.21140990707076646</v>
      </c>
      <c r="AA273" s="16">
        <f t="shared" si="73"/>
        <v>0.41160333902753243</v>
      </c>
      <c r="AB273" s="16">
        <f t="shared" si="74"/>
        <v>0.1533484260158641</v>
      </c>
      <c r="AC273" s="18">
        <f t="shared" si="75"/>
        <v>0.13236547661494016</v>
      </c>
      <c r="AD273" s="16">
        <f t="shared" si="76"/>
        <v>3.1618260301078317E-2</v>
      </c>
      <c r="AE273" s="16">
        <f t="shared" si="77"/>
        <v>0.16963107167468228</v>
      </c>
      <c r="AF273" s="16">
        <f t="shared" si="78"/>
        <v>0.64300228109175761</v>
      </c>
      <c r="AG273" s="16">
        <f t="shared" si="79"/>
        <v>8.9251059554554077E-2</v>
      </c>
      <c r="AH273" s="16">
        <f t="shared" si="80"/>
        <v>6.6497327377927767E-2</v>
      </c>
    </row>
    <row r="274" spans="1:34" x14ac:dyDescent="0.25">
      <c r="A274" s="12">
        <v>24030</v>
      </c>
      <c r="B274" s="13">
        <v>44.421802</v>
      </c>
      <c r="C274" s="12">
        <v>89.451528999999994</v>
      </c>
      <c r="D274" s="14">
        <v>5</v>
      </c>
      <c r="E274" s="13" t="s">
        <v>42</v>
      </c>
      <c r="F274" s="13">
        <v>44.467849999999999</v>
      </c>
      <c r="G274" s="12">
        <v>89.487679999999997</v>
      </c>
      <c r="H274" s="13" t="s">
        <v>44</v>
      </c>
      <c r="I274" s="13">
        <v>44.400129999999997</v>
      </c>
      <c r="J274" s="12">
        <v>89.480549999999994</v>
      </c>
      <c r="K274" s="13" t="s">
        <v>51</v>
      </c>
      <c r="L274" s="13">
        <v>44.37968</v>
      </c>
      <c r="M274" s="12">
        <v>89.436890000000005</v>
      </c>
      <c r="N274" s="13" t="s">
        <v>46</v>
      </c>
      <c r="O274" s="13">
        <v>44.382379999999998</v>
      </c>
      <c r="P274" s="12">
        <v>89.367450000000005</v>
      </c>
      <c r="Q274" s="13" t="s">
        <v>43</v>
      </c>
      <c r="R274" s="13">
        <v>44.436579999999999</v>
      </c>
      <c r="S274" s="12">
        <v>89.376000000000005</v>
      </c>
      <c r="T274" s="5">
        <f t="shared" si="66"/>
        <v>19257.580457167649</v>
      </c>
      <c r="U274" s="5">
        <f t="shared" si="67"/>
        <v>10940.993310450076</v>
      </c>
      <c r="V274" s="5">
        <f t="shared" si="68"/>
        <v>15833.269482981908</v>
      </c>
      <c r="W274" s="5">
        <f t="shared" si="69"/>
        <v>26211.988617316849</v>
      </c>
      <c r="X274" s="6">
        <f t="shared" si="70"/>
        <v>20401.914715048126</v>
      </c>
      <c r="Y274" s="16">
        <f t="shared" si="71"/>
        <v>0.17683464477786626</v>
      </c>
      <c r="Z274" s="16">
        <f t="shared" si="72"/>
        <v>0.31125212334896613</v>
      </c>
      <c r="AA274" s="16">
        <f t="shared" si="73"/>
        <v>0.21507922940897697</v>
      </c>
      <c r="AB274" s="16">
        <f t="shared" si="74"/>
        <v>0.12991793370361268</v>
      </c>
      <c r="AC274" s="18">
        <f t="shared" si="75"/>
        <v>0.16691606876057796</v>
      </c>
      <c r="AD274" s="16">
        <f t="shared" si="76"/>
        <v>0.14269179197443332</v>
      </c>
      <c r="AE274" s="16">
        <f t="shared" si="77"/>
        <v>0.44206784759028978</v>
      </c>
      <c r="AF274" s="16">
        <f t="shared" si="78"/>
        <v>0.21108687326143738</v>
      </c>
      <c r="AG274" s="16">
        <f t="shared" si="79"/>
        <v>7.701981881448107E-2</v>
      </c>
      <c r="AH274" s="16">
        <f t="shared" si="80"/>
        <v>0.12713366835935849</v>
      </c>
    </row>
    <row r="275" spans="1:34" x14ac:dyDescent="0.25">
      <c r="A275" s="12">
        <v>24033</v>
      </c>
      <c r="B275" s="13">
        <v>44.413536700000002</v>
      </c>
      <c r="C275" s="12">
        <v>89.4660267</v>
      </c>
      <c r="D275" s="14">
        <v>5</v>
      </c>
      <c r="E275" s="13" t="s">
        <v>42</v>
      </c>
      <c r="F275" s="13">
        <v>44.467849999999999</v>
      </c>
      <c r="G275" s="12">
        <v>89.487679999999997</v>
      </c>
      <c r="H275" s="13" t="s">
        <v>44</v>
      </c>
      <c r="I275" s="13">
        <v>44.400129999999997</v>
      </c>
      <c r="J275" s="12">
        <v>89.480549999999994</v>
      </c>
      <c r="K275" s="13" t="s">
        <v>51</v>
      </c>
      <c r="L275" s="13">
        <v>44.37968</v>
      </c>
      <c r="M275" s="12">
        <v>89.436890000000005</v>
      </c>
      <c r="N275" s="13" t="s">
        <v>46</v>
      </c>
      <c r="O275" s="13">
        <v>44.382379999999998</v>
      </c>
      <c r="P275" s="12">
        <v>89.367450000000005</v>
      </c>
      <c r="Q275" s="13" t="s">
        <v>43</v>
      </c>
      <c r="R275" s="13">
        <v>44.436579999999999</v>
      </c>
      <c r="S275" s="12">
        <v>89.376000000000005</v>
      </c>
      <c r="T275" s="5">
        <f t="shared" si="66"/>
        <v>20601.243975998143</v>
      </c>
      <c r="U275" s="5">
        <f t="shared" si="67"/>
        <v>6184.4770781344887</v>
      </c>
      <c r="V275" s="5">
        <f t="shared" si="68"/>
        <v>14499.595007152318</v>
      </c>
      <c r="W275" s="5">
        <f t="shared" si="69"/>
        <v>28096.552165303248</v>
      </c>
      <c r="X275" s="6">
        <f t="shared" si="70"/>
        <v>24916.255927838443</v>
      </c>
      <c r="Y275" s="16">
        <f t="shared" si="71"/>
        <v>0.13676174484981005</v>
      </c>
      <c r="Z275" s="16">
        <f t="shared" si="72"/>
        <v>0.4555699757050462</v>
      </c>
      <c r="AA275" s="16">
        <f t="shared" si="73"/>
        <v>0.19431315639122021</v>
      </c>
      <c r="AB275" s="16">
        <f t="shared" si="74"/>
        <v>0.10027785813924386</v>
      </c>
      <c r="AC275" s="18">
        <f t="shared" si="75"/>
        <v>0.11307726491467962</v>
      </c>
      <c r="AD275" s="16">
        <f t="shared" si="76"/>
        <v>6.520459494143796E-2</v>
      </c>
      <c r="AE275" s="16">
        <f t="shared" si="77"/>
        <v>0.72353429925866797</v>
      </c>
      <c r="AF275" s="16">
        <f t="shared" si="78"/>
        <v>0.1316295353333459</v>
      </c>
      <c r="AG275" s="16">
        <f t="shared" si="79"/>
        <v>3.5055731483836554E-2</v>
      </c>
      <c r="AH275" s="16">
        <f t="shared" si="80"/>
        <v>4.4575838982711599E-2</v>
      </c>
    </row>
    <row r="276" spans="1:34" x14ac:dyDescent="0.25">
      <c r="A276" s="12">
        <v>24034</v>
      </c>
      <c r="B276" s="13">
        <v>44.433300000000003</v>
      </c>
      <c r="C276" s="12">
        <v>89.5822</v>
      </c>
      <c r="D276" s="14">
        <v>0</v>
      </c>
      <c r="T276" s="5">
        <f t="shared" si="66"/>
        <v>32724311.054993104</v>
      </c>
      <c r="U276" s="5">
        <f t="shared" si="67"/>
        <v>32724311.054993104</v>
      </c>
      <c r="V276" s="5" t="str">
        <f t="shared" si="68"/>
        <v>n/a</v>
      </c>
      <c r="W276" s="5" t="str">
        <f t="shared" si="69"/>
        <v>n/a</v>
      </c>
      <c r="X276" s="6" t="str">
        <f t="shared" si="70"/>
        <v>n/a</v>
      </c>
      <c r="Y276" s="16" t="str">
        <f t="shared" si="71"/>
        <v>error</v>
      </c>
      <c r="Z276" s="16" t="str">
        <f t="shared" si="72"/>
        <v>error</v>
      </c>
      <c r="AA276" s="16" t="str">
        <f t="shared" si="73"/>
        <v>error</v>
      </c>
      <c r="AB276" s="16" t="str">
        <f t="shared" si="74"/>
        <v>error</v>
      </c>
      <c r="AC276" s="18" t="str">
        <f t="shared" si="75"/>
        <v>error</v>
      </c>
      <c r="AD276" s="16" t="str">
        <f t="shared" si="76"/>
        <v>error</v>
      </c>
      <c r="AE276" s="16" t="str">
        <f t="shared" si="77"/>
        <v>error</v>
      </c>
      <c r="AF276" s="16" t="str">
        <f t="shared" si="78"/>
        <v>error</v>
      </c>
      <c r="AG276" s="16" t="str">
        <f t="shared" si="79"/>
        <v>error</v>
      </c>
      <c r="AH276" s="16" t="str">
        <f t="shared" si="80"/>
        <v>error</v>
      </c>
    </row>
    <row r="277" spans="1:34" x14ac:dyDescent="0.25">
      <c r="A277" s="12">
        <v>24036</v>
      </c>
      <c r="B277" s="13">
        <v>44.399726000000001</v>
      </c>
      <c r="C277" s="12">
        <v>89.441773999999995</v>
      </c>
      <c r="D277" s="14">
        <v>5</v>
      </c>
      <c r="E277" s="13" t="s">
        <v>42</v>
      </c>
      <c r="F277" s="13">
        <v>44.467849999999999</v>
      </c>
      <c r="G277" s="12">
        <v>89.487679999999997</v>
      </c>
      <c r="H277" s="13" t="s">
        <v>44</v>
      </c>
      <c r="I277" s="13">
        <v>44.400129999999997</v>
      </c>
      <c r="J277" s="12">
        <v>89.480549999999994</v>
      </c>
      <c r="K277" s="13" t="s">
        <v>51</v>
      </c>
      <c r="L277" s="13">
        <v>44.37968</v>
      </c>
      <c r="M277" s="12">
        <v>89.436890000000005</v>
      </c>
      <c r="N277" s="13" t="s">
        <v>46</v>
      </c>
      <c r="O277" s="13">
        <v>44.382379999999998</v>
      </c>
      <c r="P277" s="12">
        <v>89.367450000000005</v>
      </c>
      <c r="Q277" s="13" t="s">
        <v>43</v>
      </c>
      <c r="R277" s="13">
        <v>44.436579999999999</v>
      </c>
      <c r="S277" s="12">
        <v>89.376000000000005</v>
      </c>
      <c r="T277" s="5">
        <f t="shared" si="66"/>
        <v>27579.900499988398</v>
      </c>
      <c r="U277" s="5">
        <f t="shared" si="67"/>
        <v>10108.002602533472</v>
      </c>
      <c r="V277" s="5">
        <f t="shared" si="68"/>
        <v>7423.0467179185862</v>
      </c>
      <c r="W277" s="5">
        <f t="shared" si="69"/>
        <v>20382.614060471238</v>
      </c>
      <c r="X277" s="6">
        <f t="shared" si="70"/>
        <v>21782.886007967292</v>
      </c>
      <c r="Y277" s="16">
        <f t="shared" si="71"/>
        <v>9.9371973568311511E-2</v>
      </c>
      <c r="Z277" s="16">
        <f t="shared" si="72"/>
        <v>0.27113854747273081</v>
      </c>
      <c r="AA277" s="16">
        <f t="shared" si="73"/>
        <v>0.36921081702015601</v>
      </c>
      <c r="AB277" s="16">
        <f t="shared" si="74"/>
        <v>0.13446112139348163</v>
      </c>
      <c r="AC277" s="18">
        <f t="shared" si="75"/>
        <v>0.12581754054531999</v>
      </c>
      <c r="AD277" s="16">
        <f t="shared" si="76"/>
        <v>3.8935775301470514E-2</v>
      </c>
      <c r="AE277" s="16">
        <f t="shared" si="77"/>
        <v>0.28987017110350694</v>
      </c>
      <c r="AF277" s="16">
        <f t="shared" si="78"/>
        <v>0.53748930778640769</v>
      </c>
      <c r="AG277" s="16">
        <f t="shared" si="79"/>
        <v>7.1287675604504913E-2</v>
      </c>
      <c r="AH277" s="16">
        <f t="shared" si="80"/>
        <v>6.2417070204109741E-2</v>
      </c>
    </row>
    <row r="278" spans="1:34" x14ac:dyDescent="0.25">
      <c r="A278" s="12">
        <v>24037</v>
      </c>
      <c r="B278" s="13">
        <v>44.543129999999998</v>
      </c>
      <c r="C278" s="12">
        <v>89.408928299999999</v>
      </c>
      <c r="D278" s="14">
        <v>4</v>
      </c>
      <c r="E278" s="13" t="s">
        <v>42</v>
      </c>
      <c r="F278" s="13">
        <v>44.481119999999997</v>
      </c>
      <c r="G278" s="12">
        <v>89.479669999999999</v>
      </c>
      <c r="H278" s="13" t="s">
        <v>39</v>
      </c>
      <c r="I278" s="13">
        <v>44.558810000000001</v>
      </c>
      <c r="J278" s="12">
        <v>89.506240000000005</v>
      </c>
      <c r="K278" s="13" t="s">
        <v>40</v>
      </c>
      <c r="L278" s="13">
        <v>44.554780000000001</v>
      </c>
      <c r="M278" s="13">
        <v>89.461330000000004</v>
      </c>
      <c r="N278" s="13" t="s">
        <v>41</v>
      </c>
      <c r="O278" s="13">
        <v>44.54806</v>
      </c>
      <c r="P278" s="12">
        <v>89.354929999999996</v>
      </c>
      <c r="T278" s="5">
        <f t="shared" si="66"/>
        <v>29162.309578434833</v>
      </c>
      <c r="U278" s="5">
        <f t="shared" si="67"/>
        <v>25937.277508027975</v>
      </c>
      <c r="V278" s="5">
        <f t="shared" si="68"/>
        <v>14271.161738994371</v>
      </c>
      <c r="W278" s="5">
        <f t="shared" si="69"/>
        <v>14154.250600574205</v>
      </c>
      <c r="X278" s="6" t="str">
        <f t="shared" si="70"/>
        <v>n/a</v>
      </c>
      <c r="Y278" s="16">
        <f t="shared" si="71"/>
        <v>0.16056249206714995</v>
      </c>
      <c r="Z278" s="16">
        <f t="shared" si="72"/>
        <v>0.18052677652455815</v>
      </c>
      <c r="AA278" s="16">
        <f t="shared" si="73"/>
        <v>0.32810034571699564</v>
      </c>
      <c r="AB278" s="16">
        <f t="shared" si="74"/>
        <v>0.33081038569129623</v>
      </c>
      <c r="AC278" s="18" t="e">
        <f t="shared" si="75"/>
        <v>#VALUE!</v>
      </c>
      <c r="AD278" s="16">
        <f t="shared" si="76"/>
        <v>9.3591547313997131E-2</v>
      </c>
      <c r="AE278" s="16">
        <f t="shared" si="77"/>
        <v>0.11831278624194755</v>
      </c>
      <c r="AF278" s="16">
        <f t="shared" si="78"/>
        <v>0.39080652217684486</v>
      </c>
      <c r="AG278" s="16">
        <f t="shared" si="79"/>
        <v>0.39728914426721046</v>
      </c>
      <c r="AH278" s="16" t="e">
        <f t="shared" si="80"/>
        <v>#VALUE!</v>
      </c>
    </row>
    <row r="279" spans="1:34" x14ac:dyDescent="0.25">
      <c r="A279" s="12">
        <v>24042</v>
      </c>
      <c r="B279" s="13">
        <v>44.425277899999998</v>
      </c>
      <c r="C279" s="12">
        <v>89.421231199999994</v>
      </c>
      <c r="D279" s="14">
        <v>5</v>
      </c>
      <c r="E279" s="13" t="s">
        <v>42</v>
      </c>
      <c r="F279" s="13">
        <v>44.467849999999999</v>
      </c>
      <c r="G279" s="12">
        <v>89.487679999999997</v>
      </c>
      <c r="H279" s="13" t="s">
        <v>44</v>
      </c>
      <c r="I279" s="13">
        <v>44.400129999999997</v>
      </c>
      <c r="J279" s="12">
        <v>89.480549999999994</v>
      </c>
      <c r="K279" s="13" t="s">
        <v>51</v>
      </c>
      <c r="L279" s="13">
        <v>44.37968</v>
      </c>
      <c r="M279" s="12">
        <v>89.436890000000005</v>
      </c>
      <c r="N279" s="13" t="s">
        <v>46</v>
      </c>
      <c r="O279" s="13">
        <v>44.382379999999998</v>
      </c>
      <c r="P279" s="12">
        <v>89.367450000000005</v>
      </c>
      <c r="Q279" s="13" t="s">
        <v>43</v>
      </c>
      <c r="R279" s="13">
        <v>44.436579999999999</v>
      </c>
      <c r="S279" s="12">
        <v>89.376000000000005</v>
      </c>
      <c r="T279" s="5">
        <f t="shared" si="66"/>
        <v>23253.063003848863</v>
      </c>
      <c r="U279" s="5">
        <f t="shared" si="67"/>
        <v>17975.468323886504</v>
      </c>
      <c r="V279" s="5">
        <f t="shared" si="68"/>
        <v>17128.043691107134</v>
      </c>
      <c r="W279" s="5">
        <f t="shared" si="69"/>
        <v>21009.325636758243</v>
      </c>
      <c r="X279" s="6">
        <f t="shared" si="70"/>
        <v>12483.77639583991</v>
      </c>
      <c r="Y279" s="16">
        <f t="shared" si="71"/>
        <v>0.15104231069869201</v>
      </c>
      <c r="Z279" s="16">
        <f t="shared" si="72"/>
        <v>0.19538830942482074</v>
      </c>
      <c r="AA279" s="16">
        <f t="shared" si="73"/>
        <v>0.20505531339502187</v>
      </c>
      <c r="AB279" s="16">
        <f t="shared" si="74"/>
        <v>0.16717320810995509</v>
      </c>
      <c r="AC279" s="18">
        <f t="shared" si="75"/>
        <v>0.2813408583715104</v>
      </c>
      <c r="AD279" s="16">
        <f t="shared" si="76"/>
        <v>0.10856590271793889</v>
      </c>
      <c r="AE279" s="16">
        <f t="shared" si="77"/>
        <v>0.18167424176769587</v>
      </c>
      <c r="AF279" s="16">
        <f t="shared" si="78"/>
        <v>0.20009593239851728</v>
      </c>
      <c r="AG279" s="16">
        <f t="shared" si="79"/>
        <v>0.13299323784299394</v>
      </c>
      <c r="AH279" s="16">
        <f t="shared" si="80"/>
        <v>0.37667068527285402</v>
      </c>
    </row>
    <row r="280" spans="1:34" x14ac:dyDescent="0.25">
      <c r="A280" s="12">
        <v>24043</v>
      </c>
      <c r="B280" s="13">
        <v>44.390087000000001</v>
      </c>
      <c r="C280" s="12">
        <v>89.431683000000007</v>
      </c>
      <c r="D280" s="14">
        <v>5</v>
      </c>
      <c r="E280" s="13" t="s">
        <v>42</v>
      </c>
      <c r="F280" s="13">
        <v>44.467849999999999</v>
      </c>
      <c r="G280" s="12">
        <v>89.487679999999997</v>
      </c>
      <c r="H280" s="13" t="s">
        <v>44</v>
      </c>
      <c r="I280" s="13">
        <v>44.400129999999997</v>
      </c>
      <c r="J280" s="12">
        <v>89.480549999999994</v>
      </c>
      <c r="K280" s="13" t="s">
        <v>51</v>
      </c>
      <c r="L280" s="13">
        <v>44.37968</v>
      </c>
      <c r="M280" s="12">
        <v>89.436890000000005</v>
      </c>
      <c r="N280" s="13" t="s">
        <v>46</v>
      </c>
      <c r="O280" s="13">
        <v>44.382379999999998</v>
      </c>
      <c r="P280" s="12">
        <v>89.367450000000005</v>
      </c>
      <c r="Q280" s="13" t="s">
        <v>43</v>
      </c>
      <c r="R280" s="13">
        <v>44.436579999999999</v>
      </c>
      <c r="S280" s="12">
        <v>89.376000000000005</v>
      </c>
      <c r="T280" s="5">
        <f t="shared" si="66"/>
        <v>31900.083740384296</v>
      </c>
      <c r="U280" s="5">
        <f t="shared" si="67"/>
        <v>13254.619492030541</v>
      </c>
      <c r="V280" s="5">
        <f t="shared" si="68"/>
        <v>4032.016581398123</v>
      </c>
      <c r="W280" s="5">
        <f t="shared" si="69"/>
        <v>16980.577462220546</v>
      </c>
      <c r="X280" s="6">
        <f t="shared" si="70"/>
        <v>22321.18229496542</v>
      </c>
      <c r="Y280" s="16">
        <f t="shared" si="71"/>
        <v>6.8370597065210703E-2</v>
      </c>
      <c r="Z280" s="16">
        <f t="shared" si="72"/>
        <v>0.16454850122794221</v>
      </c>
      <c r="AA280" s="16">
        <f t="shared" si="73"/>
        <v>0.54092728234862841</v>
      </c>
      <c r="AB280" s="16">
        <f t="shared" si="74"/>
        <v>0.12844249711841552</v>
      </c>
      <c r="AC280" s="18">
        <f t="shared" si="75"/>
        <v>9.7711122239803078E-2</v>
      </c>
      <c r="AD280" s="16">
        <f t="shared" si="76"/>
        <v>1.3340653757881654E-2</v>
      </c>
      <c r="AE280" s="16">
        <f t="shared" si="77"/>
        <v>7.7272725305016443E-2</v>
      </c>
      <c r="AF280" s="16">
        <f t="shared" si="78"/>
        <v>0.83505703671286691</v>
      </c>
      <c r="AG280" s="16">
        <f t="shared" si="79"/>
        <v>4.7082102480905115E-2</v>
      </c>
      <c r="AH280" s="16">
        <f t="shared" si="80"/>
        <v>2.7247481743329867E-2</v>
      </c>
    </row>
    <row r="281" spans="1:34" x14ac:dyDescent="0.25">
      <c r="A281" s="12">
        <v>24045</v>
      </c>
      <c r="B281" s="13">
        <v>44.451194000000001</v>
      </c>
      <c r="C281" s="12">
        <v>89.504699000000002</v>
      </c>
      <c r="D281" s="14">
        <v>5</v>
      </c>
      <c r="E281" s="13" t="s">
        <v>42</v>
      </c>
      <c r="F281" s="13">
        <v>44.469140000000003</v>
      </c>
      <c r="G281" s="12">
        <v>89.502390000000005</v>
      </c>
      <c r="H281" s="13" t="s">
        <v>48</v>
      </c>
      <c r="I281" s="13">
        <v>44.462809999999998</v>
      </c>
      <c r="J281" s="12">
        <v>89.555090000000007</v>
      </c>
      <c r="K281" s="13" t="s">
        <v>50</v>
      </c>
      <c r="L281" s="13">
        <v>44.429960000000001</v>
      </c>
      <c r="M281" s="12">
        <v>89.563500000000005</v>
      </c>
      <c r="N281" s="13" t="s">
        <v>44</v>
      </c>
      <c r="O281" s="13">
        <v>44.400329999999997</v>
      </c>
      <c r="P281" s="12">
        <v>89.480230000000006</v>
      </c>
      <c r="Q281" s="13" t="s">
        <v>43</v>
      </c>
      <c r="R281" s="13">
        <v>44.436489999999999</v>
      </c>
      <c r="S281" s="12">
        <v>89.375680000000003</v>
      </c>
      <c r="T281" s="5">
        <f t="shared" si="66"/>
        <v>6574.4772816290606</v>
      </c>
      <c r="U281" s="5">
        <f t="shared" si="67"/>
        <v>13788.865925146902</v>
      </c>
      <c r="V281" s="5">
        <f t="shared" si="68"/>
        <v>17163.337204206739</v>
      </c>
      <c r="W281" s="5">
        <f t="shared" si="69"/>
        <v>19620.390492837243</v>
      </c>
      <c r="X281" s="6">
        <f t="shared" si="70"/>
        <v>34028.885860114708</v>
      </c>
      <c r="Y281" s="16">
        <f t="shared" si="71"/>
        <v>0.41873655308773061</v>
      </c>
      <c r="Z281" s="16">
        <f t="shared" si="72"/>
        <v>0.19965194891353016</v>
      </c>
      <c r="AA281" s="16">
        <f t="shared" si="73"/>
        <v>0.16039852404625549</v>
      </c>
      <c r="AB281" s="16">
        <f t="shared" si="74"/>
        <v>0.1403118840202475</v>
      </c>
      <c r="AC281" s="18">
        <f t="shared" si="75"/>
        <v>8.0901089932236353E-2</v>
      </c>
      <c r="AD281" s="16">
        <f t="shared" si="76"/>
        <v>0.65630875944910561</v>
      </c>
      <c r="AE281" s="16">
        <f t="shared" si="77"/>
        <v>0.14920162768711076</v>
      </c>
      <c r="AF281" s="16">
        <f t="shared" si="78"/>
        <v>9.6300199868906741E-2</v>
      </c>
      <c r="AG281" s="16">
        <f t="shared" si="79"/>
        <v>7.3691155312005707E-2</v>
      </c>
      <c r="AH281" s="16">
        <f t="shared" si="80"/>
        <v>2.4498257682871137E-2</v>
      </c>
    </row>
    <row r="282" spans="1:34" x14ac:dyDescent="0.25">
      <c r="A282" s="12">
        <v>24047</v>
      </c>
      <c r="B282" s="13">
        <v>44.480670600000003</v>
      </c>
      <c r="C282" s="12">
        <v>89.408553800000007</v>
      </c>
      <c r="D282" s="14">
        <v>3</v>
      </c>
      <c r="E282" s="13" t="s">
        <v>42</v>
      </c>
      <c r="F282" s="13">
        <v>44.482439999999997</v>
      </c>
      <c r="G282" s="12">
        <v>89.47963</v>
      </c>
      <c r="H282" s="13" t="s">
        <v>41</v>
      </c>
      <c r="I282" s="13">
        <v>44.500579999999999</v>
      </c>
      <c r="J282" s="12">
        <v>89.321029999999993</v>
      </c>
      <c r="K282" s="13" t="s">
        <v>43</v>
      </c>
      <c r="L282" s="13">
        <v>44.43656</v>
      </c>
      <c r="M282" s="12">
        <v>89.376019999999997</v>
      </c>
      <c r="T282" s="5">
        <f t="shared" si="66"/>
        <v>18511.337424436733</v>
      </c>
      <c r="U282" s="5">
        <f t="shared" si="67"/>
        <v>23907.599472893144</v>
      </c>
      <c r="V282" s="5">
        <f t="shared" si="68"/>
        <v>18185.722149989033</v>
      </c>
      <c r="W282" s="5" t="str">
        <f t="shared" si="69"/>
        <v>n/a</v>
      </c>
      <c r="X282" s="6" t="str">
        <f t="shared" si="70"/>
        <v>n/a</v>
      </c>
      <c r="Y282" s="16">
        <f t="shared" si="71"/>
        <v>0.35814159348576158</v>
      </c>
      <c r="Z282" s="16">
        <f t="shared" si="72"/>
        <v>0.27730428938535767</v>
      </c>
      <c r="AA282" s="16">
        <f t="shared" si="73"/>
        <v>0.36455411712888086</v>
      </c>
      <c r="AB282" s="16" t="e">
        <f t="shared" si="74"/>
        <v>#VALUE!</v>
      </c>
      <c r="AC282" s="18" t="e">
        <f t="shared" si="75"/>
        <v>#VALUE!</v>
      </c>
      <c r="AD282" s="16">
        <f t="shared" si="76"/>
        <v>0.3794129693327763</v>
      </c>
      <c r="AE282" s="16">
        <f t="shared" si="77"/>
        <v>0.22746565069413299</v>
      </c>
      <c r="AF282" s="16">
        <f t="shared" si="78"/>
        <v>0.39312137997309077</v>
      </c>
      <c r="AG282" s="16" t="e">
        <f t="shared" si="79"/>
        <v>#VALUE!</v>
      </c>
      <c r="AH282" s="16" t="e">
        <f t="shared" si="80"/>
        <v>#VALUE!</v>
      </c>
    </row>
    <row r="283" spans="1:34" x14ac:dyDescent="0.25">
      <c r="A283" s="12">
        <v>24049</v>
      </c>
      <c r="B283" s="13">
        <v>44.441336999999997</v>
      </c>
      <c r="C283" s="12">
        <v>89.495975299999998</v>
      </c>
      <c r="D283" s="14">
        <v>5</v>
      </c>
      <c r="E283" s="13" t="s">
        <v>42</v>
      </c>
      <c r="F283" s="13">
        <v>44.469140000000003</v>
      </c>
      <c r="G283" s="12">
        <v>89.502390000000005</v>
      </c>
      <c r="H283" s="13" t="s">
        <v>48</v>
      </c>
      <c r="I283" s="13">
        <v>44.462809999999998</v>
      </c>
      <c r="J283" s="12">
        <v>89.555090000000007</v>
      </c>
      <c r="K283" s="13" t="s">
        <v>50</v>
      </c>
      <c r="L283" s="13">
        <v>44.429960000000001</v>
      </c>
      <c r="M283" s="12">
        <v>89.563500000000005</v>
      </c>
      <c r="N283" s="13" t="s">
        <v>44</v>
      </c>
      <c r="O283" s="13">
        <v>44.400329999999997</v>
      </c>
      <c r="P283" s="12">
        <v>89.480230000000006</v>
      </c>
      <c r="Q283" s="13" t="s">
        <v>43</v>
      </c>
      <c r="R283" s="13">
        <v>44.436489999999999</v>
      </c>
      <c r="S283" s="12">
        <v>89.375680000000003</v>
      </c>
      <c r="T283" s="5">
        <f t="shared" si="66"/>
        <v>10279.515831781187</v>
      </c>
      <c r="U283" s="5">
        <f t="shared" si="67"/>
        <v>17272.95032714236</v>
      </c>
      <c r="V283" s="5">
        <f t="shared" si="68"/>
        <v>18072.547487849693</v>
      </c>
      <c r="W283" s="5">
        <f t="shared" si="69"/>
        <v>15512.210130898911</v>
      </c>
      <c r="X283" s="6">
        <f t="shared" si="70"/>
        <v>31383.808446433053</v>
      </c>
      <c r="Y283" s="16">
        <f t="shared" si="71"/>
        <v>0.31704478872699515</v>
      </c>
      <c r="Z283" s="16">
        <f t="shared" si="72"/>
        <v>0.18868038542214977</v>
      </c>
      <c r="AA283" s="16">
        <f t="shared" si="73"/>
        <v>0.18033245879110088</v>
      </c>
      <c r="AB283" s="16">
        <f t="shared" si="74"/>
        <v>0.21009687836880855</v>
      </c>
      <c r="AC283" s="18">
        <f t="shared" si="75"/>
        <v>0.10384548869094565</v>
      </c>
      <c r="AD283" s="16">
        <f t="shared" si="76"/>
        <v>0.44961741550949619</v>
      </c>
      <c r="AE283" s="16">
        <f t="shared" si="77"/>
        <v>0.15924118332231652</v>
      </c>
      <c r="AF283" s="16">
        <f t="shared" si="78"/>
        <v>0.14546204711843855</v>
      </c>
      <c r="AG283" s="16">
        <f t="shared" si="79"/>
        <v>0.19744270217714052</v>
      </c>
      <c r="AH283" s="16">
        <f t="shared" si="80"/>
        <v>4.823665187260822E-2</v>
      </c>
    </row>
    <row r="284" spans="1:34" x14ac:dyDescent="0.25">
      <c r="A284" s="12">
        <v>24052</v>
      </c>
      <c r="B284" s="13">
        <v>44.415500000000002</v>
      </c>
      <c r="C284" s="12">
        <v>89.556792999999999</v>
      </c>
      <c r="D284" s="14">
        <v>0</v>
      </c>
      <c r="T284" s="5">
        <f t="shared" si="66"/>
        <v>32717657.453702774</v>
      </c>
      <c r="U284" s="5">
        <f t="shared" si="67"/>
        <v>32717657.453702774</v>
      </c>
      <c r="V284" s="5" t="str">
        <f t="shared" si="68"/>
        <v>n/a</v>
      </c>
      <c r="W284" s="5" t="str">
        <f t="shared" si="69"/>
        <v>n/a</v>
      </c>
      <c r="X284" s="6" t="str">
        <f t="shared" si="70"/>
        <v>n/a</v>
      </c>
      <c r="Y284" s="16" t="str">
        <f t="shared" si="71"/>
        <v>error</v>
      </c>
      <c r="Z284" s="16" t="str">
        <f t="shared" si="72"/>
        <v>error</v>
      </c>
      <c r="AA284" s="16" t="str">
        <f t="shared" si="73"/>
        <v>error</v>
      </c>
      <c r="AB284" s="16" t="str">
        <f t="shared" si="74"/>
        <v>error</v>
      </c>
      <c r="AC284" s="18" t="str">
        <f t="shared" si="75"/>
        <v>error</v>
      </c>
      <c r="AD284" s="16" t="str">
        <f t="shared" si="76"/>
        <v>error</v>
      </c>
      <c r="AE284" s="16" t="str">
        <f t="shared" si="77"/>
        <v>error</v>
      </c>
      <c r="AF284" s="16" t="str">
        <f t="shared" si="78"/>
        <v>error</v>
      </c>
      <c r="AG284" s="16" t="str">
        <f t="shared" si="79"/>
        <v>error</v>
      </c>
      <c r="AH284" s="16" t="str">
        <f t="shared" si="80"/>
        <v>error</v>
      </c>
    </row>
    <row r="285" spans="1:34" x14ac:dyDescent="0.25">
      <c r="A285" s="12">
        <v>24059</v>
      </c>
      <c r="B285" s="13">
        <v>44.467435000000002</v>
      </c>
      <c r="C285" s="12">
        <v>89.391921800000006</v>
      </c>
      <c r="D285" s="14">
        <v>3</v>
      </c>
      <c r="E285" s="13" t="s">
        <v>42</v>
      </c>
      <c r="F285" s="13">
        <v>44.482439999999997</v>
      </c>
      <c r="G285" s="12">
        <v>89.47963</v>
      </c>
      <c r="H285" s="13" t="s">
        <v>41</v>
      </c>
      <c r="I285" s="13">
        <v>44.500579999999999</v>
      </c>
      <c r="J285" s="12">
        <v>89.321029999999993</v>
      </c>
      <c r="K285" s="13" t="s">
        <v>43</v>
      </c>
      <c r="L285" s="13">
        <v>44.43656</v>
      </c>
      <c r="M285" s="12">
        <v>89.376019999999997</v>
      </c>
      <c r="T285" s="5">
        <f t="shared" si="66"/>
        <v>23478.773018404961</v>
      </c>
      <c r="U285" s="5">
        <f t="shared" si="67"/>
        <v>22060.38003744528</v>
      </c>
      <c r="V285" s="5">
        <f t="shared" si="68"/>
        <v>12000.718392092824</v>
      </c>
      <c r="W285" s="5" t="str">
        <f t="shared" si="69"/>
        <v>n/a</v>
      </c>
      <c r="X285" s="6" t="str">
        <f t="shared" si="70"/>
        <v>n/a</v>
      </c>
      <c r="Y285" s="16">
        <f t="shared" si="71"/>
        <v>0.24871023606496742</v>
      </c>
      <c r="Z285" s="16">
        <f t="shared" si="72"/>
        <v>0.26470129571709422</v>
      </c>
      <c r="AA285" s="16">
        <f t="shared" si="73"/>
        <v>0.48658846821793822</v>
      </c>
      <c r="AB285" s="16" t="e">
        <f t="shared" si="74"/>
        <v>#VALUE!</v>
      </c>
      <c r="AC285" s="18" t="e">
        <f t="shared" si="75"/>
        <v>#VALUE!</v>
      </c>
      <c r="AD285" s="16">
        <f t="shared" si="76"/>
        <v>0.1677736407618729</v>
      </c>
      <c r="AE285" s="16">
        <f t="shared" si="77"/>
        <v>0.19004154126312534</v>
      </c>
      <c r="AF285" s="16">
        <f t="shared" si="78"/>
        <v>0.64218481797500182</v>
      </c>
      <c r="AG285" s="16" t="e">
        <f t="shared" si="79"/>
        <v>#VALUE!</v>
      </c>
      <c r="AH285" s="16" t="e">
        <f t="shared" si="80"/>
        <v>#VALUE!</v>
      </c>
    </row>
    <row r="286" spans="1:34" x14ac:dyDescent="0.25">
      <c r="A286" s="12">
        <v>24063</v>
      </c>
      <c r="B286" s="13">
        <v>44.426806999999997</v>
      </c>
      <c r="C286" s="12">
        <v>89.490747999999996</v>
      </c>
      <c r="D286" s="14">
        <v>3</v>
      </c>
      <c r="E286" s="13" t="s">
        <v>42</v>
      </c>
      <c r="F286" s="13">
        <v>44.468649999999997</v>
      </c>
      <c r="G286" s="12">
        <v>89.498069999999998</v>
      </c>
      <c r="H286" s="13" t="s">
        <v>44</v>
      </c>
      <c r="I286" s="13">
        <v>44.396560000000001</v>
      </c>
      <c r="J286" s="12">
        <v>89.494640000000004</v>
      </c>
      <c r="K286" s="13" t="s">
        <v>50</v>
      </c>
      <c r="L286" s="13">
        <v>44.41048</v>
      </c>
      <c r="M286" s="12">
        <v>89.549909999999997</v>
      </c>
      <c r="T286" s="5">
        <f t="shared" si="66"/>
        <v>15383.506251856496</v>
      </c>
      <c r="U286" s="5">
        <f t="shared" si="67"/>
        <v>11081.005616615817</v>
      </c>
      <c r="V286" s="5">
        <f t="shared" si="68"/>
        <v>16526.275262503706</v>
      </c>
      <c r="W286" s="5" t="str">
        <f t="shared" si="69"/>
        <v>n/a</v>
      </c>
      <c r="X286" s="6" t="str">
        <f t="shared" si="70"/>
        <v>n/a</v>
      </c>
      <c r="Y286" s="16">
        <f t="shared" si="71"/>
        <v>0.30128390821527967</v>
      </c>
      <c r="Z286" s="16">
        <f t="shared" si="72"/>
        <v>0.41826554790872861</v>
      </c>
      <c r="AA286" s="16">
        <f t="shared" si="73"/>
        <v>0.28045054387599178</v>
      </c>
      <c r="AB286" s="16" t="e">
        <f t="shared" si="74"/>
        <v>#VALUE!</v>
      </c>
      <c r="AC286" s="18" t="e">
        <f t="shared" si="75"/>
        <v>#VALUE!</v>
      </c>
      <c r="AD286" s="16">
        <f t="shared" si="76"/>
        <v>0.26358812684625321</v>
      </c>
      <c r="AE286" s="16">
        <f t="shared" si="77"/>
        <v>0.50801689828773511</v>
      </c>
      <c r="AF286" s="16">
        <f t="shared" si="78"/>
        <v>0.22839497486601171</v>
      </c>
      <c r="AG286" s="16" t="e">
        <f t="shared" si="79"/>
        <v>#VALUE!</v>
      </c>
      <c r="AH286" s="16" t="e">
        <f t="shared" si="80"/>
        <v>#VALUE!</v>
      </c>
    </row>
    <row r="287" spans="1:34" x14ac:dyDescent="0.25">
      <c r="A287" s="12">
        <v>24066</v>
      </c>
      <c r="B287" s="13">
        <v>44.553604999999997</v>
      </c>
      <c r="C287" s="12">
        <v>89.446445999999995</v>
      </c>
      <c r="D287" s="14">
        <v>4</v>
      </c>
      <c r="E287" s="13" t="s">
        <v>42</v>
      </c>
      <c r="F287" s="13">
        <v>44.481119999999997</v>
      </c>
      <c r="G287" s="12">
        <v>89.479669999999999</v>
      </c>
      <c r="H287" s="13" t="s">
        <v>39</v>
      </c>
      <c r="I287" s="13">
        <v>44.566249999999997</v>
      </c>
      <c r="J287" s="12">
        <v>89.504400000000004</v>
      </c>
      <c r="K287" s="13" t="s">
        <v>40</v>
      </c>
      <c r="L287" s="13">
        <v>44.554780000000001</v>
      </c>
      <c r="M287" s="13">
        <v>89.461330000000004</v>
      </c>
      <c r="N287" s="13" t="s">
        <v>41</v>
      </c>
      <c r="O287" s="13">
        <v>44.570529999999998</v>
      </c>
      <c r="P287" s="12">
        <v>89.378259999999997</v>
      </c>
      <c r="T287" s="5">
        <f t="shared" si="66"/>
        <v>27819.908213941799</v>
      </c>
      <c r="U287" s="5">
        <f t="shared" si="67"/>
        <v>15754.779524418176</v>
      </c>
      <c r="V287" s="5">
        <f t="shared" si="68"/>
        <v>3892.9297189907038</v>
      </c>
      <c r="W287" s="5">
        <f t="shared" si="69"/>
        <v>18768.032519352149</v>
      </c>
      <c r="X287" s="6" t="str">
        <f t="shared" si="70"/>
        <v>n/a</v>
      </c>
      <c r="Y287" s="16">
        <f t="shared" si="71"/>
        <v>8.7762597621305796E-2</v>
      </c>
      <c r="Z287" s="16">
        <f t="shared" si="72"/>
        <v>0.15497185515403145</v>
      </c>
      <c r="AA287" s="16">
        <f t="shared" si="73"/>
        <v>0.62717479807851229</v>
      </c>
      <c r="AB287" s="16">
        <f t="shared" si="74"/>
        <v>0.13009074914615043</v>
      </c>
      <c r="AC287" s="18" t="e">
        <f t="shared" si="75"/>
        <v>#VALUE!</v>
      </c>
      <c r="AD287" s="16">
        <f t="shared" si="76"/>
        <v>1.7426337525513737E-2</v>
      </c>
      <c r="AE287" s="16">
        <f t="shared" si="77"/>
        <v>5.4336648461281181E-2</v>
      </c>
      <c r="AF287" s="16">
        <f t="shared" si="78"/>
        <v>0.88994748603417462</v>
      </c>
      <c r="AG287" s="16">
        <f t="shared" si="79"/>
        <v>3.8289527979030451E-2</v>
      </c>
      <c r="AH287" s="16" t="e">
        <f t="shared" si="80"/>
        <v>#VALUE!</v>
      </c>
    </row>
    <row r="288" spans="1:34" x14ac:dyDescent="0.25">
      <c r="A288" s="12">
        <v>24072</v>
      </c>
      <c r="B288" s="13">
        <v>44.400869999999998</v>
      </c>
      <c r="C288" s="12">
        <v>89.606920000000002</v>
      </c>
      <c r="D288" s="14">
        <v>0</v>
      </c>
      <c r="T288" s="5">
        <f t="shared" si="66"/>
        <v>32730693.738112513</v>
      </c>
      <c r="U288" s="5">
        <f t="shared" si="67"/>
        <v>32730693.738112513</v>
      </c>
      <c r="V288" s="5" t="str">
        <f t="shared" si="68"/>
        <v>n/a</v>
      </c>
      <c r="W288" s="5" t="str">
        <f t="shared" si="69"/>
        <v>n/a</v>
      </c>
      <c r="X288" s="6" t="str">
        <f t="shared" si="70"/>
        <v>n/a</v>
      </c>
      <c r="Y288" s="16" t="str">
        <f t="shared" si="71"/>
        <v>error</v>
      </c>
      <c r="Z288" s="16" t="str">
        <f t="shared" si="72"/>
        <v>error</v>
      </c>
      <c r="AA288" s="16" t="str">
        <f t="shared" si="73"/>
        <v>error</v>
      </c>
      <c r="AB288" s="16" t="str">
        <f t="shared" si="74"/>
        <v>error</v>
      </c>
      <c r="AC288" s="18" t="str">
        <f t="shared" si="75"/>
        <v>error</v>
      </c>
      <c r="AD288" s="16" t="str">
        <f t="shared" si="76"/>
        <v>error</v>
      </c>
      <c r="AE288" s="16" t="str">
        <f t="shared" si="77"/>
        <v>error</v>
      </c>
      <c r="AF288" s="16" t="str">
        <f t="shared" si="78"/>
        <v>error</v>
      </c>
      <c r="AG288" s="16" t="str">
        <f t="shared" si="79"/>
        <v>error</v>
      </c>
      <c r="AH288" s="16" t="str">
        <f t="shared" si="80"/>
        <v>error</v>
      </c>
    </row>
    <row r="289" spans="1:34" x14ac:dyDescent="0.25">
      <c r="A289" s="12">
        <v>24080</v>
      </c>
      <c r="B289" s="13">
        <v>44.544285000000002</v>
      </c>
      <c r="C289" s="12">
        <v>89.456558000000001</v>
      </c>
      <c r="D289" s="14">
        <v>4</v>
      </c>
      <c r="E289" s="13" t="s">
        <v>42</v>
      </c>
      <c r="F289" s="13">
        <v>44.481119999999997</v>
      </c>
      <c r="G289" s="12">
        <v>89.479669999999999</v>
      </c>
      <c r="H289" s="13" t="s">
        <v>39</v>
      </c>
      <c r="I289" s="13">
        <v>44.558810000000001</v>
      </c>
      <c r="J289" s="12">
        <v>89.506240000000005</v>
      </c>
      <c r="K289" s="13" t="s">
        <v>40</v>
      </c>
      <c r="L289" s="13">
        <v>44.554780000000001</v>
      </c>
      <c r="M289" s="13">
        <v>89.461330000000004</v>
      </c>
      <c r="N289" s="13" t="s">
        <v>41</v>
      </c>
      <c r="O289" s="13">
        <v>44.54806</v>
      </c>
      <c r="P289" s="12">
        <v>89.354929999999996</v>
      </c>
      <c r="T289" s="5">
        <f t="shared" si="66"/>
        <v>23814.875291475273</v>
      </c>
      <c r="U289" s="5">
        <f t="shared" si="67"/>
        <v>13960.677418793912</v>
      </c>
      <c r="V289" s="5">
        <f t="shared" si="68"/>
        <v>4024.6973148230059</v>
      </c>
      <c r="W289" s="5">
        <f t="shared" si="69"/>
        <v>26458.809192181881</v>
      </c>
      <c r="X289" s="6" t="str">
        <f t="shared" si="70"/>
        <v>n/a</v>
      </c>
      <c r="Y289" s="16">
        <f t="shared" si="71"/>
        <v>0.10500769498426941</v>
      </c>
      <c r="Z289" s="16">
        <f t="shared" si="72"/>
        <v>0.17912778052798056</v>
      </c>
      <c r="AA289" s="16">
        <f t="shared" si="73"/>
        <v>0.62134987182399459</v>
      </c>
      <c r="AB289" s="16">
        <f t="shared" si="74"/>
        <v>9.4514652663755416E-2</v>
      </c>
      <c r="AC289" s="18" t="e">
        <f t="shared" si="75"/>
        <v>#VALUE!</v>
      </c>
      <c r="AD289" s="16">
        <f t="shared" si="76"/>
        <v>2.5167908669450956E-2</v>
      </c>
      <c r="AE289" s="16">
        <f t="shared" si="77"/>
        <v>7.3237037452180506E-2</v>
      </c>
      <c r="AF289" s="16">
        <f t="shared" si="78"/>
        <v>0.88120571407428572</v>
      </c>
      <c r="AG289" s="16">
        <f t="shared" si="79"/>
        <v>2.0389339804082939E-2</v>
      </c>
      <c r="AH289" s="16" t="e">
        <f t="shared" si="80"/>
        <v>#VALUE!</v>
      </c>
    </row>
    <row r="290" spans="1:34" x14ac:dyDescent="0.25">
      <c r="A290" s="12">
        <v>24081</v>
      </c>
      <c r="B290" s="13">
        <v>44.384868300000001</v>
      </c>
      <c r="C290" s="12">
        <v>89.473910099999998</v>
      </c>
      <c r="D290" s="14">
        <v>0</v>
      </c>
      <c r="T290" s="5">
        <f t="shared" si="66"/>
        <v>32695988.441833559</v>
      </c>
      <c r="U290" s="5">
        <f t="shared" si="67"/>
        <v>32695988.441833559</v>
      </c>
      <c r="V290" s="5" t="str">
        <f t="shared" si="68"/>
        <v>n/a</v>
      </c>
      <c r="W290" s="5" t="str">
        <f t="shared" si="69"/>
        <v>n/a</v>
      </c>
      <c r="X290" s="6" t="str">
        <f t="shared" si="70"/>
        <v>n/a</v>
      </c>
      <c r="Y290" s="16" t="str">
        <f t="shared" si="71"/>
        <v>error</v>
      </c>
      <c r="Z290" s="16" t="str">
        <f t="shared" si="72"/>
        <v>error</v>
      </c>
      <c r="AA290" s="16" t="str">
        <f t="shared" si="73"/>
        <v>error</v>
      </c>
      <c r="AB290" s="16" t="str">
        <f t="shared" si="74"/>
        <v>error</v>
      </c>
      <c r="AC290" s="18" t="str">
        <f t="shared" si="75"/>
        <v>error</v>
      </c>
      <c r="AD290" s="16" t="str">
        <f t="shared" si="76"/>
        <v>error</v>
      </c>
      <c r="AE290" s="16" t="str">
        <f t="shared" si="77"/>
        <v>error</v>
      </c>
      <c r="AF290" s="16" t="str">
        <f t="shared" si="78"/>
        <v>error</v>
      </c>
      <c r="AG290" s="16" t="str">
        <f t="shared" si="79"/>
        <v>error</v>
      </c>
      <c r="AH290" s="16" t="str">
        <f t="shared" si="80"/>
        <v>error</v>
      </c>
    </row>
    <row r="291" spans="1:34" x14ac:dyDescent="0.25">
      <c r="A291" s="12">
        <v>24091</v>
      </c>
      <c r="B291" s="13">
        <v>44.413466700000001</v>
      </c>
      <c r="C291" s="12">
        <v>89.492519900000005</v>
      </c>
      <c r="D291" s="14">
        <v>4</v>
      </c>
      <c r="E291" s="13" t="s">
        <v>42</v>
      </c>
      <c r="F291" s="13">
        <v>44.470410000000001</v>
      </c>
      <c r="G291" s="12">
        <v>89.511759999999995</v>
      </c>
      <c r="H291" s="13" t="s">
        <v>44</v>
      </c>
      <c r="I291" s="13">
        <v>44.388379999999998</v>
      </c>
      <c r="J291" s="12">
        <v>89.530510000000007</v>
      </c>
      <c r="K291" s="13" t="s">
        <v>48</v>
      </c>
      <c r="L291" s="13">
        <v>44.462609999999998</v>
      </c>
      <c r="M291" s="12">
        <v>89.562640000000002</v>
      </c>
      <c r="N291" s="13" t="s">
        <v>49</v>
      </c>
      <c r="O291" s="13">
        <v>44.429699999999997</v>
      </c>
      <c r="P291" s="12">
        <v>89.563119999999998</v>
      </c>
      <c r="T291" s="5">
        <f t="shared" si="66"/>
        <v>21369.544658618659</v>
      </c>
      <c r="U291" s="5">
        <f t="shared" si="67"/>
        <v>13483.5483997912</v>
      </c>
      <c r="V291" s="5">
        <f t="shared" si="68"/>
        <v>25593.373396736344</v>
      </c>
      <c r="W291" s="5">
        <f t="shared" si="69"/>
        <v>19324.824192271339</v>
      </c>
      <c r="X291" s="6" t="str">
        <f t="shared" si="70"/>
        <v>n/a</v>
      </c>
      <c r="Y291" s="16">
        <f t="shared" si="71"/>
        <v>0.22096358680336212</v>
      </c>
      <c r="Z291" s="16">
        <f t="shared" si="72"/>
        <v>0.35019648360487426</v>
      </c>
      <c r="AA291" s="16">
        <f t="shared" si="73"/>
        <v>0.18449663367647898</v>
      </c>
      <c r="AB291" s="16">
        <f t="shared" si="74"/>
        <v>0.24434329591528467</v>
      </c>
      <c r="AC291" s="18" t="e">
        <f t="shared" si="75"/>
        <v>#VALUE!</v>
      </c>
      <c r="AD291" s="16">
        <f t="shared" si="76"/>
        <v>0.18410241625082463</v>
      </c>
      <c r="AE291" s="16">
        <f t="shared" si="77"/>
        <v>0.46242534398677809</v>
      </c>
      <c r="AF291" s="16">
        <f t="shared" si="78"/>
        <v>0.12834972996774693</v>
      </c>
      <c r="AG291" s="16">
        <f t="shared" si="79"/>
        <v>0.22512250979465032</v>
      </c>
      <c r="AH291" s="16" t="e">
        <f t="shared" si="80"/>
        <v>#VALUE!</v>
      </c>
    </row>
    <row r="292" spans="1:34" x14ac:dyDescent="0.25">
      <c r="A292" s="12">
        <v>24093</v>
      </c>
      <c r="B292" s="13">
        <v>44.515315999999999</v>
      </c>
      <c r="C292" s="12">
        <v>89.472053000000002</v>
      </c>
      <c r="D292" s="14">
        <v>4</v>
      </c>
      <c r="E292" s="13" t="s">
        <v>42</v>
      </c>
      <c r="F292" s="13">
        <v>44.482619999999997</v>
      </c>
      <c r="G292" s="12">
        <v>89.479799999999997</v>
      </c>
      <c r="H292" s="13" t="s">
        <v>39</v>
      </c>
      <c r="I292" s="13">
        <v>44.528399999999998</v>
      </c>
      <c r="J292" s="12">
        <v>89.529449999999997</v>
      </c>
      <c r="K292" s="13" t="s">
        <v>40</v>
      </c>
      <c r="L292" s="13">
        <v>44.551049999999996</v>
      </c>
      <c r="M292" s="12">
        <v>89.481840000000005</v>
      </c>
      <c r="N292" s="13" t="s">
        <v>41</v>
      </c>
      <c r="O292" s="13">
        <v>44.5244</v>
      </c>
      <c r="P292" s="12">
        <v>89.339029999999994</v>
      </c>
      <c r="T292" s="5">
        <f t="shared" ref="T292:T355" si="81">ACOS( SIN($B292*PI()/180)*SIN(F292*PI()/180) + COS($B292*PI()/180) *COS(F292*PI()/180) *COS(G292*PI()/180 - $C292*PI()/180))*20902230.97</f>
        <v>12097.056668657848</v>
      </c>
      <c r="U292" s="5">
        <f t="shared" ref="U292:U355" si="82">ACOS( SIN($B292*PI()/180)*SIN(I292*PI()/180) + COS($B292*PI()/180) *COS(I292*PI()/180) *COS(J292*PI()/180 - $C292*PI()/180))*20902230.97</f>
        <v>15673.749628973343</v>
      </c>
      <c r="V292" s="5">
        <f t="shared" ref="V292:V355" si="83">IF(D292&lt;3,"n/a",ACOS( SIN($B292*PI()/180)*SIN(L292*PI()/180) + COS($B292*PI()/180) *COS(L292*PI()/180) *COS(M292*PI()/180 - $C292*PI()/180))*20902230.97)</f>
        <v>13282.349877702265</v>
      </c>
      <c r="W292" s="5">
        <f t="shared" ref="W292:W355" si="84">IF(D292&lt;4,"n/a",ACOS( SIN($B292*PI()/180)*SIN(O292*PI()/180) + COS($B292*PI()/180) *COS(O292*PI()/180) *COS(P292*PI()/180 - $C292*PI()/180))*20902230.97)</f>
        <v>34759.50646593159</v>
      </c>
      <c r="X292" s="6" t="str">
        <f t="shared" ref="X292:X355" si="85">IF(D292&lt;5,"n/a", ACOS( SIN($B292*PI()/180)*SIN(R292*PI()/180) + COS($B292*PI()/180) *COS(R292*PI()/180) *COS(S292*PI()/180 - $C292*PI()/180))*20902230.97)</f>
        <v>n/a</v>
      </c>
      <c r="Y292" s="16">
        <f t="shared" ref="Y292:Y355" si="86">IF($D292=2,(1/T292)/((1/$T292)+(1/$U292)),IF($D292=3,(1/T292)/((1/$T292)+(1/$U292)+(1/$V292)),IF($D292=4,(1/T292)/((1/$T292)+(1/$U292)+(1/$V292)+(1/$W292)),IF($D292=5,(1/T292)/((1/$T292)+(1/$U292)+(1/$V292)+(1/$W292)+(1/$X292)),"error"))))</f>
        <v>0.32996908588812829</v>
      </c>
      <c r="Z292" s="16">
        <f t="shared" ref="Z292:Z355" si="87">IF($D292=2,(1/U292)/((1/$T292)+(1/$U292)),IF($D292=3,(1/U292)/((1/$T292)+(1/$U292)+(1/$V292)),IF($D292=4,(1/U292)/((1/$T292)+(1/$U292)+(1/$V292)+(1/$W292)),IF($D292=5,(1/U292)/((1/$T292)+(1/$U292)+(1/$V292)+(1/$W292)+(1/$X292)),"error"))))</f>
        <v>0.25467133426166488</v>
      </c>
      <c r="AA292" s="16">
        <f t="shared" ref="AA292:AA355" si="88">IF($D292=2,(1/V292)/((1/$T292)+(1/$U292)),IF($D292=3,(1/V292)/((1/$T292)+(1/$U292)+(1/$V292)),IF($D292=4,(1/V292)/((1/$T292)+(1/$U292)+(1/$V292)+(1/$W292)),IF($D292=5,(1/V292)/((1/$T292)+(1/$U292)+(1/$V292)+(1/$W292)+(1/$X292)),"error"))))</f>
        <v>0.30052323328682251</v>
      </c>
      <c r="AB292" s="16">
        <f t="shared" ref="AB292:AB355" si="89">IF($D292=2,(1/W292)/((1/$T292)+(1/$U292)),IF($D292=3,(1/W292)/((1/$T292)+(1/$U292)+(1/$V292)),IF($D292=4,(1/W292)/((1/$T292)+(1/$U292)+(1/$V292)+(1/$W292)),IF($D292=5,(1/W292)/((1/$T292)+(1/$U292)+(1/$V292)+(1/$W292)+(1/$X292)),"error"))))</f>
        <v>0.11483634656338428</v>
      </c>
      <c r="AC292" s="18" t="e">
        <f t="shared" ref="AC292:AC355" si="90">IF($D292=2,(1/X292)/((1/$T292)+(1/$U292)),IF($D292=3,(1/X292)/((1/$T292)+(1/$U292)+(1/$V292)),IF($D292=4,(1/X292)/((1/$T292)+(1/$U292)+(1/$V292)+(1/$W292)),IF($D292=5,(1/X292)/((1/$T292)+(1/$U292)+(1/$V292)+(1/$W292)+(1/$X292)),"error"))))</f>
        <v>#VALUE!</v>
      </c>
      <c r="AD292" s="16">
        <f t="shared" ref="AD292:AD355" si="91">IF($D292=2,(1/T292^2)/((1/$T292^2)+(1/$U292^2)),IF($D292=3,(1/T292^2)/((1/$T292^2)+(1/$U292^2)+(1/$V292^2)),IF($D292=4,(1/T292^2)/((1/$T292^2)+(1/$U292^2)+(1/$V292^2)+(1/$W292^2)),IF($D292=5,(1/T292^2)/((1/$T292^2)+(1/$U292^2)+(1/$V292^2)+(1/$W292^2)+(1/$X292^2)),"error"))))</f>
        <v>0.39272873157067917</v>
      </c>
      <c r="AE292" s="16">
        <f t="shared" ref="AE292:AE355" si="92">IF($D292=2,(1/U292^2)/((1/$T292^2)+(1/$U292^2)),IF($D292=3,(1/U292^2)/((1/$T292^2)+(1/$U292^2)+(1/$V292^2)),IF($D292=4,(1/U292^2)/((1/$T292^2)+(1/$U292^2)+(1/$V292^2)+(1/$W292^2)),IF($D292=5,(1/U292^2)/((1/$T292^2)+(1/$U292^2)+(1/$V292^2)+(1/$W292^2)+(1/$X292^2)),"error"))))</f>
        <v>0.23394097462719679</v>
      </c>
      <c r="AF292" s="16">
        <f t="shared" ref="AF292:AF355" si="93">IF($D292=2,(1/V292^2)/((1/$T292^2)+(1/$U292^2)),IF($D292=3,(1/V292^2)/((1/$T292^2)+(1/$U292^2)+(1/$V292^2)),IF($D292=4,(1/V292^2)/((1/$T292^2)+(1/$U292^2)+(1/$V292^2)+(1/$W292^2)),IF($D292=5,(1/V292^2)/((1/$T292^2)+(1/$U292^2)+(1/$V292^2)+(1/$W292^2)+(1/$X292^2)),"error"))))</f>
        <v>0.32576338795460436</v>
      </c>
      <c r="AG292" s="16">
        <f t="shared" ref="AG292:AG355" si="94">IF($D292=2,(1/W292^2)/((1/$T292^2)+(1/$U292^2)),IF($D292=3,(1/W292^2)/((1/$T292^2)+(1/$U292^2)+(1/$V292^2)),IF($D292=4,(1/W292^2)/((1/$T292^2)+(1/$U292^2)+(1/$V292^2)+(1/$W292^2)),IF($D292=5,(1/W292^2)/((1/$T292^2)+(1/$U292^2)+(1/$V292^2)+(1/$W292^2)+(1/$X292^2)),"error"))))</f>
        <v>4.7566905847519679E-2</v>
      </c>
      <c r="AH292" s="16" t="e">
        <f t="shared" ref="AH292:AH355" si="95">IF($D292=2,(1/X292^2)/((1/$T292^2)+(1/$U292^2)),IF($D292=3,(1/X292^2)/((1/$T292^2)+(1/$U292^2)+(1/$V292^2)),IF($D292=4,(1/X292^2)/((1/$T292^2)+(1/$U292^2)+(1/$V292^2)+(1/$W292^2)),IF($D292=5,(1/X292^2)/((1/$T292^2)+(1/$U292^2)+(1/$V292^2)+(1/$W292^2)+(1/$X292^2)),"error"))))</f>
        <v>#VALUE!</v>
      </c>
    </row>
    <row r="293" spans="1:34" x14ac:dyDescent="0.25">
      <c r="A293" s="12">
        <v>24100</v>
      </c>
      <c r="B293" s="13">
        <v>44.391112999999997</v>
      </c>
      <c r="C293" s="12">
        <v>89.456593999999996</v>
      </c>
      <c r="D293" s="14">
        <v>0</v>
      </c>
      <c r="T293" s="5">
        <f t="shared" si="81"/>
        <v>32691489.065333068</v>
      </c>
      <c r="U293" s="5">
        <f t="shared" si="82"/>
        <v>32691489.065333068</v>
      </c>
      <c r="V293" s="5" t="str">
        <f t="shared" si="83"/>
        <v>n/a</v>
      </c>
      <c r="W293" s="5" t="str">
        <f t="shared" si="84"/>
        <v>n/a</v>
      </c>
      <c r="X293" s="6" t="str">
        <f t="shared" si="85"/>
        <v>n/a</v>
      </c>
      <c r="Y293" s="16" t="str">
        <f t="shared" si="86"/>
        <v>error</v>
      </c>
      <c r="Z293" s="16" t="str">
        <f t="shared" si="87"/>
        <v>error</v>
      </c>
      <c r="AA293" s="16" t="str">
        <f t="shared" si="88"/>
        <v>error</v>
      </c>
      <c r="AB293" s="16" t="str">
        <f t="shared" si="89"/>
        <v>error</v>
      </c>
      <c r="AC293" s="18" t="str">
        <f t="shared" si="90"/>
        <v>error</v>
      </c>
      <c r="AD293" s="16" t="str">
        <f t="shared" si="91"/>
        <v>error</v>
      </c>
      <c r="AE293" s="16" t="str">
        <f t="shared" si="92"/>
        <v>error</v>
      </c>
      <c r="AF293" s="16" t="str">
        <f t="shared" si="93"/>
        <v>error</v>
      </c>
      <c r="AG293" s="16" t="str">
        <f t="shared" si="94"/>
        <v>error</v>
      </c>
      <c r="AH293" s="16" t="str">
        <f t="shared" si="95"/>
        <v>error</v>
      </c>
    </row>
    <row r="294" spans="1:34" x14ac:dyDescent="0.25">
      <c r="A294" s="12">
        <v>24103</v>
      </c>
      <c r="B294" s="13">
        <v>44.427370000000003</v>
      </c>
      <c r="C294" s="12">
        <v>89.688329999999993</v>
      </c>
      <c r="D294" s="13">
        <v>0</v>
      </c>
      <c r="T294" s="5">
        <f t="shared" si="81"/>
        <v>32751949.442899913</v>
      </c>
      <c r="U294" s="5">
        <f t="shared" si="82"/>
        <v>32751949.442899913</v>
      </c>
      <c r="V294" s="5" t="str">
        <f t="shared" si="83"/>
        <v>n/a</v>
      </c>
      <c r="W294" s="5" t="str">
        <f t="shared" si="84"/>
        <v>n/a</v>
      </c>
      <c r="X294" s="6" t="str">
        <f t="shared" si="85"/>
        <v>n/a</v>
      </c>
      <c r="Y294" s="16" t="str">
        <f t="shared" si="86"/>
        <v>error</v>
      </c>
      <c r="Z294" s="16" t="str">
        <f t="shared" si="87"/>
        <v>error</v>
      </c>
      <c r="AA294" s="16" t="str">
        <f t="shared" si="88"/>
        <v>error</v>
      </c>
      <c r="AB294" s="16" t="str">
        <f t="shared" si="89"/>
        <v>error</v>
      </c>
      <c r="AC294" s="18" t="str">
        <f t="shared" si="90"/>
        <v>error</v>
      </c>
      <c r="AD294" s="16" t="str">
        <f t="shared" si="91"/>
        <v>error</v>
      </c>
      <c r="AE294" s="16" t="str">
        <f t="shared" si="92"/>
        <v>error</v>
      </c>
      <c r="AF294" s="16" t="str">
        <f t="shared" si="93"/>
        <v>error</v>
      </c>
      <c r="AG294" s="16" t="str">
        <f t="shared" si="94"/>
        <v>error</v>
      </c>
      <c r="AH294" s="16" t="str">
        <f t="shared" si="95"/>
        <v>error</v>
      </c>
    </row>
    <row r="295" spans="1:34" x14ac:dyDescent="0.25">
      <c r="A295" s="12">
        <v>24105</v>
      </c>
      <c r="B295" s="13">
        <v>44.406692499999998</v>
      </c>
      <c r="C295" s="12">
        <v>89.5747772</v>
      </c>
      <c r="D295" s="14">
        <v>0</v>
      </c>
      <c r="T295" s="5">
        <f t="shared" si="81"/>
        <v>32722327.017334968</v>
      </c>
      <c r="U295" s="5">
        <f t="shared" si="82"/>
        <v>32722327.017334968</v>
      </c>
      <c r="V295" s="5" t="str">
        <f t="shared" si="83"/>
        <v>n/a</v>
      </c>
      <c r="W295" s="5" t="str">
        <f t="shared" si="84"/>
        <v>n/a</v>
      </c>
      <c r="X295" s="6" t="str">
        <f t="shared" si="85"/>
        <v>n/a</v>
      </c>
      <c r="Y295" s="16" t="str">
        <f t="shared" si="86"/>
        <v>error</v>
      </c>
      <c r="Z295" s="16" t="str">
        <f t="shared" si="87"/>
        <v>error</v>
      </c>
      <c r="AA295" s="16" t="str">
        <f t="shared" si="88"/>
        <v>error</v>
      </c>
      <c r="AB295" s="16" t="str">
        <f t="shared" si="89"/>
        <v>error</v>
      </c>
      <c r="AC295" s="18" t="str">
        <f t="shared" si="90"/>
        <v>error</v>
      </c>
      <c r="AD295" s="16" t="str">
        <f t="shared" si="91"/>
        <v>error</v>
      </c>
      <c r="AE295" s="16" t="str">
        <f t="shared" si="92"/>
        <v>error</v>
      </c>
      <c r="AF295" s="16" t="str">
        <f t="shared" si="93"/>
        <v>error</v>
      </c>
      <c r="AG295" s="16" t="str">
        <f t="shared" si="94"/>
        <v>error</v>
      </c>
      <c r="AH295" s="16" t="str">
        <f t="shared" si="95"/>
        <v>error</v>
      </c>
    </row>
    <row r="296" spans="1:34" x14ac:dyDescent="0.25">
      <c r="A296" s="12">
        <v>24106</v>
      </c>
      <c r="B296" s="13">
        <v>44.406820000000003</v>
      </c>
      <c r="C296" s="12">
        <v>89.58475</v>
      </c>
      <c r="D296" s="13">
        <v>0</v>
      </c>
      <c r="T296" s="5">
        <f t="shared" si="81"/>
        <v>32724926.319437664</v>
      </c>
      <c r="U296" s="5">
        <f t="shared" si="82"/>
        <v>32724926.319437664</v>
      </c>
      <c r="V296" s="5" t="str">
        <f t="shared" si="83"/>
        <v>n/a</v>
      </c>
      <c r="W296" s="5" t="str">
        <f t="shared" si="84"/>
        <v>n/a</v>
      </c>
      <c r="X296" s="6" t="str">
        <f t="shared" si="85"/>
        <v>n/a</v>
      </c>
      <c r="Y296" s="16" t="str">
        <f t="shared" si="86"/>
        <v>error</v>
      </c>
      <c r="Z296" s="16" t="str">
        <f t="shared" si="87"/>
        <v>error</v>
      </c>
      <c r="AA296" s="16" t="str">
        <f t="shared" si="88"/>
        <v>error</v>
      </c>
      <c r="AB296" s="16" t="str">
        <f t="shared" si="89"/>
        <v>error</v>
      </c>
      <c r="AC296" s="18" t="str">
        <f t="shared" si="90"/>
        <v>error</v>
      </c>
      <c r="AD296" s="16" t="str">
        <f t="shared" si="91"/>
        <v>error</v>
      </c>
      <c r="AE296" s="16" t="str">
        <f t="shared" si="92"/>
        <v>error</v>
      </c>
      <c r="AF296" s="16" t="str">
        <f t="shared" si="93"/>
        <v>error</v>
      </c>
      <c r="AG296" s="16" t="str">
        <f t="shared" si="94"/>
        <v>error</v>
      </c>
      <c r="AH296" s="16" t="str">
        <f t="shared" si="95"/>
        <v>error</v>
      </c>
    </row>
    <row r="297" spans="1:34" x14ac:dyDescent="0.25">
      <c r="A297" s="12">
        <v>24110</v>
      </c>
      <c r="B297" s="13">
        <v>44.522171700000001</v>
      </c>
      <c r="C297" s="12">
        <v>89.462071699999996</v>
      </c>
      <c r="D297" s="14">
        <v>4</v>
      </c>
      <c r="E297" s="13" t="s">
        <v>42</v>
      </c>
      <c r="F297" s="13">
        <v>44.482619999999997</v>
      </c>
      <c r="G297" s="12">
        <v>89.479799999999997</v>
      </c>
      <c r="H297" s="13" t="s">
        <v>39</v>
      </c>
      <c r="I297" s="13">
        <v>44.528399999999998</v>
      </c>
      <c r="J297" s="12">
        <v>89.529449999999997</v>
      </c>
      <c r="K297" s="13" t="s">
        <v>40</v>
      </c>
      <c r="L297" s="13">
        <v>44.551049999999996</v>
      </c>
      <c r="M297" s="12">
        <v>89.481840000000005</v>
      </c>
      <c r="N297" s="13" t="s">
        <v>41</v>
      </c>
      <c r="O297" s="13">
        <v>44.5244</v>
      </c>
      <c r="P297" s="12">
        <v>89.339029999999994</v>
      </c>
      <c r="T297" s="5">
        <f t="shared" si="81"/>
        <v>15148.353442005951</v>
      </c>
      <c r="U297" s="5">
        <f t="shared" si="82"/>
        <v>17671.107647137236</v>
      </c>
      <c r="V297" s="5">
        <f t="shared" si="83"/>
        <v>11722.413204895574</v>
      </c>
      <c r="W297" s="5">
        <f t="shared" si="84"/>
        <v>32013.332637534524</v>
      </c>
      <c r="X297" s="6" t="str">
        <f t="shared" si="85"/>
        <v>n/a</v>
      </c>
      <c r="Y297" s="16">
        <f t="shared" si="86"/>
        <v>0.27603851161050436</v>
      </c>
      <c r="Z297" s="16">
        <f t="shared" si="87"/>
        <v>0.23663083384354805</v>
      </c>
      <c r="AA297" s="16">
        <f t="shared" si="88"/>
        <v>0.35671229672529126</v>
      </c>
      <c r="AB297" s="16">
        <f t="shared" si="89"/>
        <v>0.13061835782065639</v>
      </c>
      <c r="AC297" s="18" t="e">
        <f t="shared" si="90"/>
        <v>#VALUE!</v>
      </c>
      <c r="AD297" s="16">
        <f t="shared" si="91"/>
        <v>0.27558155148459706</v>
      </c>
      <c r="AE297" s="16">
        <f t="shared" si="92"/>
        <v>0.20251325537560674</v>
      </c>
      <c r="AF297" s="16">
        <f t="shared" si="93"/>
        <v>0.46020035386024227</v>
      </c>
      <c r="AG297" s="16">
        <f t="shared" si="94"/>
        <v>6.1704839279553975E-2</v>
      </c>
      <c r="AH297" s="16" t="e">
        <f t="shared" si="95"/>
        <v>#VALUE!</v>
      </c>
    </row>
    <row r="298" spans="1:34" x14ac:dyDescent="0.25">
      <c r="A298" s="12">
        <v>24113</v>
      </c>
      <c r="B298" s="13">
        <v>44.424729999999997</v>
      </c>
      <c r="C298" s="12">
        <v>89.631820000000005</v>
      </c>
      <c r="D298" s="14">
        <v>0</v>
      </c>
      <c r="T298" s="5">
        <f t="shared" si="81"/>
        <v>32737222.869429901</v>
      </c>
      <c r="U298" s="5">
        <f t="shared" si="82"/>
        <v>32737222.869429901</v>
      </c>
      <c r="V298" s="5" t="str">
        <f t="shared" si="83"/>
        <v>n/a</v>
      </c>
      <c r="W298" s="5" t="str">
        <f t="shared" si="84"/>
        <v>n/a</v>
      </c>
      <c r="X298" s="6" t="str">
        <f t="shared" si="85"/>
        <v>n/a</v>
      </c>
      <c r="Y298" s="16" t="str">
        <f t="shared" si="86"/>
        <v>error</v>
      </c>
      <c r="Z298" s="16" t="str">
        <f t="shared" si="87"/>
        <v>error</v>
      </c>
      <c r="AA298" s="16" t="str">
        <f t="shared" si="88"/>
        <v>error</v>
      </c>
      <c r="AB298" s="16" t="str">
        <f t="shared" si="89"/>
        <v>error</v>
      </c>
      <c r="AC298" s="18" t="str">
        <f t="shared" si="90"/>
        <v>error</v>
      </c>
      <c r="AD298" s="16" t="str">
        <f t="shared" si="91"/>
        <v>error</v>
      </c>
      <c r="AE298" s="16" t="str">
        <f t="shared" si="92"/>
        <v>error</v>
      </c>
      <c r="AF298" s="16" t="str">
        <f t="shared" si="93"/>
        <v>error</v>
      </c>
      <c r="AG298" s="16" t="str">
        <f t="shared" si="94"/>
        <v>error</v>
      </c>
      <c r="AH298" s="16" t="str">
        <f t="shared" si="95"/>
        <v>error</v>
      </c>
    </row>
    <row r="299" spans="1:34" x14ac:dyDescent="0.25">
      <c r="A299" s="12">
        <v>24116</v>
      </c>
      <c r="B299" s="13">
        <v>44.427985999999997</v>
      </c>
      <c r="C299" s="12">
        <v>89.594813000000002</v>
      </c>
      <c r="D299" s="14">
        <v>0</v>
      </c>
      <c r="T299" s="5">
        <f t="shared" si="81"/>
        <v>32727587.107026808</v>
      </c>
      <c r="U299" s="5">
        <f t="shared" si="82"/>
        <v>32727587.107026808</v>
      </c>
      <c r="V299" s="5" t="str">
        <f t="shared" si="83"/>
        <v>n/a</v>
      </c>
      <c r="W299" s="5" t="str">
        <f t="shared" si="84"/>
        <v>n/a</v>
      </c>
      <c r="X299" s="6" t="str">
        <f t="shared" si="85"/>
        <v>n/a</v>
      </c>
      <c r="Y299" s="16" t="str">
        <f t="shared" si="86"/>
        <v>error</v>
      </c>
      <c r="Z299" s="16" t="str">
        <f t="shared" si="87"/>
        <v>error</v>
      </c>
      <c r="AA299" s="16" t="str">
        <f t="shared" si="88"/>
        <v>error</v>
      </c>
      <c r="AB299" s="16" t="str">
        <f t="shared" si="89"/>
        <v>error</v>
      </c>
      <c r="AC299" s="18" t="str">
        <f t="shared" si="90"/>
        <v>error</v>
      </c>
      <c r="AD299" s="16" t="str">
        <f t="shared" si="91"/>
        <v>error</v>
      </c>
      <c r="AE299" s="16" t="str">
        <f t="shared" si="92"/>
        <v>error</v>
      </c>
      <c r="AF299" s="16" t="str">
        <f t="shared" si="93"/>
        <v>error</v>
      </c>
      <c r="AG299" s="16" t="str">
        <f t="shared" si="94"/>
        <v>error</v>
      </c>
      <c r="AH299" s="16" t="str">
        <f t="shared" si="95"/>
        <v>error</v>
      </c>
    </row>
    <row r="300" spans="1:34" x14ac:dyDescent="0.25">
      <c r="A300" s="12">
        <v>24120</v>
      </c>
      <c r="B300" s="13">
        <v>44.399678299999998</v>
      </c>
      <c r="C300" s="12">
        <v>89.524000000000001</v>
      </c>
      <c r="D300" s="14">
        <v>4</v>
      </c>
      <c r="E300" s="13" t="s">
        <v>42</v>
      </c>
      <c r="F300" s="13">
        <v>44.470410000000001</v>
      </c>
      <c r="G300" s="12">
        <v>89.511759999999995</v>
      </c>
      <c r="H300" s="13" t="s">
        <v>44</v>
      </c>
      <c r="I300" s="13">
        <v>44.388379999999998</v>
      </c>
      <c r="J300" s="12">
        <v>89.530510000000007</v>
      </c>
      <c r="K300" s="13" t="s">
        <v>48</v>
      </c>
      <c r="L300" s="13">
        <v>44.462609999999998</v>
      </c>
      <c r="M300" s="12">
        <v>89.562640000000002</v>
      </c>
      <c r="N300" s="13" t="s">
        <v>49</v>
      </c>
      <c r="O300" s="13">
        <v>44.103700000000003</v>
      </c>
      <c r="P300" s="12">
        <v>89.569550000000007</v>
      </c>
      <c r="T300" s="5">
        <f t="shared" si="81"/>
        <v>26000.067622938172</v>
      </c>
      <c r="U300" s="5">
        <f t="shared" si="82"/>
        <v>4457.4358865809145</v>
      </c>
      <c r="V300" s="5">
        <f t="shared" si="83"/>
        <v>25068.094304804279</v>
      </c>
      <c r="W300" s="5">
        <f t="shared" si="84"/>
        <v>108630.70227955015</v>
      </c>
      <c r="X300" s="6" t="str">
        <f t="shared" si="85"/>
        <v>n/a</v>
      </c>
      <c r="Y300" s="16">
        <f t="shared" si="86"/>
        <v>0.12331237257231226</v>
      </c>
      <c r="Z300" s="16">
        <f t="shared" si="87"/>
        <v>0.71927675623492449</v>
      </c>
      <c r="AA300" s="16">
        <f t="shared" si="88"/>
        <v>0.12789683917100206</v>
      </c>
      <c r="AB300" s="16">
        <f t="shared" si="89"/>
        <v>2.9514032021761331E-2</v>
      </c>
      <c r="AC300" s="18" t="e">
        <f t="shared" si="90"/>
        <v>#VALUE!</v>
      </c>
      <c r="AD300" s="16">
        <f t="shared" si="91"/>
        <v>2.7657541329490054E-2</v>
      </c>
      <c r="AE300" s="16">
        <f t="shared" si="92"/>
        <v>0.94100583111903102</v>
      </c>
      <c r="AF300" s="16">
        <f t="shared" si="93"/>
        <v>2.9752254850946555E-2</v>
      </c>
      <c r="AG300" s="16">
        <f t="shared" si="94"/>
        <v>1.5843727005322539E-3</v>
      </c>
      <c r="AH300" s="16" t="e">
        <f t="shared" si="95"/>
        <v>#VALUE!</v>
      </c>
    </row>
    <row r="301" spans="1:34" x14ac:dyDescent="0.25">
      <c r="A301" s="12">
        <v>24121</v>
      </c>
      <c r="B301" s="13">
        <v>44.516401999999999</v>
      </c>
      <c r="C301" s="12">
        <v>89.488750999999993</v>
      </c>
      <c r="D301" s="14">
        <v>4</v>
      </c>
      <c r="E301" s="13" t="s">
        <v>42</v>
      </c>
      <c r="F301" s="13">
        <v>44.482619999999997</v>
      </c>
      <c r="G301" s="12">
        <v>89.479799999999997</v>
      </c>
      <c r="H301" s="13" t="s">
        <v>39</v>
      </c>
      <c r="I301" s="13">
        <v>44.528399999999998</v>
      </c>
      <c r="J301" s="12">
        <v>89.529449999999997</v>
      </c>
      <c r="K301" s="13" t="s">
        <v>40</v>
      </c>
      <c r="L301" s="13">
        <v>44.551049999999996</v>
      </c>
      <c r="M301" s="12">
        <v>89.481840000000005</v>
      </c>
      <c r="N301" s="13" t="s">
        <v>41</v>
      </c>
      <c r="O301" s="13">
        <v>44.5244</v>
      </c>
      <c r="P301" s="12">
        <v>89.339029999999994</v>
      </c>
      <c r="T301" s="5">
        <f t="shared" si="81"/>
        <v>12542.257885765535</v>
      </c>
      <c r="U301" s="5">
        <f t="shared" si="82"/>
        <v>11455.137354869892</v>
      </c>
      <c r="V301" s="5">
        <f t="shared" si="83"/>
        <v>12767.161741051352</v>
      </c>
      <c r="W301" s="5">
        <f t="shared" si="84"/>
        <v>39053.342243448824</v>
      </c>
      <c r="X301" s="6" t="str">
        <f t="shared" si="85"/>
        <v>n/a</v>
      </c>
      <c r="Y301" s="16">
        <f t="shared" si="86"/>
        <v>0.29425233408977219</v>
      </c>
      <c r="Z301" s="16">
        <f t="shared" si="87"/>
        <v>0.32217759973636545</v>
      </c>
      <c r="AA301" s="16">
        <f t="shared" si="88"/>
        <v>0.28906884180653036</v>
      </c>
      <c r="AB301" s="16">
        <f t="shared" si="89"/>
        <v>9.4501224367331951E-2</v>
      </c>
      <c r="AC301" s="18" t="e">
        <f t="shared" si="90"/>
        <v>#VALUE!</v>
      </c>
      <c r="AD301" s="16">
        <f t="shared" si="91"/>
        <v>0.30608822237243982</v>
      </c>
      <c r="AE301" s="16">
        <f t="shared" si="92"/>
        <v>0.36694203869128544</v>
      </c>
      <c r="AF301" s="16">
        <f t="shared" si="93"/>
        <v>0.29539922463422175</v>
      </c>
      <c r="AG301" s="16">
        <f t="shared" si="94"/>
        <v>3.1570514302052918E-2</v>
      </c>
      <c r="AH301" s="16" t="e">
        <f t="shared" si="95"/>
        <v>#VALUE!</v>
      </c>
    </row>
    <row r="302" spans="1:34" x14ac:dyDescent="0.25">
      <c r="A302" s="12">
        <v>24123</v>
      </c>
      <c r="B302" s="13">
        <v>44.407499999999999</v>
      </c>
      <c r="C302" s="12">
        <v>89.337900000000005</v>
      </c>
      <c r="D302" s="14">
        <v>0</v>
      </c>
      <c r="T302" s="5">
        <f t="shared" si="81"/>
        <v>32660596.099883962</v>
      </c>
      <c r="U302" s="5">
        <f t="shared" si="82"/>
        <v>32660596.099883962</v>
      </c>
      <c r="V302" s="5" t="str">
        <f t="shared" si="83"/>
        <v>n/a</v>
      </c>
      <c r="W302" s="5" t="str">
        <f t="shared" si="84"/>
        <v>n/a</v>
      </c>
      <c r="X302" s="6" t="str">
        <f t="shared" si="85"/>
        <v>n/a</v>
      </c>
      <c r="Y302" s="16" t="str">
        <f t="shared" si="86"/>
        <v>error</v>
      </c>
      <c r="Z302" s="16" t="str">
        <f t="shared" si="87"/>
        <v>error</v>
      </c>
      <c r="AA302" s="16" t="str">
        <f t="shared" si="88"/>
        <v>error</v>
      </c>
      <c r="AB302" s="16" t="str">
        <f t="shared" si="89"/>
        <v>error</v>
      </c>
      <c r="AC302" s="18" t="str">
        <f t="shared" si="90"/>
        <v>error</v>
      </c>
      <c r="AD302" s="16" t="str">
        <f t="shared" si="91"/>
        <v>error</v>
      </c>
      <c r="AE302" s="16" t="str">
        <f t="shared" si="92"/>
        <v>error</v>
      </c>
      <c r="AF302" s="16" t="str">
        <f t="shared" si="93"/>
        <v>error</v>
      </c>
      <c r="AG302" s="16" t="str">
        <f t="shared" si="94"/>
        <v>error</v>
      </c>
      <c r="AH302" s="16" t="str">
        <f t="shared" si="95"/>
        <v>error</v>
      </c>
    </row>
    <row r="303" spans="1:34" x14ac:dyDescent="0.25">
      <c r="A303" s="12">
        <v>24124</v>
      </c>
      <c r="B303" s="13">
        <v>44.420838099999997</v>
      </c>
      <c r="C303" s="12">
        <v>89.611869999999996</v>
      </c>
      <c r="D303" s="14">
        <v>0</v>
      </c>
      <c r="T303" s="5">
        <f t="shared" si="81"/>
        <v>32732018.448684163</v>
      </c>
      <c r="U303" s="5">
        <f t="shared" si="82"/>
        <v>32732018.448684163</v>
      </c>
      <c r="V303" s="5" t="str">
        <f t="shared" si="83"/>
        <v>n/a</v>
      </c>
      <c r="W303" s="5" t="str">
        <f t="shared" si="84"/>
        <v>n/a</v>
      </c>
      <c r="X303" s="6" t="str">
        <f t="shared" si="85"/>
        <v>n/a</v>
      </c>
      <c r="Y303" s="16" t="str">
        <f t="shared" si="86"/>
        <v>error</v>
      </c>
      <c r="Z303" s="16" t="str">
        <f t="shared" si="87"/>
        <v>error</v>
      </c>
      <c r="AA303" s="16" t="str">
        <f t="shared" si="88"/>
        <v>error</v>
      </c>
      <c r="AB303" s="16" t="str">
        <f t="shared" si="89"/>
        <v>error</v>
      </c>
      <c r="AC303" s="18" t="str">
        <f t="shared" si="90"/>
        <v>error</v>
      </c>
      <c r="AD303" s="16" t="str">
        <f t="shared" si="91"/>
        <v>error</v>
      </c>
      <c r="AE303" s="16" t="str">
        <f t="shared" si="92"/>
        <v>error</v>
      </c>
      <c r="AF303" s="16" t="str">
        <f t="shared" si="93"/>
        <v>error</v>
      </c>
      <c r="AG303" s="16" t="str">
        <f t="shared" si="94"/>
        <v>error</v>
      </c>
      <c r="AH303" s="16" t="str">
        <f t="shared" si="95"/>
        <v>error</v>
      </c>
    </row>
    <row r="304" spans="1:34" x14ac:dyDescent="0.25">
      <c r="A304" s="12">
        <v>24125</v>
      </c>
      <c r="B304" s="13">
        <v>44.441426700000001</v>
      </c>
      <c r="C304" s="12">
        <v>89.474458299999995</v>
      </c>
      <c r="D304" s="14">
        <v>3</v>
      </c>
      <c r="E304" s="13" t="s">
        <v>42</v>
      </c>
      <c r="F304" s="13">
        <v>44.46781</v>
      </c>
      <c r="G304" s="12">
        <v>89.486840000000001</v>
      </c>
      <c r="H304" s="13" t="s">
        <v>44</v>
      </c>
      <c r="I304" s="13">
        <v>44.400329999999997</v>
      </c>
      <c r="J304" s="12">
        <v>89.480329999999995</v>
      </c>
      <c r="K304" s="13" t="s">
        <v>43</v>
      </c>
      <c r="L304" s="13">
        <v>44.436689999999999</v>
      </c>
      <c r="M304" s="12">
        <v>89.376050000000006</v>
      </c>
      <c r="T304" s="5">
        <f t="shared" si="81"/>
        <v>10150.654726716206</v>
      </c>
      <c r="U304" s="5">
        <f t="shared" si="82"/>
        <v>15070.456853059277</v>
      </c>
      <c r="V304" s="5">
        <f t="shared" si="83"/>
        <v>25691.048948144893</v>
      </c>
      <c r="W304" s="5" t="str">
        <f t="shared" si="84"/>
        <v>n/a</v>
      </c>
      <c r="X304" s="6" t="str">
        <f t="shared" si="85"/>
        <v>n/a</v>
      </c>
      <c r="Y304" s="16">
        <f t="shared" si="86"/>
        <v>0.48340674804758982</v>
      </c>
      <c r="Z304" s="16">
        <f t="shared" si="87"/>
        <v>0.32559696363814516</v>
      </c>
      <c r="AA304" s="16">
        <f t="shared" si="88"/>
        <v>0.19099628831426504</v>
      </c>
      <c r="AB304" s="16" t="e">
        <f t="shared" si="89"/>
        <v>#VALUE!</v>
      </c>
      <c r="AC304" s="18" t="e">
        <f t="shared" si="90"/>
        <v>#VALUE!</v>
      </c>
      <c r="AD304" s="16">
        <f t="shared" si="91"/>
        <v>0.62120569856393282</v>
      </c>
      <c r="AE304" s="16">
        <f t="shared" si="92"/>
        <v>0.2818192834150724</v>
      </c>
      <c r="AF304" s="16">
        <f t="shared" si="93"/>
        <v>9.6975018020994827E-2</v>
      </c>
      <c r="AG304" s="16" t="e">
        <f t="shared" si="94"/>
        <v>#VALUE!</v>
      </c>
      <c r="AH304" s="16" t="e">
        <f t="shared" si="95"/>
        <v>#VALUE!</v>
      </c>
    </row>
    <row r="305" spans="1:34" x14ac:dyDescent="0.25">
      <c r="A305" s="12">
        <v>24130</v>
      </c>
      <c r="B305" s="13">
        <v>44.403329999999997</v>
      </c>
      <c r="C305" s="12">
        <v>89.517894999999996</v>
      </c>
      <c r="D305" s="14">
        <v>4</v>
      </c>
      <c r="E305" s="13" t="s">
        <v>42</v>
      </c>
      <c r="F305" s="13">
        <v>44.470410000000001</v>
      </c>
      <c r="G305" s="12">
        <v>89.511759999999995</v>
      </c>
      <c r="H305" s="13" t="s">
        <v>44</v>
      </c>
      <c r="I305" s="13">
        <v>44.388379999999998</v>
      </c>
      <c r="J305" s="12">
        <v>89.530510000000007</v>
      </c>
      <c r="K305" s="13" t="s">
        <v>48</v>
      </c>
      <c r="L305" s="13">
        <v>44.462609999999998</v>
      </c>
      <c r="M305" s="12">
        <v>89.562640000000002</v>
      </c>
      <c r="N305" s="13" t="s">
        <v>49</v>
      </c>
      <c r="O305" s="13">
        <v>44.410809999999998</v>
      </c>
      <c r="P305" s="12">
        <v>89.569749999999999</v>
      </c>
      <c r="T305" s="5">
        <f t="shared" si="81"/>
        <v>24523.7632989905</v>
      </c>
      <c r="U305" s="5">
        <f t="shared" si="82"/>
        <v>6368.5637946831121</v>
      </c>
      <c r="V305" s="5">
        <f t="shared" si="83"/>
        <v>24567.337558404601</v>
      </c>
      <c r="W305" s="5">
        <f t="shared" si="84"/>
        <v>13787.053368336357</v>
      </c>
      <c r="X305" s="6" t="str">
        <f t="shared" si="85"/>
        <v>n/a</v>
      </c>
      <c r="Y305" s="16">
        <f t="shared" si="86"/>
        <v>0.13110056927579206</v>
      </c>
      <c r="Z305" s="16">
        <f t="shared" si="87"/>
        <v>0.50483585199642445</v>
      </c>
      <c r="AA305" s="16">
        <f t="shared" si="88"/>
        <v>0.13086804061038909</v>
      </c>
      <c r="AB305" s="16">
        <f t="shared" si="89"/>
        <v>0.23319553811739432</v>
      </c>
      <c r="AC305" s="18" t="e">
        <f t="shared" si="90"/>
        <v>#VALUE!</v>
      </c>
      <c r="AD305" s="16">
        <f t="shared" si="91"/>
        <v>5.0028232237744427E-2</v>
      </c>
      <c r="AE305" s="16">
        <f t="shared" si="92"/>
        <v>0.74183339764201905</v>
      </c>
      <c r="AF305" s="16">
        <f t="shared" si="93"/>
        <v>4.985092283915947E-2</v>
      </c>
      <c r="AG305" s="16">
        <f t="shared" si="94"/>
        <v>0.15828744728107699</v>
      </c>
      <c r="AH305" s="16" t="e">
        <f t="shared" si="95"/>
        <v>#VALUE!</v>
      </c>
    </row>
    <row r="306" spans="1:34" x14ac:dyDescent="0.25">
      <c r="A306" s="12">
        <v>24133</v>
      </c>
      <c r="B306" s="13">
        <v>44.391661499999998</v>
      </c>
      <c r="C306" s="12">
        <v>89.692931200000004</v>
      </c>
      <c r="D306" s="14">
        <v>0</v>
      </c>
      <c r="T306" s="5">
        <f t="shared" si="81"/>
        <v>32753099.314105649</v>
      </c>
      <c r="U306" s="5">
        <f t="shared" si="82"/>
        <v>32753099.314105649</v>
      </c>
      <c r="V306" s="5" t="str">
        <f t="shared" si="83"/>
        <v>n/a</v>
      </c>
      <c r="W306" s="5" t="str">
        <f t="shared" si="84"/>
        <v>n/a</v>
      </c>
      <c r="X306" s="6" t="str">
        <f t="shared" si="85"/>
        <v>n/a</v>
      </c>
      <c r="Y306" s="16" t="str">
        <f t="shared" si="86"/>
        <v>error</v>
      </c>
      <c r="Z306" s="16" t="str">
        <f t="shared" si="87"/>
        <v>error</v>
      </c>
      <c r="AA306" s="16" t="str">
        <f t="shared" si="88"/>
        <v>error</v>
      </c>
      <c r="AB306" s="16" t="str">
        <f t="shared" si="89"/>
        <v>error</v>
      </c>
      <c r="AC306" s="18" t="str">
        <f t="shared" si="90"/>
        <v>error</v>
      </c>
      <c r="AD306" s="16" t="str">
        <f t="shared" si="91"/>
        <v>error</v>
      </c>
      <c r="AE306" s="16" t="str">
        <f t="shared" si="92"/>
        <v>error</v>
      </c>
      <c r="AF306" s="16" t="str">
        <f t="shared" si="93"/>
        <v>error</v>
      </c>
      <c r="AG306" s="16" t="str">
        <f t="shared" si="94"/>
        <v>error</v>
      </c>
      <c r="AH306" s="16" t="str">
        <f t="shared" si="95"/>
        <v>error</v>
      </c>
    </row>
    <row r="307" spans="1:34" x14ac:dyDescent="0.25">
      <c r="A307" s="12">
        <v>24135</v>
      </c>
      <c r="B307" s="13">
        <v>44.521525400000002</v>
      </c>
      <c r="C307" s="12">
        <v>89.531848400000001</v>
      </c>
      <c r="D307" s="14">
        <v>2</v>
      </c>
      <c r="E307" s="13" t="s">
        <v>42</v>
      </c>
      <c r="F307" s="13">
        <v>44.473640000000003</v>
      </c>
      <c r="G307" s="12">
        <v>89.522989999999993</v>
      </c>
      <c r="H307" s="13" t="s">
        <v>39</v>
      </c>
      <c r="I307" s="13">
        <v>44.521830000000001</v>
      </c>
      <c r="J307" s="12">
        <v>89.536479999999997</v>
      </c>
      <c r="T307" s="5">
        <f t="shared" si="81"/>
        <v>17620.626651796178</v>
      </c>
      <c r="U307" s="5">
        <f t="shared" si="82"/>
        <v>1209.8214538091656</v>
      </c>
      <c r="V307" s="5" t="str">
        <f t="shared" si="83"/>
        <v>n/a</v>
      </c>
      <c r="W307" s="5" t="str">
        <f t="shared" si="84"/>
        <v>n/a</v>
      </c>
      <c r="X307" s="6" t="str">
        <f t="shared" si="85"/>
        <v>n/a</v>
      </c>
      <c r="Y307" s="16">
        <f t="shared" si="86"/>
        <v>6.4248149965641696E-2</v>
      </c>
      <c r="Z307" s="16">
        <f t="shared" si="87"/>
        <v>0.93575185003435835</v>
      </c>
      <c r="AA307" s="16" t="e">
        <f t="shared" si="88"/>
        <v>#VALUE!</v>
      </c>
      <c r="AB307" s="16" t="e">
        <f t="shared" si="89"/>
        <v>#VALUE!</v>
      </c>
      <c r="AC307" s="18" t="e">
        <f t="shared" si="90"/>
        <v>#VALUE!</v>
      </c>
      <c r="AD307" s="16">
        <f t="shared" si="91"/>
        <v>4.6919930726577403E-3</v>
      </c>
      <c r="AE307" s="16">
        <f t="shared" si="92"/>
        <v>0.99530800692734223</v>
      </c>
      <c r="AF307" s="16" t="e">
        <f t="shared" si="93"/>
        <v>#VALUE!</v>
      </c>
      <c r="AG307" s="16" t="e">
        <f t="shared" si="94"/>
        <v>#VALUE!</v>
      </c>
      <c r="AH307" s="16" t="e">
        <f t="shared" si="95"/>
        <v>#VALUE!</v>
      </c>
    </row>
    <row r="308" spans="1:34" x14ac:dyDescent="0.25">
      <c r="A308" s="12">
        <v>24137</v>
      </c>
      <c r="B308" s="13">
        <v>44.487171699999998</v>
      </c>
      <c r="C308" s="12">
        <v>89.508499999999998</v>
      </c>
      <c r="D308" s="14">
        <v>2</v>
      </c>
      <c r="E308" s="13" t="s">
        <v>42</v>
      </c>
      <c r="F308" s="13">
        <v>44.482300000000002</v>
      </c>
      <c r="G308" s="12">
        <v>89.479820000000004</v>
      </c>
      <c r="H308" s="13" t="s">
        <v>39</v>
      </c>
      <c r="I308" s="13">
        <v>44.495989999999999</v>
      </c>
      <c r="J308" s="12">
        <v>89.549660000000003</v>
      </c>
      <c r="T308" s="5">
        <f t="shared" si="81"/>
        <v>7673.2309457940401</v>
      </c>
      <c r="U308" s="5">
        <f t="shared" si="82"/>
        <v>11184.159144046223</v>
      </c>
      <c r="V308" s="5" t="str">
        <f t="shared" si="83"/>
        <v>n/a</v>
      </c>
      <c r="W308" s="5" t="str">
        <f t="shared" si="84"/>
        <v>n/a</v>
      </c>
      <c r="X308" s="6" t="str">
        <f t="shared" si="85"/>
        <v>n/a</v>
      </c>
      <c r="Y308" s="16">
        <f t="shared" si="86"/>
        <v>0.59309157262816958</v>
      </c>
      <c r="Z308" s="16">
        <f t="shared" si="87"/>
        <v>0.40690842737183031</v>
      </c>
      <c r="AA308" s="16" t="e">
        <f t="shared" si="88"/>
        <v>#VALUE!</v>
      </c>
      <c r="AB308" s="16" t="e">
        <f t="shared" si="89"/>
        <v>#VALUE!</v>
      </c>
      <c r="AC308" s="18" t="e">
        <f t="shared" si="90"/>
        <v>#VALUE!</v>
      </c>
      <c r="AD308" s="16">
        <f t="shared" si="91"/>
        <v>0.67994548551152734</v>
      </c>
      <c r="AE308" s="16">
        <f t="shared" si="92"/>
        <v>0.32005451448847266</v>
      </c>
      <c r="AF308" s="16" t="e">
        <f t="shared" si="93"/>
        <v>#VALUE!</v>
      </c>
      <c r="AG308" s="16" t="e">
        <f t="shared" si="94"/>
        <v>#VALUE!</v>
      </c>
      <c r="AH308" s="16" t="e">
        <f t="shared" si="95"/>
        <v>#VALUE!</v>
      </c>
    </row>
    <row r="309" spans="1:34" x14ac:dyDescent="0.25">
      <c r="A309" s="12">
        <v>24138</v>
      </c>
      <c r="B309" s="13">
        <v>44.476739999999999</v>
      </c>
      <c r="C309" s="12">
        <v>89.497370000000004</v>
      </c>
      <c r="D309" s="13">
        <v>0</v>
      </c>
      <c r="T309" s="5">
        <f t="shared" si="81"/>
        <v>32702310.525530219</v>
      </c>
      <c r="U309" s="5">
        <f t="shared" si="82"/>
        <v>32702310.525530219</v>
      </c>
      <c r="V309" s="5" t="str">
        <f t="shared" si="83"/>
        <v>n/a</v>
      </c>
      <c r="W309" s="5" t="str">
        <f t="shared" si="84"/>
        <v>n/a</v>
      </c>
      <c r="X309" s="6" t="str">
        <f t="shared" si="85"/>
        <v>n/a</v>
      </c>
      <c r="Y309" s="16" t="str">
        <f t="shared" si="86"/>
        <v>error</v>
      </c>
      <c r="Z309" s="16" t="str">
        <f t="shared" si="87"/>
        <v>error</v>
      </c>
      <c r="AA309" s="16" t="str">
        <f t="shared" si="88"/>
        <v>error</v>
      </c>
      <c r="AB309" s="16" t="str">
        <f t="shared" si="89"/>
        <v>error</v>
      </c>
      <c r="AC309" s="18" t="str">
        <f t="shared" si="90"/>
        <v>error</v>
      </c>
      <c r="AD309" s="16" t="str">
        <f t="shared" si="91"/>
        <v>error</v>
      </c>
      <c r="AE309" s="16" t="str">
        <f t="shared" si="92"/>
        <v>error</v>
      </c>
      <c r="AF309" s="16" t="str">
        <f t="shared" si="93"/>
        <v>error</v>
      </c>
      <c r="AG309" s="16" t="str">
        <f t="shared" si="94"/>
        <v>error</v>
      </c>
      <c r="AH309" s="16" t="str">
        <f t="shared" si="95"/>
        <v>error</v>
      </c>
    </row>
    <row r="310" spans="1:34" x14ac:dyDescent="0.25">
      <c r="A310" s="12">
        <v>24160</v>
      </c>
      <c r="B310" s="13">
        <v>44.462949999999999</v>
      </c>
      <c r="C310" s="12">
        <v>89.300495999999995</v>
      </c>
      <c r="D310" s="13">
        <v>0</v>
      </c>
      <c r="T310" s="5">
        <f t="shared" si="81"/>
        <v>32651021.285685346</v>
      </c>
      <c r="U310" s="5">
        <f t="shared" si="82"/>
        <v>32651021.285685346</v>
      </c>
      <c r="V310" s="5" t="str">
        <f t="shared" si="83"/>
        <v>n/a</v>
      </c>
      <c r="W310" s="5" t="str">
        <f t="shared" si="84"/>
        <v>n/a</v>
      </c>
      <c r="X310" s="6" t="str">
        <f t="shared" si="85"/>
        <v>n/a</v>
      </c>
      <c r="Y310" s="16" t="str">
        <f t="shared" si="86"/>
        <v>error</v>
      </c>
      <c r="Z310" s="16" t="str">
        <f t="shared" si="87"/>
        <v>error</v>
      </c>
      <c r="AA310" s="16" t="str">
        <f t="shared" si="88"/>
        <v>error</v>
      </c>
      <c r="AB310" s="16" t="str">
        <f t="shared" si="89"/>
        <v>error</v>
      </c>
      <c r="AC310" s="18" t="str">
        <f t="shared" si="90"/>
        <v>error</v>
      </c>
      <c r="AD310" s="16" t="str">
        <f t="shared" si="91"/>
        <v>error</v>
      </c>
      <c r="AE310" s="16" t="str">
        <f t="shared" si="92"/>
        <v>error</v>
      </c>
      <c r="AF310" s="16" t="str">
        <f t="shared" si="93"/>
        <v>error</v>
      </c>
      <c r="AG310" s="16" t="str">
        <f t="shared" si="94"/>
        <v>error</v>
      </c>
      <c r="AH310" s="16" t="str">
        <f t="shared" si="95"/>
        <v>error</v>
      </c>
    </row>
    <row r="311" spans="1:34" x14ac:dyDescent="0.25">
      <c r="A311" s="12">
        <v>24165</v>
      </c>
      <c r="B311" s="13">
        <v>44.428246999999999</v>
      </c>
      <c r="C311" s="12">
        <v>89.528813</v>
      </c>
      <c r="D311" s="14">
        <v>4</v>
      </c>
      <c r="E311" s="13" t="s">
        <v>42</v>
      </c>
      <c r="F311" s="13">
        <v>44.470410000000001</v>
      </c>
      <c r="G311" s="12">
        <v>89.511759999999995</v>
      </c>
      <c r="H311" s="13" t="s">
        <v>44</v>
      </c>
      <c r="I311" s="13">
        <v>44.388379999999998</v>
      </c>
      <c r="J311" s="12">
        <v>89.530510000000007</v>
      </c>
      <c r="K311" s="13" t="s">
        <v>48</v>
      </c>
      <c r="L311" s="13">
        <v>44.462609999999998</v>
      </c>
      <c r="M311" s="12">
        <v>89.562640000000002</v>
      </c>
      <c r="N311" s="13" t="s">
        <v>49</v>
      </c>
      <c r="O311" s="13">
        <v>44.42971</v>
      </c>
      <c r="P311" s="12">
        <v>89.564329999999998</v>
      </c>
      <c r="T311" s="5">
        <f t="shared" si="81"/>
        <v>16009.901050119301</v>
      </c>
      <c r="U311" s="5">
        <f t="shared" si="82"/>
        <v>14550.712563532448</v>
      </c>
      <c r="V311" s="5">
        <f t="shared" si="83"/>
        <v>15322.237306784327</v>
      </c>
      <c r="W311" s="5">
        <f t="shared" si="84"/>
        <v>9268.2552647769116</v>
      </c>
      <c r="X311" s="6" t="str">
        <f t="shared" si="85"/>
        <v>n/a</v>
      </c>
      <c r="Y311" s="16">
        <f t="shared" si="86"/>
        <v>0.20523117413692896</v>
      </c>
      <c r="Z311" s="16">
        <f t="shared" si="87"/>
        <v>0.22581236320803011</v>
      </c>
      <c r="AA311" s="16">
        <f t="shared" si="88"/>
        <v>0.21444197244466326</v>
      </c>
      <c r="AB311" s="16">
        <f t="shared" si="89"/>
        <v>0.35451449021037768</v>
      </c>
      <c r="AC311" s="18" t="e">
        <f t="shared" si="90"/>
        <v>#VALUE!</v>
      </c>
      <c r="AD311" s="16">
        <f t="shared" si="91"/>
        <v>0.15907667259160679</v>
      </c>
      <c r="AE311" s="16">
        <f t="shared" si="92"/>
        <v>0.19258181276242362</v>
      </c>
      <c r="AF311" s="16">
        <f t="shared" si="93"/>
        <v>0.17367584684746967</v>
      </c>
      <c r="AG311" s="16">
        <f t="shared" si="94"/>
        <v>0.47466566779850006</v>
      </c>
      <c r="AH311" s="16" t="e">
        <f t="shared" si="95"/>
        <v>#VALUE!</v>
      </c>
    </row>
    <row r="312" spans="1:34" x14ac:dyDescent="0.25">
      <c r="A312" s="12">
        <v>24166</v>
      </c>
      <c r="B312" s="13">
        <v>44.428355000000003</v>
      </c>
      <c r="C312" s="12">
        <v>89.533693299999996</v>
      </c>
      <c r="D312" s="14">
        <v>4</v>
      </c>
      <c r="E312" s="13" t="s">
        <v>42</v>
      </c>
      <c r="F312" s="13">
        <v>44.470410000000001</v>
      </c>
      <c r="G312" s="12">
        <v>89.511759999999995</v>
      </c>
      <c r="H312" s="13" t="s">
        <v>44</v>
      </c>
      <c r="I312" s="13">
        <v>44.388379999999998</v>
      </c>
      <c r="J312" s="12">
        <v>89.530510000000007</v>
      </c>
      <c r="K312" s="13" t="s">
        <v>48</v>
      </c>
      <c r="L312" s="13">
        <v>44.462609999999998</v>
      </c>
      <c r="M312" s="12">
        <v>89.562640000000002</v>
      </c>
      <c r="N312" s="13" t="s">
        <v>49</v>
      </c>
      <c r="O312" s="13">
        <v>44.433489999999999</v>
      </c>
      <c r="P312" s="12">
        <v>89.562479999999994</v>
      </c>
      <c r="T312" s="5">
        <f t="shared" si="81"/>
        <v>16371.033260998867</v>
      </c>
      <c r="U312" s="5">
        <f t="shared" si="82"/>
        <v>14606.967505734565</v>
      </c>
      <c r="V312" s="5">
        <f t="shared" si="83"/>
        <v>14594.651456204594</v>
      </c>
      <c r="W312" s="5">
        <f t="shared" si="84"/>
        <v>7729.6870361092006</v>
      </c>
      <c r="X312" s="6" t="str">
        <f t="shared" si="85"/>
        <v>n/a</v>
      </c>
      <c r="Y312" s="16">
        <f t="shared" si="86"/>
        <v>0.18655233962437115</v>
      </c>
      <c r="Z312" s="16">
        <f t="shared" si="87"/>
        <v>0.2090820394930531</v>
      </c>
      <c r="AA312" s="16">
        <f t="shared" si="88"/>
        <v>0.20925847842768272</v>
      </c>
      <c r="AB312" s="16">
        <f t="shared" si="89"/>
        <v>0.39510714245489298</v>
      </c>
      <c r="AC312" s="18" t="e">
        <f t="shared" si="90"/>
        <v>#VALUE!</v>
      </c>
      <c r="AD312" s="16">
        <f t="shared" si="91"/>
        <v>0.12499926543509941</v>
      </c>
      <c r="AE312" s="16">
        <f t="shared" si="92"/>
        <v>0.1570144116861007</v>
      </c>
      <c r="AF312" s="16">
        <f t="shared" si="93"/>
        <v>0.15727952431559292</v>
      </c>
      <c r="AG312" s="16">
        <f t="shared" si="94"/>
        <v>0.56070679856320693</v>
      </c>
      <c r="AH312" s="16" t="e">
        <f t="shared" si="95"/>
        <v>#VALUE!</v>
      </c>
    </row>
    <row r="313" spans="1:34" x14ac:dyDescent="0.25">
      <c r="A313" s="12">
        <v>24169</v>
      </c>
      <c r="B313" s="13">
        <v>44.565916000000001</v>
      </c>
      <c r="C313" s="12">
        <v>89.412993</v>
      </c>
      <c r="D313" s="14">
        <v>4</v>
      </c>
      <c r="E313" s="13" t="s">
        <v>42</v>
      </c>
      <c r="F313" s="13">
        <v>44.481119999999997</v>
      </c>
      <c r="G313" s="12">
        <v>89.479669999999999</v>
      </c>
      <c r="H313" s="13" t="s">
        <v>39</v>
      </c>
      <c r="I313" s="13">
        <v>44.566249999999997</v>
      </c>
      <c r="J313" s="12">
        <v>89.504400000000004</v>
      </c>
      <c r="K313" s="13" t="s">
        <v>40</v>
      </c>
      <c r="L313" s="13">
        <v>44.554780000000001</v>
      </c>
      <c r="M313" s="13">
        <v>89.461330000000004</v>
      </c>
      <c r="N313" s="13" t="s">
        <v>41</v>
      </c>
      <c r="O313" s="13">
        <v>44.570529999999998</v>
      </c>
      <c r="P313" s="12">
        <v>89.378259999999997</v>
      </c>
      <c r="T313" s="5">
        <f t="shared" si="81"/>
        <v>35464.306014084352</v>
      </c>
      <c r="U313" s="5">
        <f t="shared" si="82"/>
        <v>23757.700702862967</v>
      </c>
      <c r="V313" s="5">
        <f t="shared" si="83"/>
        <v>13204.866605177509</v>
      </c>
      <c r="W313" s="5">
        <f t="shared" si="84"/>
        <v>9182.6383530258172</v>
      </c>
      <c r="X313" s="6" t="str">
        <f t="shared" si="85"/>
        <v>n/a</v>
      </c>
      <c r="Y313" s="16">
        <f t="shared" si="86"/>
        <v>0.11061269286066149</v>
      </c>
      <c r="Z313" s="16">
        <f t="shared" si="87"/>
        <v>0.16511708930568761</v>
      </c>
      <c r="AA313" s="16">
        <f t="shared" si="88"/>
        <v>0.29707247380403878</v>
      </c>
      <c r="AB313" s="16">
        <f t="shared" si="89"/>
        <v>0.42719774402961208</v>
      </c>
      <c r="AC313" s="18" t="e">
        <f t="shared" si="90"/>
        <v>#VALUE!</v>
      </c>
      <c r="AD313" s="16">
        <f t="shared" si="91"/>
        <v>3.9436633718777168E-2</v>
      </c>
      <c r="AE313" s="16">
        <f t="shared" si="92"/>
        <v>8.7876743496965309E-2</v>
      </c>
      <c r="AF313" s="16">
        <f t="shared" si="93"/>
        <v>0.2844557595355599</v>
      </c>
      <c r="AG313" s="16">
        <f t="shared" si="94"/>
        <v>0.58823086324869767</v>
      </c>
      <c r="AH313" s="16" t="e">
        <f t="shared" si="95"/>
        <v>#VALUE!</v>
      </c>
    </row>
    <row r="314" spans="1:34" x14ac:dyDescent="0.25">
      <c r="A314" s="12">
        <v>24170</v>
      </c>
      <c r="B314" s="13">
        <v>44.492108799999997</v>
      </c>
      <c r="C314" s="12">
        <v>89.505849900000001</v>
      </c>
      <c r="D314" s="13">
        <v>0</v>
      </c>
      <c r="T314" s="5">
        <f t="shared" si="81"/>
        <v>32704551.742522851</v>
      </c>
      <c r="U314" s="5">
        <f t="shared" si="82"/>
        <v>32704551.742522851</v>
      </c>
      <c r="V314" s="5" t="str">
        <f t="shared" si="83"/>
        <v>n/a</v>
      </c>
      <c r="W314" s="5" t="str">
        <f t="shared" si="84"/>
        <v>n/a</v>
      </c>
      <c r="X314" s="6" t="str">
        <f t="shared" si="85"/>
        <v>n/a</v>
      </c>
      <c r="Y314" s="16" t="str">
        <f t="shared" si="86"/>
        <v>error</v>
      </c>
      <c r="Z314" s="16" t="str">
        <f t="shared" si="87"/>
        <v>error</v>
      </c>
      <c r="AA314" s="16" t="str">
        <f t="shared" si="88"/>
        <v>error</v>
      </c>
      <c r="AB314" s="16" t="str">
        <f t="shared" si="89"/>
        <v>error</v>
      </c>
      <c r="AC314" s="18" t="str">
        <f t="shared" si="90"/>
        <v>error</v>
      </c>
      <c r="AD314" s="16" t="str">
        <f t="shared" si="91"/>
        <v>error</v>
      </c>
      <c r="AE314" s="16" t="str">
        <f t="shared" si="92"/>
        <v>error</v>
      </c>
      <c r="AF314" s="16" t="str">
        <f t="shared" si="93"/>
        <v>error</v>
      </c>
      <c r="AG314" s="16" t="str">
        <f t="shared" si="94"/>
        <v>error</v>
      </c>
      <c r="AH314" s="16" t="str">
        <f t="shared" si="95"/>
        <v>error</v>
      </c>
    </row>
    <row r="315" spans="1:34" x14ac:dyDescent="0.25">
      <c r="A315" s="12">
        <v>24172</v>
      </c>
      <c r="B315" s="13">
        <v>44.429115000000003</v>
      </c>
      <c r="C315" s="12">
        <v>89.485053399999998</v>
      </c>
      <c r="D315" s="14">
        <v>3</v>
      </c>
      <c r="E315" s="13" t="s">
        <v>42</v>
      </c>
      <c r="F315" s="13">
        <v>44.46781</v>
      </c>
      <c r="G315" s="12">
        <v>89.486840000000001</v>
      </c>
      <c r="H315" s="13" t="s">
        <v>44</v>
      </c>
      <c r="I315" s="13">
        <v>44.400329999999997</v>
      </c>
      <c r="J315" s="12">
        <v>89.480329999999995</v>
      </c>
      <c r="K315" s="13" t="s">
        <v>43</v>
      </c>
      <c r="L315" s="13">
        <v>44.436689999999999</v>
      </c>
      <c r="M315" s="12">
        <v>89.376050000000006</v>
      </c>
      <c r="T315" s="5">
        <f t="shared" si="81"/>
        <v>14124.095491266327</v>
      </c>
      <c r="U315" s="5">
        <f t="shared" si="82"/>
        <v>10573.022302411468</v>
      </c>
      <c r="V315" s="5">
        <f t="shared" si="83"/>
        <v>28529.767747272821</v>
      </c>
      <c r="W315" s="5" t="str">
        <f t="shared" si="84"/>
        <v>n/a</v>
      </c>
      <c r="X315" s="6" t="str">
        <f t="shared" si="85"/>
        <v>n/a</v>
      </c>
      <c r="Y315" s="16">
        <f t="shared" si="86"/>
        <v>0.35324119388487729</v>
      </c>
      <c r="Z315" s="16">
        <f t="shared" si="87"/>
        <v>0.47188137990979195</v>
      </c>
      <c r="AA315" s="16">
        <f t="shared" si="88"/>
        <v>0.17487742620533078</v>
      </c>
      <c r="AB315" s="16" t="e">
        <f t="shared" si="89"/>
        <v>#VALUE!</v>
      </c>
      <c r="AC315" s="18" t="e">
        <f t="shared" si="90"/>
        <v>#VALUE!</v>
      </c>
      <c r="AD315" s="16">
        <f t="shared" si="91"/>
        <v>0.33007483122884751</v>
      </c>
      <c r="AE315" s="16">
        <f t="shared" si="92"/>
        <v>0.58902727256168386</v>
      </c>
      <c r="AF315" s="16">
        <f t="shared" si="93"/>
        <v>8.0897896209468773E-2</v>
      </c>
      <c r="AG315" s="16" t="e">
        <f t="shared" si="94"/>
        <v>#VALUE!</v>
      </c>
      <c r="AH315" s="16" t="e">
        <f t="shared" si="95"/>
        <v>#VALUE!</v>
      </c>
    </row>
    <row r="316" spans="1:34" x14ac:dyDescent="0.25">
      <c r="A316" s="12">
        <v>24176</v>
      </c>
      <c r="B316" s="13">
        <v>44.435409800000002</v>
      </c>
      <c r="C316" s="12">
        <v>89.594403900000003</v>
      </c>
      <c r="D316" s="14">
        <v>0</v>
      </c>
      <c r="T316" s="5">
        <f t="shared" si="81"/>
        <v>32727493.949530616</v>
      </c>
      <c r="U316" s="5">
        <f t="shared" si="82"/>
        <v>32727493.949530616</v>
      </c>
      <c r="V316" s="5" t="str">
        <f t="shared" si="83"/>
        <v>n/a</v>
      </c>
      <c r="W316" s="5" t="str">
        <f t="shared" si="84"/>
        <v>n/a</v>
      </c>
      <c r="X316" s="6" t="str">
        <f t="shared" si="85"/>
        <v>n/a</v>
      </c>
      <c r="Y316" s="16" t="str">
        <f t="shared" si="86"/>
        <v>error</v>
      </c>
      <c r="Z316" s="16" t="str">
        <f t="shared" si="87"/>
        <v>error</v>
      </c>
      <c r="AA316" s="16" t="str">
        <f t="shared" si="88"/>
        <v>error</v>
      </c>
      <c r="AB316" s="16" t="str">
        <f t="shared" si="89"/>
        <v>error</v>
      </c>
      <c r="AC316" s="18" t="str">
        <f t="shared" si="90"/>
        <v>error</v>
      </c>
      <c r="AD316" s="16" t="str">
        <f t="shared" si="91"/>
        <v>error</v>
      </c>
      <c r="AE316" s="16" t="str">
        <f t="shared" si="92"/>
        <v>error</v>
      </c>
      <c r="AF316" s="16" t="str">
        <f t="shared" si="93"/>
        <v>error</v>
      </c>
      <c r="AG316" s="16" t="str">
        <f t="shared" si="94"/>
        <v>error</v>
      </c>
      <c r="AH316" s="16" t="str">
        <f t="shared" si="95"/>
        <v>error</v>
      </c>
    </row>
    <row r="317" spans="1:34" x14ac:dyDescent="0.25">
      <c r="A317" s="12">
        <v>24178</v>
      </c>
      <c r="B317" s="13">
        <v>44.399174000000002</v>
      </c>
      <c r="C317" s="12">
        <v>89.632293000000004</v>
      </c>
      <c r="D317" s="13">
        <v>0</v>
      </c>
      <c r="T317" s="5">
        <f t="shared" si="81"/>
        <v>32737304.2307611</v>
      </c>
      <c r="U317" s="5">
        <f t="shared" si="82"/>
        <v>32737304.2307611</v>
      </c>
      <c r="V317" s="5" t="str">
        <f t="shared" si="83"/>
        <v>n/a</v>
      </c>
      <c r="W317" s="5" t="str">
        <f t="shared" si="84"/>
        <v>n/a</v>
      </c>
      <c r="X317" s="6" t="str">
        <f t="shared" si="85"/>
        <v>n/a</v>
      </c>
      <c r="Y317" s="16" t="str">
        <f t="shared" si="86"/>
        <v>error</v>
      </c>
      <c r="Z317" s="16" t="str">
        <f t="shared" si="87"/>
        <v>error</v>
      </c>
      <c r="AA317" s="16" t="str">
        <f t="shared" si="88"/>
        <v>error</v>
      </c>
      <c r="AB317" s="16" t="str">
        <f t="shared" si="89"/>
        <v>error</v>
      </c>
      <c r="AC317" s="18" t="str">
        <f t="shared" si="90"/>
        <v>error</v>
      </c>
      <c r="AD317" s="16" t="str">
        <f t="shared" si="91"/>
        <v>error</v>
      </c>
      <c r="AE317" s="16" t="str">
        <f t="shared" si="92"/>
        <v>error</v>
      </c>
      <c r="AF317" s="16" t="str">
        <f t="shared" si="93"/>
        <v>error</v>
      </c>
      <c r="AG317" s="16" t="str">
        <f t="shared" si="94"/>
        <v>error</v>
      </c>
      <c r="AH317" s="16" t="str">
        <f t="shared" si="95"/>
        <v>error</v>
      </c>
    </row>
    <row r="318" spans="1:34" x14ac:dyDescent="0.25">
      <c r="A318" s="12">
        <v>24183</v>
      </c>
      <c r="B318" s="13">
        <v>44.4084754</v>
      </c>
      <c r="C318" s="12">
        <v>89.551735300000004</v>
      </c>
      <c r="D318" s="13">
        <v>0</v>
      </c>
      <c r="T318" s="5">
        <f t="shared" si="81"/>
        <v>32716325.508398481</v>
      </c>
      <c r="U318" s="5">
        <f t="shared" si="82"/>
        <v>32716325.508398481</v>
      </c>
      <c r="V318" s="5" t="str">
        <f t="shared" si="83"/>
        <v>n/a</v>
      </c>
      <c r="W318" s="5" t="str">
        <f t="shared" si="84"/>
        <v>n/a</v>
      </c>
      <c r="X318" s="6" t="str">
        <f t="shared" si="85"/>
        <v>n/a</v>
      </c>
      <c r="Y318" s="16" t="str">
        <f t="shared" si="86"/>
        <v>error</v>
      </c>
      <c r="Z318" s="16" t="str">
        <f t="shared" si="87"/>
        <v>error</v>
      </c>
      <c r="AA318" s="16" t="str">
        <f t="shared" si="88"/>
        <v>error</v>
      </c>
      <c r="AB318" s="16" t="str">
        <f t="shared" si="89"/>
        <v>error</v>
      </c>
      <c r="AC318" s="18" t="str">
        <f t="shared" si="90"/>
        <v>error</v>
      </c>
      <c r="AD318" s="16" t="str">
        <f t="shared" si="91"/>
        <v>error</v>
      </c>
      <c r="AE318" s="16" t="str">
        <f t="shared" si="92"/>
        <v>error</v>
      </c>
      <c r="AF318" s="16" t="str">
        <f t="shared" si="93"/>
        <v>error</v>
      </c>
      <c r="AG318" s="16" t="str">
        <f t="shared" si="94"/>
        <v>error</v>
      </c>
      <c r="AH318" s="16" t="str">
        <f t="shared" si="95"/>
        <v>error</v>
      </c>
    </row>
    <row r="319" spans="1:34" x14ac:dyDescent="0.25">
      <c r="A319" s="12">
        <v>24185</v>
      </c>
      <c r="B319" s="13">
        <v>44.406438299999998</v>
      </c>
      <c r="C319" s="12">
        <v>89.622115199999996</v>
      </c>
      <c r="D319" s="13">
        <v>0</v>
      </c>
      <c r="T319" s="5">
        <f t="shared" si="81"/>
        <v>32734663.619635984</v>
      </c>
      <c r="U319" s="5">
        <f t="shared" si="82"/>
        <v>32734663.619635984</v>
      </c>
      <c r="V319" s="5" t="str">
        <f t="shared" si="83"/>
        <v>n/a</v>
      </c>
      <c r="W319" s="5" t="str">
        <f t="shared" si="84"/>
        <v>n/a</v>
      </c>
      <c r="X319" s="6" t="str">
        <f t="shared" si="85"/>
        <v>n/a</v>
      </c>
      <c r="Y319" s="16" t="str">
        <f t="shared" si="86"/>
        <v>error</v>
      </c>
      <c r="Z319" s="16" t="str">
        <f t="shared" si="87"/>
        <v>error</v>
      </c>
      <c r="AA319" s="16" t="str">
        <f t="shared" si="88"/>
        <v>error</v>
      </c>
      <c r="AB319" s="16" t="str">
        <f t="shared" si="89"/>
        <v>error</v>
      </c>
      <c r="AC319" s="18" t="str">
        <f t="shared" si="90"/>
        <v>error</v>
      </c>
      <c r="AD319" s="16" t="str">
        <f t="shared" si="91"/>
        <v>error</v>
      </c>
      <c r="AE319" s="16" t="str">
        <f t="shared" si="92"/>
        <v>error</v>
      </c>
      <c r="AF319" s="16" t="str">
        <f t="shared" si="93"/>
        <v>error</v>
      </c>
      <c r="AG319" s="16" t="str">
        <f t="shared" si="94"/>
        <v>error</v>
      </c>
      <c r="AH319" s="16" t="str">
        <f t="shared" si="95"/>
        <v>error</v>
      </c>
    </row>
    <row r="320" spans="1:34" x14ac:dyDescent="0.25">
      <c r="A320" s="12">
        <v>24191</v>
      </c>
      <c r="B320" s="13">
        <v>44.392211000000003</v>
      </c>
      <c r="C320" s="12">
        <v>89.559177000000005</v>
      </c>
      <c r="D320" s="14">
        <v>0</v>
      </c>
      <c r="T320" s="5">
        <f t="shared" si="81"/>
        <v>32718232.927926946</v>
      </c>
      <c r="U320" s="5">
        <f t="shared" si="82"/>
        <v>32718232.927926946</v>
      </c>
      <c r="V320" s="5" t="str">
        <f t="shared" si="83"/>
        <v>n/a</v>
      </c>
      <c r="W320" s="5" t="str">
        <f t="shared" si="84"/>
        <v>n/a</v>
      </c>
      <c r="X320" s="6" t="str">
        <f t="shared" si="85"/>
        <v>n/a</v>
      </c>
      <c r="Y320" s="16" t="str">
        <f t="shared" si="86"/>
        <v>error</v>
      </c>
      <c r="Z320" s="16" t="str">
        <f t="shared" si="87"/>
        <v>error</v>
      </c>
      <c r="AA320" s="16" t="str">
        <f t="shared" si="88"/>
        <v>error</v>
      </c>
      <c r="AB320" s="16" t="str">
        <f t="shared" si="89"/>
        <v>error</v>
      </c>
      <c r="AC320" s="18" t="str">
        <f t="shared" si="90"/>
        <v>error</v>
      </c>
      <c r="AD320" s="16" t="str">
        <f t="shared" si="91"/>
        <v>error</v>
      </c>
      <c r="AE320" s="16" t="str">
        <f t="shared" si="92"/>
        <v>error</v>
      </c>
      <c r="AF320" s="16" t="str">
        <f t="shared" si="93"/>
        <v>error</v>
      </c>
      <c r="AG320" s="16" t="str">
        <f t="shared" si="94"/>
        <v>error</v>
      </c>
      <c r="AH320" s="16" t="str">
        <f t="shared" si="95"/>
        <v>error</v>
      </c>
    </row>
    <row r="321" spans="1:34" x14ac:dyDescent="0.25">
      <c r="A321" s="12">
        <v>24195</v>
      </c>
      <c r="B321" s="13">
        <v>44.528599</v>
      </c>
      <c r="C321" s="12">
        <v>89.412283000000002</v>
      </c>
      <c r="D321" s="14">
        <v>4</v>
      </c>
      <c r="E321" s="13" t="s">
        <v>42</v>
      </c>
      <c r="F321" s="13">
        <v>44.475769999999997</v>
      </c>
      <c r="G321" s="12">
        <v>89.479730000000004</v>
      </c>
      <c r="H321" s="13" t="s">
        <v>40</v>
      </c>
      <c r="I321" s="13">
        <v>44.551259999999999</v>
      </c>
      <c r="J321" s="12">
        <v>89.469080000000005</v>
      </c>
      <c r="K321" s="13" t="s">
        <v>39</v>
      </c>
      <c r="L321" s="13">
        <v>44.534610000000001</v>
      </c>
      <c r="M321" s="12">
        <v>89.521129999999999</v>
      </c>
      <c r="N321" s="13" t="s">
        <v>41</v>
      </c>
      <c r="O321" s="13">
        <v>44.528460000000003</v>
      </c>
      <c r="P321" s="12">
        <v>89.339870000000005</v>
      </c>
      <c r="T321" s="5">
        <f t="shared" si="81"/>
        <v>26065.543831790827</v>
      </c>
      <c r="U321" s="5">
        <f t="shared" si="82"/>
        <v>16925.001592943452</v>
      </c>
      <c r="V321" s="5">
        <f t="shared" si="83"/>
        <v>28391.754388523426</v>
      </c>
      <c r="W321" s="5">
        <f t="shared" si="84"/>
        <v>18832.91516819067</v>
      </c>
      <c r="X321" s="6" t="str">
        <f t="shared" si="85"/>
        <v>n/a</v>
      </c>
      <c r="Y321" s="16">
        <f t="shared" si="86"/>
        <v>0.20651894283956529</v>
      </c>
      <c r="Z321" s="16">
        <f t="shared" si="87"/>
        <v>0.31805187887983072</v>
      </c>
      <c r="AA321" s="16">
        <f t="shared" si="88"/>
        <v>0.18959830671315372</v>
      </c>
      <c r="AB321" s="16">
        <f t="shared" si="89"/>
        <v>0.28583087156745024</v>
      </c>
      <c r="AC321" s="18" t="e">
        <f t="shared" si="90"/>
        <v>#VALUE!</v>
      </c>
      <c r="AD321" s="16">
        <f t="shared" si="91"/>
        <v>0.16312656874332482</v>
      </c>
      <c r="AE321" s="16">
        <f t="shared" si="92"/>
        <v>0.38690188506132644</v>
      </c>
      <c r="AF321" s="16">
        <f t="shared" si="93"/>
        <v>0.13749085840762337</v>
      </c>
      <c r="AG321" s="16">
        <f t="shared" si="94"/>
        <v>0.31248068778772536</v>
      </c>
      <c r="AH321" s="16" t="e">
        <f t="shared" si="95"/>
        <v>#VALUE!</v>
      </c>
    </row>
    <row r="322" spans="1:34" x14ac:dyDescent="0.25">
      <c r="A322" s="12">
        <v>24197</v>
      </c>
      <c r="B322" s="13">
        <v>44.4773</v>
      </c>
      <c r="C322" s="12">
        <v>89.445138999999998</v>
      </c>
      <c r="D322" s="14">
        <v>3</v>
      </c>
      <c r="E322" s="13" t="s">
        <v>42</v>
      </c>
      <c r="F322" s="13">
        <v>44.477910000000001</v>
      </c>
      <c r="G322" s="12">
        <v>89.479849999999999</v>
      </c>
      <c r="H322" s="13" t="s">
        <v>41</v>
      </c>
      <c r="I322" s="13">
        <v>44.492049999999999</v>
      </c>
      <c r="J322" s="12">
        <v>89.309579999999997</v>
      </c>
      <c r="K322" s="13" t="s">
        <v>43</v>
      </c>
      <c r="L322" s="13">
        <v>44.436630000000001</v>
      </c>
      <c r="M322" s="12">
        <v>89.375929999999997</v>
      </c>
      <c r="T322" s="5">
        <f t="shared" si="81"/>
        <v>9038.1099000620397</v>
      </c>
      <c r="U322" s="5">
        <f t="shared" si="82"/>
        <v>35690.082081812179</v>
      </c>
      <c r="V322" s="5">
        <f t="shared" si="83"/>
        <v>23343.415037141433</v>
      </c>
      <c r="W322" s="5" t="str">
        <f t="shared" si="84"/>
        <v>n/a</v>
      </c>
      <c r="X322" s="6" t="str">
        <f t="shared" si="85"/>
        <v>n/a</v>
      </c>
      <c r="Y322" s="16">
        <f t="shared" si="86"/>
        <v>0.60960036158362574</v>
      </c>
      <c r="Z322" s="16">
        <f t="shared" si="87"/>
        <v>0.15437440156289528</v>
      </c>
      <c r="AA322" s="16">
        <f t="shared" si="88"/>
        <v>0.23602523685347884</v>
      </c>
      <c r="AB322" s="16" t="e">
        <f t="shared" si="89"/>
        <v>#VALUE!</v>
      </c>
      <c r="AC322" s="18" t="e">
        <f t="shared" si="90"/>
        <v>#VALUE!</v>
      </c>
      <c r="AD322" s="16">
        <f t="shared" si="91"/>
        <v>0.82369717139308907</v>
      </c>
      <c r="AE322" s="16">
        <f t="shared" si="92"/>
        <v>5.2823566089548281E-2</v>
      </c>
      <c r="AF322" s="16">
        <f t="shared" si="93"/>
        <v>0.12347926251736273</v>
      </c>
      <c r="AG322" s="16" t="e">
        <f t="shared" si="94"/>
        <v>#VALUE!</v>
      </c>
      <c r="AH322" s="16" t="e">
        <f t="shared" si="95"/>
        <v>#VALUE!</v>
      </c>
    </row>
    <row r="323" spans="1:34" x14ac:dyDescent="0.25">
      <c r="A323" s="12">
        <v>24203</v>
      </c>
      <c r="B323" s="13">
        <v>44.494378599999997</v>
      </c>
      <c r="C323" s="12">
        <v>89.493642100000002</v>
      </c>
      <c r="D323" s="14">
        <v>2</v>
      </c>
      <c r="E323" s="13" t="s">
        <v>42</v>
      </c>
      <c r="F323" s="13">
        <v>44.48263</v>
      </c>
      <c r="G323" s="12">
        <v>89.479879999999994</v>
      </c>
      <c r="H323" s="13" t="s">
        <v>39</v>
      </c>
      <c r="I323" s="13">
        <v>44.507199999999997</v>
      </c>
      <c r="J323" s="12">
        <v>89.540490000000005</v>
      </c>
      <c r="T323" s="5">
        <f t="shared" si="81"/>
        <v>5585.544087424536</v>
      </c>
      <c r="U323" s="5">
        <f t="shared" si="82"/>
        <v>13056.385442140696</v>
      </c>
      <c r="V323" s="5" t="str">
        <f t="shared" si="83"/>
        <v>n/a</v>
      </c>
      <c r="W323" s="5" t="str">
        <f t="shared" si="84"/>
        <v>n/a</v>
      </c>
      <c r="X323" s="6" t="str">
        <f t="shared" si="85"/>
        <v>n/a</v>
      </c>
      <c r="Y323" s="16">
        <f t="shared" si="86"/>
        <v>0.7003773628386416</v>
      </c>
      <c r="Z323" s="16">
        <f t="shared" si="87"/>
        <v>0.2996226371613584</v>
      </c>
      <c r="AA323" s="16" t="e">
        <f t="shared" si="88"/>
        <v>#VALUE!</v>
      </c>
      <c r="AB323" s="16" t="e">
        <f t="shared" si="89"/>
        <v>#VALUE!</v>
      </c>
      <c r="AC323" s="18" t="e">
        <f t="shared" si="90"/>
        <v>#VALUE!</v>
      </c>
      <c r="AD323" s="16">
        <f t="shared" si="91"/>
        <v>0.8452983143002738</v>
      </c>
      <c r="AE323" s="16">
        <f t="shared" si="92"/>
        <v>0.1547016856997262</v>
      </c>
      <c r="AF323" s="16" t="e">
        <f t="shared" si="93"/>
        <v>#VALUE!</v>
      </c>
      <c r="AG323" s="16" t="e">
        <f t="shared" si="94"/>
        <v>#VALUE!</v>
      </c>
      <c r="AH323" s="16" t="e">
        <f t="shared" si="95"/>
        <v>#VALUE!</v>
      </c>
    </row>
    <row r="324" spans="1:34" x14ac:dyDescent="0.25">
      <c r="A324" s="12">
        <v>24206</v>
      </c>
      <c r="B324" s="13">
        <v>44.399500000000003</v>
      </c>
      <c r="C324" s="12">
        <v>89.554199999999994</v>
      </c>
      <c r="D324" s="13">
        <v>0</v>
      </c>
      <c r="T324" s="5">
        <f t="shared" si="81"/>
        <v>32716950.000321221</v>
      </c>
      <c r="U324" s="5">
        <f t="shared" si="82"/>
        <v>32716950.000321221</v>
      </c>
      <c r="V324" s="5" t="str">
        <f t="shared" si="83"/>
        <v>n/a</v>
      </c>
      <c r="W324" s="5" t="str">
        <f t="shared" si="84"/>
        <v>n/a</v>
      </c>
      <c r="X324" s="6" t="str">
        <f t="shared" si="85"/>
        <v>n/a</v>
      </c>
      <c r="Y324" s="16" t="str">
        <f t="shared" si="86"/>
        <v>error</v>
      </c>
      <c r="Z324" s="16" t="str">
        <f t="shared" si="87"/>
        <v>error</v>
      </c>
      <c r="AA324" s="16" t="str">
        <f t="shared" si="88"/>
        <v>error</v>
      </c>
      <c r="AB324" s="16" t="str">
        <f t="shared" si="89"/>
        <v>error</v>
      </c>
      <c r="AC324" s="18" t="str">
        <f t="shared" si="90"/>
        <v>error</v>
      </c>
      <c r="AD324" s="16" t="str">
        <f t="shared" si="91"/>
        <v>error</v>
      </c>
      <c r="AE324" s="16" t="str">
        <f t="shared" si="92"/>
        <v>error</v>
      </c>
      <c r="AF324" s="16" t="str">
        <f t="shared" si="93"/>
        <v>error</v>
      </c>
      <c r="AG324" s="16" t="str">
        <f t="shared" si="94"/>
        <v>error</v>
      </c>
      <c r="AH324" s="16" t="str">
        <f t="shared" si="95"/>
        <v>error</v>
      </c>
    </row>
    <row r="325" spans="1:34" x14ac:dyDescent="0.25">
      <c r="A325" s="12">
        <v>24208</v>
      </c>
      <c r="B325" s="13">
        <v>44.384599999999999</v>
      </c>
      <c r="C325" s="12">
        <v>89.447000000000003</v>
      </c>
      <c r="D325" s="14">
        <v>0</v>
      </c>
      <c r="T325" s="5">
        <f t="shared" si="81"/>
        <v>32688972.035737142</v>
      </c>
      <c r="U325" s="5">
        <f t="shared" si="82"/>
        <v>32688972.035737142</v>
      </c>
      <c r="V325" s="5" t="str">
        <f t="shared" si="83"/>
        <v>n/a</v>
      </c>
      <c r="W325" s="5" t="str">
        <f t="shared" si="84"/>
        <v>n/a</v>
      </c>
      <c r="X325" s="6" t="str">
        <f t="shared" si="85"/>
        <v>n/a</v>
      </c>
      <c r="Y325" s="16" t="str">
        <f t="shared" si="86"/>
        <v>error</v>
      </c>
      <c r="Z325" s="16" t="str">
        <f t="shared" si="87"/>
        <v>error</v>
      </c>
      <c r="AA325" s="16" t="str">
        <f t="shared" si="88"/>
        <v>error</v>
      </c>
      <c r="AB325" s="16" t="str">
        <f t="shared" si="89"/>
        <v>error</v>
      </c>
      <c r="AC325" s="18" t="str">
        <f t="shared" si="90"/>
        <v>error</v>
      </c>
      <c r="AD325" s="16" t="str">
        <f t="shared" si="91"/>
        <v>error</v>
      </c>
      <c r="AE325" s="16" t="str">
        <f t="shared" si="92"/>
        <v>error</v>
      </c>
      <c r="AF325" s="16" t="str">
        <f t="shared" si="93"/>
        <v>error</v>
      </c>
      <c r="AG325" s="16" t="str">
        <f t="shared" si="94"/>
        <v>error</v>
      </c>
      <c r="AH325" s="16" t="str">
        <f t="shared" si="95"/>
        <v>error</v>
      </c>
    </row>
    <row r="326" spans="1:34" x14ac:dyDescent="0.25">
      <c r="A326" s="12">
        <v>24211</v>
      </c>
      <c r="B326" s="13">
        <v>44.399507999999997</v>
      </c>
      <c r="C326" s="12">
        <v>89.543809999999993</v>
      </c>
      <c r="D326" s="13">
        <v>0</v>
      </c>
      <c r="T326" s="5">
        <f t="shared" si="81"/>
        <v>32714241.894056823</v>
      </c>
      <c r="U326" s="5">
        <f t="shared" si="82"/>
        <v>32714241.894056823</v>
      </c>
      <c r="V326" s="5" t="str">
        <f t="shared" si="83"/>
        <v>n/a</v>
      </c>
      <c r="W326" s="5" t="str">
        <f t="shared" si="84"/>
        <v>n/a</v>
      </c>
      <c r="X326" s="6" t="str">
        <f t="shared" si="85"/>
        <v>n/a</v>
      </c>
      <c r="Y326" s="16" t="str">
        <f t="shared" si="86"/>
        <v>error</v>
      </c>
      <c r="Z326" s="16" t="str">
        <f t="shared" si="87"/>
        <v>error</v>
      </c>
      <c r="AA326" s="16" t="str">
        <f t="shared" si="88"/>
        <v>error</v>
      </c>
      <c r="AB326" s="16" t="str">
        <f t="shared" si="89"/>
        <v>error</v>
      </c>
      <c r="AC326" s="18" t="str">
        <f t="shared" si="90"/>
        <v>error</v>
      </c>
      <c r="AD326" s="16" t="str">
        <f t="shared" si="91"/>
        <v>error</v>
      </c>
      <c r="AE326" s="16" t="str">
        <f t="shared" si="92"/>
        <v>error</v>
      </c>
      <c r="AF326" s="16" t="str">
        <f t="shared" si="93"/>
        <v>error</v>
      </c>
      <c r="AG326" s="16" t="str">
        <f t="shared" si="94"/>
        <v>error</v>
      </c>
      <c r="AH326" s="16" t="str">
        <f t="shared" si="95"/>
        <v>error</v>
      </c>
    </row>
    <row r="327" spans="1:34" x14ac:dyDescent="0.25">
      <c r="A327" s="12">
        <v>24212</v>
      </c>
      <c r="B327" s="13">
        <v>44.402926000000001</v>
      </c>
      <c r="C327" s="12">
        <v>89.543863000000002</v>
      </c>
      <c r="D327" s="14">
        <v>0</v>
      </c>
      <c r="T327" s="5">
        <f t="shared" si="81"/>
        <v>32714262.654037192</v>
      </c>
      <c r="U327" s="5">
        <f t="shared" si="82"/>
        <v>32714262.654037192</v>
      </c>
      <c r="V327" s="5" t="str">
        <f t="shared" si="83"/>
        <v>n/a</v>
      </c>
      <c r="W327" s="5" t="str">
        <f t="shared" si="84"/>
        <v>n/a</v>
      </c>
      <c r="X327" s="6" t="str">
        <f t="shared" si="85"/>
        <v>n/a</v>
      </c>
      <c r="Y327" s="16" t="str">
        <f t="shared" si="86"/>
        <v>error</v>
      </c>
      <c r="Z327" s="16" t="str">
        <f t="shared" si="87"/>
        <v>error</v>
      </c>
      <c r="AA327" s="16" t="str">
        <f t="shared" si="88"/>
        <v>error</v>
      </c>
      <c r="AB327" s="16" t="str">
        <f t="shared" si="89"/>
        <v>error</v>
      </c>
      <c r="AC327" s="18" t="str">
        <f t="shared" si="90"/>
        <v>error</v>
      </c>
      <c r="AD327" s="16" t="str">
        <f t="shared" si="91"/>
        <v>error</v>
      </c>
      <c r="AE327" s="16" t="str">
        <f t="shared" si="92"/>
        <v>error</v>
      </c>
      <c r="AF327" s="16" t="str">
        <f t="shared" si="93"/>
        <v>error</v>
      </c>
      <c r="AG327" s="16" t="str">
        <f t="shared" si="94"/>
        <v>error</v>
      </c>
      <c r="AH327" s="16" t="str">
        <f t="shared" si="95"/>
        <v>error</v>
      </c>
    </row>
    <row r="328" spans="1:34" x14ac:dyDescent="0.25">
      <c r="A328" s="12">
        <v>24216</v>
      </c>
      <c r="B328" s="13">
        <v>44.565013</v>
      </c>
      <c r="C328" s="12">
        <v>89.459284999999994</v>
      </c>
      <c r="D328" s="14">
        <v>4</v>
      </c>
      <c r="E328" s="13" t="s">
        <v>42</v>
      </c>
      <c r="F328" s="13">
        <v>44.481119999999997</v>
      </c>
      <c r="G328" s="12">
        <v>89.479669999999999</v>
      </c>
      <c r="H328" s="13" t="s">
        <v>39</v>
      </c>
      <c r="I328" s="13">
        <v>44.566249999999997</v>
      </c>
      <c r="J328" s="12">
        <v>89.504400000000004</v>
      </c>
      <c r="K328" s="13" t="s">
        <v>40</v>
      </c>
      <c r="L328" s="13">
        <v>44.554780000000001</v>
      </c>
      <c r="M328" s="13">
        <v>89.461330000000004</v>
      </c>
      <c r="N328" s="13" t="s">
        <v>41</v>
      </c>
      <c r="O328" s="13">
        <v>44.570529999999998</v>
      </c>
      <c r="P328" s="12">
        <v>89.378259999999997</v>
      </c>
      <c r="T328" s="5">
        <f t="shared" si="81"/>
        <v>31061.118954600057</v>
      </c>
      <c r="U328" s="5">
        <f t="shared" si="82"/>
        <v>11734.510386787719</v>
      </c>
      <c r="V328" s="5">
        <f t="shared" si="83"/>
        <v>3770.7845095163129</v>
      </c>
      <c r="W328" s="5">
        <f t="shared" si="84"/>
        <v>21154.377411912934</v>
      </c>
      <c r="X328" s="6" t="str">
        <f t="shared" si="85"/>
        <v>n/a</v>
      </c>
      <c r="Y328" s="16">
        <f t="shared" si="86"/>
        <v>7.4891751539475609E-2</v>
      </c>
      <c r="Z328" s="16">
        <f t="shared" si="87"/>
        <v>0.19823763639130398</v>
      </c>
      <c r="AA328" s="16">
        <f t="shared" si="88"/>
        <v>0.61690653428095088</v>
      </c>
      <c r="AB328" s="16">
        <f t="shared" si="89"/>
        <v>0.10996407778826944</v>
      </c>
      <c r="AC328" s="18" t="e">
        <f t="shared" si="90"/>
        <v>#VALUE!</v>
      </c>
      <c r="AD328" s="16">
        <f t="shared" si="91"/>
        <v>1.2817925752176898E-2</v>
      </c>
      <c r="AE328" s="16">
        <f t="shared" si="92"/>
        <v>8.9809441949790125E-2</v>
      </c>
      <c r="AF328" s="16">
        <f t="shared" si="93"/>
        <v>0.86973814263415783</v>
      </c>
      <c r="AG328" s="16">
        <f t="shared" si="94"/>
        <v>2.7634489663875071E-2</v>
      </c>
      <c r="AH328" s="16" t="e">
        <f t="shared" si="95"/>
        <v>#VALUE!</v>
      </c>
    </row>
    <row r="329" spans="1:34" x14ac:dyDescent="0.25">
      <c r="A329" s="12">
        <v>24224</v>
      </c>
      <c r="B329" s="13">
        <v>44.445995000000003</v>
      </c>
      <c r="C329" s="12">
        <v>89.601794999999996</v>
      </c>
      <c r="D329" s="14">
        <v>0</v>
      </c>
      <c r="T329" s="5">
        <f t="shared" si="81"/>
        <v>32729438.032349125</v>
      </c>
      <c r="U329" s="5">
        <f t="shared" si="82"/>
        <v>32729438.032349125</v>
      </c>
      <c r="V329" s="5" t="str">
        <f t="shared" si="83"/>
        <v>n/a</v>
      </c>
      <c r="W329" s="5" t="str">
        <f t="shared" si="84"/>
        <v>n/a</v>
      </c>
      <c r="X329" s="6" t="str">
        <f t="shared" si="85"/>
        <v>n/a</v>
      </c>
      <c r="Y329" s="16" t="str">
        <f t="shared" si="86"/>
        <v>error</v>
      </c>
      <c r="Z329" s="16" t="str">
        <f t="shared" si="87"/>
        <v>error</v>
      </c>
      <c r="AA329" s="16" t="str">
        <f t="shared" si="88"/>
        <v>error</v>
      </c>
      <c r="AB329" s="16" t="str">
        <f t="shared" si="89"/>
        <v>error</v>
      </c>
      <c r="AC329" s="18" t="str">
        <f t="shared" si="90"/>
        <v>error</v>
      </c>
      <c r="AD329" s="16" t="str">
        <f t="shared" si="91"/>
        <v>error</v>
      </c>
      <c r="AE329" s="16" t="str">
        <f t="shared" si="92"/>
        <v>error</v>
      </c>
      <c r="AF329" s="16" t="str">
        <f t="shared" si="93"/>
        <v>error</v>
      </c>
      <c r="AG329" s="16" t="str">
        <f t="shared" si="94"/>
        <v>error</v>
      </c>
      <c r="AH329" s="16" t="str">
        <f t="shared" si="95"/>
        <v>error</v>
      </c>
    </row>
    <row r="330" spans="1:34" x14ac:dyDescent="0.25">
      <c r="A330" s="12">
        <v>24225</v>
      </c>
      <c r="B330" s="13">
        <v>44.439441700000003</v>
      </c>
      <c r="C330" s="12">
        <v>89.449303400000005</v>
      </c>
      <c r="D330" s="14">
        <v>4</v>
      </c>
      <c r="E330" s="13" t="s">
        <v>42</v>
      </c>
      <c r="F330" s="13">
        <v>44.466740000000001</v>
      </c>
      <c r="G330" s="12">
        <v>89.486720000000005</v>
      </c>
      <c r="H330" s="13" t="s">
        <v>44</v>
      </c>
      <c r="I330" s="13">
        <v>44.400239999999997</v>
      </c>
      <c r="J330" s="12">
        <v>89.480869999999996</v>
      </c>
      <c r="K330" s="13" t="s">
        <v>51</v>
      </c>
      <c r="L330" s="13">
        <v>44.379669999999997</v>
      </c>
      <c r="M330" s="12">
        <v>89.439099999999996</v>
      </c>
      <c r="N330" s="13" t="s">
        <v>43</v>
      </c>
      <c r="O330" s="13">
        <v>44.436590000000002</v>
      </c>
      <c r="P330" s="12">
        <v>89.375579999999999</v>
      </c>
      <c r="T330" s="5">
        <f t="shared" si="81"/>
        <v>13932.603589198543</v>
      </c>
      <c r="U330" s="5">
        <f t="shared" si="82"/>
        <v>16497.796538304894</v>
      </c>
      <c r="V330" s="5">
        <f t="shared" si="83"/>
        <v>21967.010055097802</v>
      </c>
      <c r="W330" s="5">
        <f t="shared" si="84"/>
        <v>19231.580445764157</v>
      </c>
      <c r="X330" s="6" t="str">
        <f t="shared" si="85"/>
        <v>n/a</v>
      </c>
      <c r="Y330" s="16">
        <f t="shared" si="86"/>
        <v>0.3121849787248363</v>
      </c>
      <c r="Z330" s="16">
        <f t="shared" si="87"/>
        <v>0.26364427182603806</v>
      </c>
      <c r="AA330" s="16">
        <f t="shared" si="88"/>
        <v>0.1980037130299461</v>
      </c>
      <c r="AB330" s="16">
        <f t="shared" si="89"/>
        <v>0.22616703641917962</v>
      </c>
      <c r="AC330" s="18" t="e">
        <f t="shared" si="90"/>
        <v>#VALUE!</v>
      </c>
      <c r="AD330" s="16">
        <f t="shared" si="91"/>
        <v>0.37874109075533585</v>
      </c>
      <c r="AE330" s="16">
        <f t="shared" si="92"/>
        <v>0.27011897959407211</v>
      </c>
      <c r="AF330" s="16">
        <f t="shared" si="93"/>
        <v>0.15235793908007089</v>
      </c>
      <c r="AG330" s="16">
        <f t="shared" si="94"/>
        <v>0.19878199057052104</v>
      </c>
      <c r="AH330" s="16" t="e">
        <f t="shared" si="95"/>
        <v>#VALUE!</v>
      </c>
    </row>
    <row r="331" spans="1:34" x14ac:dyDescent="0.25">
      <c r="A331" s="12">
        <v>24226</v>
      </c>
      <c r="B331" s="13">
        <v>44.512276700000001</v>
      </c>
      <c r="C331" s="12">
        <v>89.494091699999998</v>
      </c>
      <c r="D331" s="14">
        <v>2</v>
      </c>
      <c r="E331" s="13" t="s">
        <v>42</v>
      </c>
      <c r="F331" s="13">
        <v>44.482399999999998</v>
      </c>
      <c r="G331" s="12">
        <v>89.479780000000005</v>
      </c>
      <c r="H331" s="13" t="s">
        <v>39</v>
      </c>
      <c r="I331" s="13">
        <v>44.513800000000003</v>
      </c>
      <c r="J331" s="12">
        <v>89.538499999999999</v>
      </c>
      <c r="T331" s="5">
        <f t="shared" si="81"/>
        <v>11518.071808413104</v>
      </c>
      <c r="U331" s="5">
        <f t="shared" si="82"/>
        <v>11565.940438664235</v>
      </c>
      <c r="V331" s="5" t="str">
        <f t="shared" si="83"/>
        <v>n/a</v>
      </c>
      <c r="W331" s="5" t="str">
        <f t="shared" si="84"/>
        <v>n/a</v>
      </c>
      <c r="X331" s="6" t="str">
        <f t="shared" si="85"/>
        <v>n/a</v>
      </c>
      <c r="Y331" s="16">
        <f t="shared" si="86"/>
        <v>0.50103683514240882</v>
      </c>
      <c r="Z331" s="16">
        <f t="shared" si="87"/>
        <v>0.49896316485759123</v>
      </c>
      <c r="AA331" s="16" t="e">
        <f t="shared" si="88"/>
        <v>#VALUE!</v>
      </c>
      <c r="AB331" s="16" t="e">
        <f t="shared" si="89"/>
        <v>#VALUE!</v>
      </c>
      <c r="AC331" s="18" t="e">
        <f t="shared" si="90"/>
        <v>#VALUE!</v>
      </c>
      <c r="AD331" s="16">
        <f t="shared" si="91"/>
        <v>0.50207366136784881</v>
      </c>
      <c r="AE331" s="16">
        <f t="shared" si="92"/>
        <v>0.49792633863215113</v>
      </c>
      <c r="AF331" s="16" t="e">
        <f t="shared" si="93"/>
        <v>#VALUE!</v>
      </c>
      <c r="AG331" s="16" t="e">
        <f t="shared" si="94"/>
        <v>#VALUE!</v>
      </c>
      <c r="AH331" s="16" t="e">
        <f t="shared" si="95"/>
        <v>#VALUE!</v>
      </c>
    </row>
    <row r="332" spans="1:34" x14ac:dyDescent="0.25">
      <c r="A332" s="12">
        <v>24227</v>
      </c>
      <c r="B332" s="13">
        <v>44.430534999999999</v>
      </c>
      <c r="C332" s="12">
        <v>89.471761700000002</v>
      </c>
      <c r="D332" s="14">
        <v>3</v>
      </c>
      <c r="E332" s="13" t="s">
        <v>42</v>
      </c>
      <c r="F332" s="13">
        <v>44.46781</v>
      </c>
      <c r="G332" s="12">
        <v>89.486840000000001</v>
      </c>
      <c r="H332" s="13" t="s">
        <v>44</v>
      </c>
      <c r="I332" s="13">
        <v>44.400329999999997</v>
      </c>
      <c r="J332" s="12">
        <v>89.480329999999995</v>
      </c>
      <c r="K332" s="13" t="s">
        <v>43</v>
      </c>
      <c r="L332" s="13">
        <v>44.436689999999999</v>
      </c>
      <c r="M332" s="12">
        <v>89.376050000000006</v>
      </c>
      <c r="T332" s="5">
        <f t="shared" si="81"/>
        <v>14154.023802739939</v>
      </c>
      <c r="U332" s="5">
        <f t="shared" si="82"/>
        <v>11243.0939083514</v>
      </c>
      <c r="V332" s="5">
        <f t="shared" si="83"/>
        <v>25033.702835730022</v>
      </c>
      <c r="W332" s="5" t="str">
        <f t="shared" si="84"/>
        <v>n/a</v>
      </c>
      <c r="X332" s="6" t="str">
        <f t="shared" si="85"/>
        <v>n/a</v>
      </c>
      <c r="Y332" s="16">
        <f t="shared" si="86"/>
        <v>0.35406915853722332</v>
      </c>
      <c r="Z332" s="16">
        <f t="shared" si="87"/>
        <v>0.44574058872081485</v>
      </c>
      <c r="AA332" s="16">
        <f t="shared" si="88"/>
        <v>0.20019025274196187</v>
      </c>
      <c r="AB332" s="16" t="e">
        <f t="shared" si="89"/>
        <v>#VALUE!</v>
      </c>
      <c r="AC332" s="18" t="e">
        <f t="shared" si="90"/>
        <v>#VALUE!</v>
      </c>
      <c r="AD332" s="16">
        <f t="shared" si="91"/>
        <v>0.34429028742890699</v>
      </c>
      <c r="AE332" s="16">
        <f t="shared" si="92"/>
        <v>0.54564846552041457</v>
      </c>
      <c r="AF332" s="16">
        <f t="shared" si="93"/>
        <v>0.11006124705067848</v>
      </c>
      <c r="AG332" s="16" t="e">
        <f t="shared" si="94"/>
        <v>#VALUE!</v>
      </c>
      <c r="AH332" s="16" t="e">
        <f t="shared" si="95"/>
        <v>#VALUE!</v>
      </c>
    </row>
    <row r="333" spans="1:34" x14ac:dyDescent="0.25">
      <c r="A333" s="12">
        <v>24228</v>
      </c>
      <c r="B333" s="13">
        <v>44.51</v>
      </c>
      <c r="C333" s="12">
        <v>89.496499999999997</v>
      </c>
      <c r="D333" s="13">
        <v>0</v>
      </c>
      <c r="T333" s="5">
        <f t="shared" si="81"/>
        <v>32702158.790920991</v>
      </c>
      <c r="U333" s="5">
        <f t="shared" si="82"/>
        <v>32702158.790920991</v>
      </c>
      <c r="V333" s="5" t="str">
        <f t="shared" si="83"/>
        <v>n/a</v>
      </c>
      <c r="W333" s="5" t="str">
        <f t="shared" si="84"/>
        <v>n/a</v>
      </c>
      <c r="X333" s="6" t="str">
        <f t="shared" si="85"/>
        <v>n/a</v>
      </c>
      <c r="Y333" s="16" t="str">
        <f t="shared" si="86"/>
        <v>error</v>
      </c>
      <c r="Z333" s="16" t="str">
        <f t="shared" si="87"/>
        <v>error</v>
      </c>
      <c r="AA333" s="16" t="str">
        <f t="shared" si="88"/>
        <v>error</v>
      </c>
      <c r="AB333" s="16" t="str">
        <f t="shared" si="89"/>
        <v>error</v>
      </c>
      <c r="AC333" s="18" t="str">
        <f t="shared" si="90"/>
        <v>error</v>
      </c>
      <c r="AD333" s="16" t="str">
        <f t="shared" si="91"/>
        <v>error</v>
      </c>
      <c r="AE333" s="16" t="str">
        <f t="shared" si="92"/>
        <v>error</v>
      </c>
      <c r="AF333" s="16" t="str">
        <f t="shared" si="93"/>
        <v>error</v>
      </c>
      <c r="AG333" s="16" t="str">
        <f t="shared" si="94"/>
        <v>error</v>
      </c>
      <c r="AH333" s="16" t="str">
        <f t="shared" si="95"/>
        <v>error</v>
      </c>
    </row>
    <row r="334" spans="1:34" x14ac:dyDescent="0.25">
      <c r="A334" s="12">
        <v>24239</v>
      </c>
      <c r="B334" s="13">
        <v>44.476295</v>
      </c>
      <c r="C334" s="12">
        <v>89.498097000000001</v>
      </c>
      <c r="D334" s="14">
        <v>2</v>
      </c>
      <c r="E334" s="13" t="s">
        <v>42</v>
      </c>
      <c r="F334" s="13">
        <v>44.469279999999998</v>
      </c>
      <c r="G334" s="12">
        <v>89.497129999999999</v>
      </c>
      <c r="H334" s="13" t="s">
        <v>39</v>
      </c>
      <c r="I334" s="13">
        <v>44.495849999999997</v>
      </c>
      <c r="J334" s="12">
        <v>89.549909999999997</v>
      </c>
      <c r="T334" s="5">
        <f t="shared" si="81"/>
        <v>2571.5126471414137</v>
      </c>
      <c r="U334" s="5">
        <f t="shared" si="82"/>
        <v>15255.848727072769</v>
      </c>
      <c r="V334" s="5" t="str">
        <f t="shared" si="83"/>
        <v>n/a</v>
      </c>
      <c r="W334" s="5" t="str">
        <f t="shared" si="84"/>
        <v>n/a</v>
      </c>
      <c r="X334" s="6" t="str">
        <f t="shared" si="85"/>
        <v>n/a</v>
      </c>
      <c r="Y334" s="16">
        <f t="shared" si="86"/>
        <v>0.85575472482086457</v>
      </c>
      <c r="Z334" s="16">
        <f t="shared" si="87"/>
        <v>0.14424527517913535</v>
      </c>
      <c r="AA334" s="16" t="e">
        <f t="shared" si="88"/>
        <v>#VALUE!</v>
      </c>
      <c r="AB334" s="16" t="e">
        <f t="shared" si="89"/>
        <v>#VALUE!</v>
      </c>
      <c r="AC334" s="18" t="e">
        <f t="shared" si="90"/>
        <v>#VALUE!</v>
      </c>
      <c r="AD334" s="16">
        <f t="shared" si="91"/>
        <v>0.97237276832867381</v>
      </c>
      <c r="AE334" s="16">
        <f t="shared" si="92"/>
        <v>2.7627231671326288E-2</v>
      </c>
      <c r="AF334" s="16" t="e">
        <f t="shared" si="93"/>
        <v>#VALUE!</v>
      </c>
      <c r="AG334" s="16" t="e">
        <f t="shared" si="94"/>
        <v>#VALUE!</v>
      </c>
      <c r="AH334" s="16" t="e">
        <f t="shared" si="95"/>
        <v>#VALUE!</v>
      </c>
    </row>
    <row r="335" spans="1:34" x14ac:dyDescent="0.25">
      <c r="A335" s="12">
        <v>24240</v>
      </c>
      <c r="B335" s="13">
        <v>44.441782600000003</v>
      </c>
      <c r="C335" s="12">
        <v>89.423746399999999</v>
      </c>
      <c r="D335" s="14">
        <v>3</v>
      </c>
      <c r="E335" s="13" t="s">
        <v>42</v>
      </c>
      <c r="F335" s="13">
        <v>44.469250000000002</v>
      </c>
      <c r="G335" s="12">
        <v>89.483339999999998</v>
      </c>
      <c r="H335" s="13" t="s">
        <v>44</v>
      </c>
      <c r="I335" s="13">
        <v>44.400100000000002</v>
      </c>
      <c r="J335" s="12">
        <v>89.480699999999999</v>
      </c>
      <c r="K335" s="13" t="s">
        <v>43</v>
      </c>
      <c r="L335" s="13">
        <v>44.436549999999997</v>
      </c>
      <c r="M335" s="12">
        <v>89.375739999999993</v>
      </c>
      <c r="T335" s="5">
        <f t="shared" si="81"/>
        <v>18472.29445430846</v>
      </c>
      <c r="U335" s="5">
        <f t="shared" si="82"/>
        <v>21247.251366270491</v>
      </c>
      <c r="V335" s="5">
        <f t="shared" si="83"/>
        <v>12649.296635660872</v>
      </c>
      <c r="W335" s="5" t="str">
        <f t="shared" si="84"/>
        <v>n/a</v>
      </c>
      <c r="X335" s="6" t="str">
        <f t="shared" si="85"/>
        <v>n/a</v>
      </c>
      <c r="Y335" s="16">
        <f t="shared" si="86"/>
        <v>0.30032388175200392</v>
      </c>
      <c r="Z335" s="16">
        <f t="shared" si="87"/>
        <v>0.26110065155019196</v>
      </c>
      <c r="AA335" s="16">
        <f t="shared" si="88"/>
        <v>0.43857546669780417</v>
      </c>
      <c r="AB335" s="16" t="e">
        <f t="shared" si="89"/>
        <v>#VALUE!</v>
      </c>
      <c r="AC335" s="18" t="e">
        <f t="shared" si="90"/>
        <v>#VALUE!</v>
      </c>
      <c r="AD335" s="16">
        <f t="shared" si="91"/>
        <v>0.25717197066417363</v>
      </c>
      <c r="AE335" s="16">
        <f t="shared" si="92"/>
        <v>0.19438368305500145</v>
      </c>
      <c r="AF335" s="16">
        <f t="shared" si="93"/>
        <v>0.54844434628082483</v>
      </c>
      <c r="AG335" s="16" t="e">
        <f t="shared" si="94"/>
        <v>#VALUE!</v>
      </c>
      <c r="AH335" s="16" t="e">
        <f t="shared" si="95"/>
        <v>#VALUE!</v>
      </c>
    </row>
    <row r="336" spans="1:34" x14ac:dyDescent="0.25">
      <c r="A336" s="12">
        <v>24243</v>
      </c>
      <c r="B336" s="13">
        <v>44.516017599999998</v>
      </c>
      <c r="C336" s="12">
        <v>89.534424700000002</v>
      </c>
      <c r="D336" s="13">
        <v>0</v>
      </c>
      <c r="T336" s="5">
        <f t="shared" si="81"/>
        <v>32712037.546337441</v>
      </c>
      <c r="U336" s="5">
        <f t="shared" si="82"/>
        <v>32712037.546337441</v>
      </c>
      <c r="V336" s="5" t="str">
        <f t="shared" si="83"/>
        <v>n/a</v>
      </c>
      <c r="W336" s="5" t="str">
        <f t="shared" si="84"/>
        <v>n/a</v>
      </c>
      <c r="X336" s="6" t="str">
        <f t="shared" si="85"/>
        <v>n/a</v>
      </c>
      <c r="Y336" s="16" t="str">
        <f t="shared" si="86"/>
        <v>error</v>
      </c>
      <c r="Z336" s="16" t="str">
        <f t="shared" si="87"/>
        <v>error</v>
      </c>
      <c r="AA336" s="16" t="str">
        <f t="shared" si="88"/>
        <v>error</v>
      </c>
      <c r="AB336" s="16" t="str">
        <f t="shared" si="89"/>
        <v>error</v>
      </c>
      <c r="AC336" s="18" t="str">
        <f t="shared" si="90"/>
        <v>error</v>
      </c>
      <c r="AD336" s="16" t="str">
        <f t="shared" si="91"/>
        <v>error</v>
      </c>
      <c r="AE336" s="16" t="str">
        <f t="shared" si="92"/>
        <v>error</v>
      </c>
      <c r="AF336" s="16" t="str">
        <f t="shared" si="93"/>
        <v>error</v>
      </c>
      <c r="AG336" s="16" t="str">
        <f t="shared" si="94"/>
        <v>error</v>
      </c>
      <c r="AH336" s="16" t="str">
        <f t="shared" si="95"/>
        <v>error</v>
      </c>
    </row>
    <row r="337" spans="1:34" x14ac:dyDescent="0.25">
      <c r="A337" s="12">
        <v>24244</v>
      </c>
      <c r="B337" s="13">
        <v>44.442559000000003</v>
      </c>
      <c r="C337" s="12">
        <v>89.609099999999998</v>
      </c>
      <c r="D337" s="14">
        <v>0</v>
      </c>
      <c r="T337" s="5">
        <f t="shared" si="81"/>
        <v>32731334.563634492</v>
      </c>
      <c r="U337" s="5">
        <f t="shared" si="82"/>
        <v>32731334.563634492</v>
      </c>
      <c r="V337" s="5" t="str">
        <f t="shared" si="83"/>
        <v>n/a</v>
      </c>
      <c r="W337" s="5" t="str">
        <f t="shared" si="84"/>
        <v>n/a</v>
      </c>
      <c r="X337" s="6" t="str">
        <f t="shared" si="85"/>
        <v>n/a</v>
      </c>
      <c r="Y337" s="16" t="str">
        <f t="shared" si="86"/>
        <v>error</v>
      </c>
      <c r="Z337" s="16" t="str">
        <f t="shared" si="87"/>
        <v>error</v>
      </c>
      <c r="AA337" s="16" t="str">
        <f t="shared" si="88"/>
        <v>error</v>
      </c>
      <c r="AB337" s="16" t="str">
        <f t="shared" si="89"/>
        <v>error</v>
      </c>
      <c r="AC337" s="18" t="str">
        <f t="shared" si="90"/>
        <v>error</v>
      </c>
      <c r="AD337" s="16" t="str">
        <f t="shared" si="91"/>
        <v>error</v>
      </c>
      <c r="AE337" s="16" t="str">
        <f t="shared" si="92"/>
        <v>error</v>
      </c>
      <c r="AF337" s="16" t="str">
        <f t="shared" si="93"/>
        <v>error</v>
      </c>
      <c r="AG337" s="16" t="str">
        <f t="shared" si="94"/>
        <v>error</v>
      </c>
      <c r="AH337" s="16" t="str">
        <f t="shared" si="95"/>
        <v>error</v>
      </c>
    </row>
    <row r="338" spans="1:34" x14ac:dyDescent="0.25">
      <c r="A338" s="12">
        <v>24247</v>
      </c>
      <c r="B338" s="13">
        <v>44.409390000000002</v>
      </c>
      <c r="C338" s="12">
        <v>89.477232000000001</v>
      </c>
      <c r="D338" s="14">
        <v>3</v>
      </c>
      <c r="E338" s="13" t="s">
        <v>42</v>
      </c>
      <c r="F338" s="13">
        <v>44.468649999999997</v>
      </c>
      <c r="G338" s="12">
        <v>89.498069999999998</v>
      </c>
      <c r="H338" s="13" t="s">
        <v>44</v>
      </c>
      <c r="I338" s="13">
        <v>44.396560000000001</v>
      </c>
      <c r="J338" s="12">
        <v>89.494640000000004</v>
      </c>
      <c r="K338" s="13" t="s">
        <v>50</v>
      </c>
      <c r="L338" s="13">
        <v>44.41048</v>
      </c>
      <c r="M338" s="12">
        <v>89.549909999999997</v>
      </c>
      <c r="T338" s="5">
        <f t="shared" si="81"/>
        <v>22289.760035841482</v>
      </c>
      <c r="U338" s="5">
        <f t="shared" si="82"/>
        <v>6518.6799656257226</v>
      </c>
      <c r="V338" s="5">
        <f t="shared" si="83"/>
        <v>18944.38562460263</v>
      </c>
      <c r="W338" s="5" t="str">
        <f t="shared" si="84"/>
        <v>n/a</v>
      </c>
      <c r="X338" s="6" t="str">
        <f t="shared" si="85"/>
        <v>n/a</v>
      </c>
      <c r="Y338" s="16">
        <f t="shared" si="86"/>
        <v>0.17870046429806577</v>
      </c>
      <c r="Z338" s="16">
        <f t="shared" si="87"/>
        <v>0.61104249456968107</v>
      </c>
      <c r="AA338" s="16">
        <f t="shared" si="88"/>
        <v>0.21025704113225333</v>
      </c>
      <c r="AB338" s="16" t="e">
        <f t="shared" si="89"/>
        <v>#VALUE!</v>
      </c>
      <c r="AC338" s="18" t="e">
        <f t="shared" si="90"/>
        <v>#VALUE!</v>
      </c>
      <c r="AD338" s="16">
        <f t="shared" si="91"/>
        <v>7.1040720502606694E-2</v>
      </c>
      <c r="AE338" s="16">
        <f t="shared" si="92"/>
        <v>0.83061319074629525</v>
      </c>
      <c r="AF338" s="16">
        <f t="shared" si="93"/>
        <v>9.8346088751098112E-2</v>
      </c>
      <c r="AG338" s="16" t="e">
        <f t="shared" si="94"/>
        <v>#VALUE!</v>
      </c>
      <c r="AH338" s="16" t="e">
        <f t="shared" si="95"/>
        <v>#VALUE!</v>
      </c>
    </row>
    <row r="339" spans="1:34" x14ac:dyDescent="0.25">
      <c r="A339" s="12">
        <v>24249</v>
      </c>
      <c r="B339" s="13">
        <v>44.418798000000002</v>
      </c>
      <c r="C339" s="12">
        <v>89.431666000000007</v>
      </c>
      <c r="D339" s="14">
        <v>5</v>
      </c>
      <c r="E339" s="13" t="s">
        <v>42</v>
      </c>
      <c r="F339" s="13">
        <v>44.467849999999999</v>
      </c>
      <c r="G339" s="12">
        <v>89.487679999999997</v>
      </c>
      <c r="H339" s="13" t="s">
        <v>44</v>
      </c>
      <c r="I339" s="13">
        <v>44.400129999999997</v>
      </c>
      <c r="J339" s="12">
        <v>89.480549999999994</v>
      </c>
      <c r="K339" s="13" t="s">
        <v>51</v>
      </c>
      <c r="L339" s="13">
        <v>44.37968</v>
      </c>
      <c r="M339" s="12">
        <v>89.436890000000005</v>
      </c>
      <c r="N339" s="13" t="s">
        <v>46</v>
      </c>
      <c r="O339" s="13">
        <v>44.382379999999998</v>
      </c>
      <c r="P339" s="12">
        <v>89.367450000000005</v>
      </c>
      <c r="Q339" s="13" t="s">
        <v>43</v>
      </c>
      <c r="R339" s="13">
        <v>44.436579999999999</v>
      </c>
      <c r="S339" s="12">
        <v>89.376000000000005</v>
      </c>
      <c r="T339" s="5">
        <f t="shared" si="81"/>
        <v>23088.250892560136</v>
      </c>
      <c r="U339" s="5">
        <f t="shared" si="82"/>
        <v>14445.593303663632</v>
      </c>
      <c r="V339" s="5">
        <f t="shared" si="83"/>
        <v>14335.558954243297</v>
      </c>
      <c r="W339" s="5">
        <f t="shared" si="84"/>
        <v>21369.606743916716</v>
      </c>
      <c r="X339" s="6">
        <f t="shared" si="85"/>
        <v>15887.170983596252</v>
      </c>
      <c r="Y339" s="16">
        <f t="shared" si="86"/>
        <v>0.14831212881505096</v>
      </c>
      <c r="Z339" s="16">
        <f t="shared" si="87"/>
        <v>0.23704582902961455</v>
      </c>
      <c r="AA339" s="16">
        <f t="shared" si="88"/>
        <v>0.23886530350307808</v>
      </c>
      <c r="AB339" s="16">
        <f t="shared" si="89"/>
        <v>0.16024008684513485</v>
      </c>
      <c r="AC339" s="18">
        <f t="shared" si="90"/>
        <v>0.21553665180712178</v>
      </c>
      <c r="AD339" s="16">
        <f t="shared" si="91"/>
        <v>0.10607015695234646</v>
      </c>
      <c r="AE339" s="16">
        <f t="shared" si="92"/>
        <v>0.27095957988194813</v>
      </c>
      <c r="AF339" s="16">
        <f t="shared" si="93"/>
        <v>0.27513511081273967</v>
      </c>
      <c r="AG339" s="16">
        <f t="shared" si="94"/>
        <v>0.12381755319757436</v>
      </c>
      <c r="AH339" s="16">
        <f t="shared" si="95"/>
        <v>0.22401759915539152</v>
      </c>
    </row>
    <row r="340" spans="1:34" x14ac:dyDescent="0.25">
      <c r="A340" s="12">
        <v>24252</v>
      </c>
      <c r="B340" s="13">
        <v>44.432000000000002</v>
      </c>
      <c r="C340" s="12">
        <v>89.538666699999993</v>
      </c>
      <c r="D340" s="14">
        <v>4</v>
      </c>
      <c r="E340" s="13" t="s">
        <v>42</v>
      </c>
      <c r="F340" s="13">
        <v>44.470410000000001</v>
      </c>
      <c r="G340" s="12">
        <v>89.511759999999995</v>
      </c>
      <c r="H340" s="13" t="s">
        <v>44</v>
      </c>
      <c r="I340" s="13">
        <v>44.388379999999998</v>
      </c>
      <c r="J340" s="12">
        <v>89.530510000000007</v>
      </c>
      <c r="K340" s="13" t="s">
        <v>48</v>
      </c>
      <c r="L340" s="13">
        <v>44.462609999999998</v>
      </c>
      <c r="M340" s="12">
        <v>89.562640000000002</v>
      </c>
      <c r="N340" s="13" t="s">
        <v>49</v>
      </c>
      <c r="O340" s="13">
        <v>44.434800000000003</v>
      </c>
      <c r="P340" s="12">
        <v>89.563079999999999</v>
      </c>
      <c r="T340" s="5">
        <f t="shared" si="81"/>
        <v>15666.774191242084</v>
      </c>
      <c r="U340" s="5">
        <f t="shared" si="82"/>
        <v>16054.47665318522</v>
      </c>
      <c r="V340" s="5">
        <f t="shared" si="83"/>
        <v>12793.82884438494</v>
      </c>
      <c r="W340" s="5">
        <f t="shared" si="84"/>
        <v>6441.1736176320001</v>
      </c>
      <c r="X340" s="6" t="str">
        <f t="shared" si="85"/>
        <v>n/a</v>
      </c>
      <c r="Y340" s="16">
        <f t="shared" si="86"/>
        <v>0.17753495436638206</v>
      </c>
      <c r="Z340" s="16">
        <f t="shared" si="87"/>
        <v>0.17324763062636137</v>
      </c>
      <c r="AA340" s="16">
        <f t="shared" si="88"/>
        <v>0.21740169224878284</v>
      </c>
      <c r="AB340" s="16">
        <f t="shared" si="89"/>
        <v>0.43181572275847374</v>
      </c>
      <c r="AC340" s="18" t="e">
        <f t="shared" si="90"/>
        <v>#VALUE!</v>
      </c>
      <c r="AD340" s="16">
        <f t="shared" si="91"/>
        <v>0.10674821129935569</v>
      </c>
      <c r="AE340" s="16">
        <f t="shared" si="92"/>
        <v>0.10165470129116906</v>
      </c>
      <c r="AF340" s="16">
        <f t="shared" si="93"/>
        <v>0.16007322748229189</v>
      </c>
      <c r="AG340" s="16">
        <f t="shared" si="94"/>
        <v>0.6315238599271833</v>
      </c>
      <c r="AH340" s="16" t="e">
        <f t="shared" si="95"/>
        <v>#VALUE!</v>
      </c>
    </row>
    <row r="341" spans="1:34" x14ac:dyDescent="0.25">
      <c r="A341" s="12">
        <v>24253</v>
      </c>
      <c r="B341" s="13">
        <v>44.413781999999998</v>
      </c>
      <c r="C341" s="12">
        <v>89.433199999999999</v>
      </c>
      <c r="D341" s="14">
        <v>5</v>
      </c>
      <c r="E341" s="13" t="s">
        <v>42</v>
      </c>
      <c r="F341" s="13">
        <v>44.467849999999999</v>
      </c>
      <c r="G341" s="12">
        <v>89.487679999999997</v>
      </c>
      <c r="H341" s="13" t="s">
        <v>44</v>
      </c>
      <c r="I341" s="13">
        <v>44.400129999999997</v>
      </c>
      <c r="J341" s="12">
        <v>89.480549999999994</v>
      </c>
      <c r="K341" s="13" t="s">
        <v>51</v>
      </c>
      <c r="L341" s="13">
        <v>44.37968</v>
      </c>
      <c r="M341" s="12">
        <v>89.436890000000005</v>
      </c>
      <c r="N341" s="13" t="s">
        <v>46</v>
      </c>
      <c r="O341" s="13">
        <v>44.382379999999998</v>
      </c>
      <c r="P341" s="12">
        <v>89.367450000000005</v>
      </c>
      <c r="Q341" s="13" t="s">
        <v>43</v>
      </c>
      <c r="R341" s="13">
        <v>44.436579999999999</v>
      </c>
      <c r="S341" s="12">
        <v>89.376000000000005</v>
      </c>
      <c r="T341" s="5">
        <f t="shared" si="81"/>
        <v>24298.689208697044</v>
      </c>
      <c r="U341" s="5">
        <f t="shared" si="82"/>
        <v>13307.381376671969</v>
      </c>
      <c r="V341" s="5">
        <f t="shared" si="83"/>
        <v>12477.971045017215</v>
      </c>
      <c r="W341" s="5">
        <f t="shared" si="84"/>
        <v>20614.435172363079</v>
      </c>
      <c r="X341" s="6">
        <f t="shared" si="85"/>
        <v>17066.419063458641</v>
      </c>
      <c r="Y341" s="16">
        <f t="shared" si="86"/>
        <v>0.13557894197370055</v>
      </c>
      <c r="Z341" s="16">
        <f t="shared" si="87"/>
        <v>0.24756114527821635</v>
      </c>
      <c r="AA341" s="16">
        <f t="shared" si="88"/>
        <v>0.26401652659536001</v>
      </c>
      <c r="AB341" s="16">
        <f t="shared" si="89"/>
        <v>0.15980988791192172</v>
      </c>
      <c r="AC341" s="18">
        <f t="shared" si="90"/>
        <v>0.19303349824080124</v>
      </c>
      <c r="AD341" s="16">
        <f t="shared" si="91"/>
        <v>8.6634776477673939E-2</v>
      </c>
      <c r="AE341" s="16">
        <f t="shared" si="92"/>
        <v>0.28885024794951869</v>
      </c>
      <c r="AF341" s="16">
        <f t="shared" si="93"/>
        <v>0.32852619573532499</v>
      </c>
      <c r="AG341" s="16">
        <f t="shared" si="94"/>
        <v>0.12036911629642201</v>
      </c>
      <c r="AH341" s="16">
        <f t="shared" si="95"/>
        <v>0.1756196635410604</v>
      </c>
    </row>
    <row r="342" spans="1:34" x14ac:dyDescent="0.25">
      <c r="A342" s="12">
        <v>24256</v>
      </c>
      <c r="B342" s="13">
        <v>44.408860500000003</v>
      </c>
      <c r="C342" s="12">
        <v>89.505525500000005</v>
      </c>
      <c r="D342" s="14">
        <v>4</v>
      </c>
      <c r="E342" s="13" t="s">
        <v>42</v>
      </c>
      <c r="F342" s="13">
        <v>44.470410000000001</v>
      </c>
      <c r="G342" s="12">
        <v>89.511759999999995</v>
      </c>
      <c r="H342" s="13" t="s">
        <v>44</v>
      </c>
      <c r="I342" s="13">
        <v>44.388379999999998</v>
      </c>
      <c r="J342" s="12">
        <v>89.530510000000007</v>
      </c>
      <c r="K342" s="13" t="s">
        <v>48</v>
      </c>
      <c r="L342" s="13">
        <v>44.462609999999998</v>
      </c>
      <c r="M342" s="12">
        <v>89.562640000000002</v>
      </c>
      <c r="N342" s="13" t="s">
        <v>49</v>
      </c>
      <c r="O342" s="13">
        <v>44.41066</v>
      </c>
      <c r="P342" s="12">
        <v>89.569760000000002</v>
      </c>
      <c r="T342" s="5">
        <f t="shared" si="81"/>
        <v>22512.687886171621</v>
      </c>
      <c r="U342" s="5">
        <f t="shared" si="82"/>
        <v>9911.331407797461</v>
      </c>
      <c r="V342" s="5">
        <f t="shared" si="83"/>
        <v>24613.819067268934</v>
      </c>
      <c r="W342" s="5">
        <f t="shared" si="84"/>
        <v>16752.715641323688</v>
      </c>
      <c r="X342" s="6" t="str">
        <f t="shared" si="85"/>
        <v>n/a</v>
      </c>
      <c r="Y342" s="16">
        <f t="shared" si="86"/>
        <v>0.18083613094913245</v>
      </c>
      <c r="Z342" s="16">
        <f t="shared" si="87"/>
        <v>0.41075282493307108</v>
      </c>
      <c r="AA342" s="16">
        <f t="shared" si="88"/>
        <v>0.16539925655073873</v>
      </c>
      <c r="AB342" s="16">
        <f t="shared" si="89"/>
        <v>0.24301178756705782</v>
      </c>
      <c r="AC342" s="18" t="e">
        <f t="shared" si="90"/>
        <v>#VALUE!</v>
      </c>
      <c r="AD342" s="16">
        <f t="shared" si="91"/>
        <v>0.11361416890968569</v>
      </c>
      <c r="AE342" s="16">
        <f t="shared" si="92"/>
        <v>0.58616947777735007</v>
      </c>
      <c r="AF342" s="16">
        <f t="shared" si="93"/>
        <v>9.5044981179986512E-2</v>
      </c>
      <c r="AG342" s="16">
        <f t="shared" si="94"/>
        <v>0.2051713721329779</v>
      </c>
      <c r="AH342" s="16" t="e">
        <f t="shared" si="95"/>
        <v>#VALUE!</v>
      </c>
    </row>
    <row r="343" spans="1:34" x14ac:dyDescent="0.25">
      <c r="A343" s="12">
        <v>24257</v>
      </c>
      <c r="B343" s="13">
        <v>44.408270999999999</v>
      </c>
      <c r="C343" s="12">
        <v>89.670383700000002</v>
      </c>
      <c r="D343" s="14">
        <v>0</v>
      </c>
      <c r="T343" s="5">
        <f t="shared" si="81"/>
        <v>32747245.932947438</v>
      </c>
      <c r="U343" s="5">
        <f t="shared" si="82"/>
        <v>32747245.932947438</v>
      </c>
      <c r="V343" s="5" t="str">
        <f t="shared" si="83"/>
        <v>n/a</v>
      </c>
      <c r="W343" s="5" t="str">
        <f t="shared" si="84"/>
        <v>n/a</v>
      </c>
      <c r="X343" s="6" t="str">
        <f t="shared" si="85"/>
        <v>n/a</v>
      </c>
      <c r="Y343" s="16" t="str">
        <f t="shared" si="86"/>
        <v>error</v>
      </c>
      <c r="Z343" s="16" t="str">
        <f t="shared" si="87"/>
        <v>error</v>
      </c>
      <c r="AA343" s="16" t="str">
        <f t="shared" si="88"/>
        <v>error</v>
      </c>
      <c r="AB343" s="16" t="str">
        <f t="shared" si="89"/>
        <v>error</v>
      </c>
      <c r="AC343" s="18" t="str">
        <f t="shared" si="90"/>
        <v>error</v>
      </c>
      <c r="AD343" s="16" t="str">
        <f t="shared" si="91"/>
        <v>error</v>
      </c>
      <c r="AE343" s="16" t="str">
        <f t="shared" si="92"/>
        <v>error</v>
      </c>
      <c r="AF343" s="16" t="str">
        <f t="shared" si="93"/>
        <v>error</v>
      </c>
      <c r="AG343" s="16" t="str">
        <f t="shared" si="94"/>
        <v>error</v>
      </c>
      <c r="AH343" s="16" t="str">
        <f t="shared" si="95"/>
        <v>error</v>
      </c>
    </row>
    <row r="344" spans="1:34" x14ac:dyDescent="0.25">
      <c r="A344" s="12">
        <v>24259</v>
      </c>
      <c r="B344" s="13">
        <v>44.440900399999997</v>
      </c>
      <c r="C344" s="12">
        <v>89.576733099999998</v>
      </c>
      <c r="D344" s="14">
        <v>0</v>
      </c>
      <c r="T344" s="5">
        <f t="shared" si="81"/>
        <v>32722901.285314903</v>
      </c>
      <c r="U344" s="5">
        <f t="shared" si="82"/>
        <v>32722901.285314903</v>
      </c>
      <c r="V344" s="5" t="str">
        <f t="shared" si="83"/>
        <v>n/a</v>
      </c>
      <c r="W344" s="5" t="str">
        <f t="shared" si="84"/>
        <v>n/a</v>
      </c>
      <c r="X344" s="6" t="str">
        <f t="shared" si="85"/>
        <v>n/a</v>
      </c>
      <c r="Y344" s="16" t="str">
        <f t="shared" si="86"/>
        <v>error</v>
      </c>
      <c r="Z344" s="16" t="str">
        <f t="shared" si="87"/>
        <v>error</v>
      </c>
      <c r="AA344" s="16" t="str">
        <f t="shared" si="88"/>
        <v>error</v>
      </c>
      <c r="AB344" s="16" t="str">
        <f t="shared" si="89"/>
        <v>error</v>
      </c>
      <c r="AC344" s="18" t="str">
        <f t="shared" si="90"/>
        <v>error</v>
      </c>
      <c r="AD344" s="16" t="str">
        <f t="shared" si="91"/>
        <v>error</v>
      </c>
      <c r="AE344" s="16" t="str">
        <f t="shared" si="92"/>
        <v>error</v>
      </c>
      <c r="AF344" s="16" t="str">
        <f t="shared" si="93"/>
        <v>error</v>
      </c>
      <c r="AG344" s="16" t="str">
        <f t="shared" si="94"/>
        <v>error</v>
      </c>
      <c r="AH344" s="16" t="str">
        <f t="shared" si="95"/>
        <v>error</v>
      </c>
    </row>
    <row r="345" spans="1:34" x14ac:dyDescent="0.25">
      <c r="A345" s="12">
        <v>24260</v>
      </c>
      <c r="B345" s="13">
        <v>44.413766699999996</v>
      </c>
      <c r="C345" s="12">
        <v>89.543533300000007</v>
      </c>
      <c r="D345" s="13">
        <v>0</v>
      </c>
      <c r="T345" s="5">
        <f t="shared" si="81"/>
        <v>32714198.771816563</v>
      </c>
      <c r="U345" s="5">
        <f t="shared" si="82"/>
        <v>32714198.771816563</v>
      </c>
      <c r="V345" s="5" t="str">
        <f t="shared" si="83"/>
        <v>n/a</v>
      </c>
      <c r="W345" s="5" t="str">
        <f t="shared" si="84"/>
        <v>n/a</v>
      </c>
      <c r="X345" s="6" t="str">
        <f t="shared" si="85"/>
        <v>n/a</v>
      </c>
      <c r="Y345" s="16" t="str">
        <f t="shared" si="86"/>
        <v>error</v>
      </c>
      <c r="Z345" s="16" t="str">
        <f t="shared" si="87"/>
        <v>error</v>
      </c>
      <c r="AA345" s="16" t="str">
        <f t="shared" si="88"/>
        <v>error</v>
      </c>
      <c r="AB345" s="16" t="str">
        <f t="shared" si="89"/>
        <v>error</v>
      </c>
      <c r="AC345" s="18" t="str">
        <f t="shared" si="90"/>
        <v>error</v>
      </c>
      <c r="AD345" s="16" t="str">
        <f t="shared" si="91"/>
        <v>error</v>
      </c>
      <c r="AE345" s="16" t="str">
        <f t="shared" si="92"/>
        <v>error</v>
      </c>
      <c r="AF345" s="16" t="str">
        <f t="shared" si="93"/>
        <v>error</v>
      </c>
      <c r="AG345" s="16" t="str">
        <f t="shared" si="94"/>
        <v>error</v>
      </c>
      <c r="AH345" s="16" t="str">
        <f t="shared" si="95"/>
        <v>error</v>
      </c>
    </row>
    <row r="346" spans="1:34" x14ac:dyDescent="0.25">
      <c r="A346" s="12">
        <v>24261</v>
      </c>
      <c r="B346" s="13">
        <v>44.391830900000002</v>
      </c>
      <c r="C346" s="12">
        <v>89.611962000000005</v>
      </c>
      <c r="D346" s="14">
        <v>0</v>
      </c>
      <c r="T346" s="5">
        <f t="shared" si="81"/>
        <v>32731992.269971672</v>
      </c>
      <c r="U346" s="5">
        <f t="shared" si="82"/>
        <v>32731992.269971672</v>
      </c>
      <c r="V346" s="5" t="str">
        <f t="shared" si="83"/>
        <v>n/a</v>
      </c>
      <c r="W346" s="5" t="str">
        <f t="shared" si="84"/>
        <v>n/a</v>
      </c>
      <c r="X346" s="6" t="str">
        <f t="shared" si="85"/>
        <v>n/a</v>
      </c>
      <c r="Y346" s="16" t="str">
        <f t="shared" si="86"/>
        <v>error</v>
      </c>
      <c r="Z346" s="16" t="str">
        <f t="shared" si="87"/>
        <v>error</v>
      </c>
      <c r="AA346" s="16" t="str">
        <f t="shared" si="88"/>
        <v>error</v>
      </c>
      <c r="AB346" s="16" t="str">
        <f t="shared" si="89"/>
        <v>error</v>
      </c>
      <c r="AC346" s="18" t="str">
        <f t="shared" si="90"/>
        <v>error</v>
      </c>
      <c r="AD346" s="16" t="str">
        <f t="shared" si="91"/>
        <v>error</v>
      </c>
      <c r="AE346" s="16" t="str">
        <f t="shared" si="92"/>
        <v>error</v>
      </c>
      <c r="AF346" s="16" t="str">
        <f t="shared" si="93"/>
        <v>error</v>
      </c>
      <c r="AG346" s="16" t="str">
        <f t="shared" si="94"/>
        <v>error</v>
      </c>
      <c r="AH346" s="16" t="str">
        <f t="shared" si="95"/>
        <v>error</v>
      </c>
    </row>
    <row r="347" spans="1:34" x14ac:dyDescent="0.25">
      <c r="A347" s="12">
        <v>24263</v>
      </c>
      <c r="B347" s="13">
        <v>44.434508299999997</v>
      </c>
      <c r="C347" s="12">
        <v>89.6027883</v>
      </c>
      <c r="D347" s="14">
        <v>0</v>
      </c>
      <c r="T347" s="5">
        <f t="shared" si="81"/>
        <v>32729676.387326408</v>
      </c>
      <c r="U347" s="5">
        <f t="shared" si="82"/>
        <v>32729676.387326408</v>
      </c>
      <c r="V347" s="5" t="str">
        <f t="shared" si="83"/>
        <v>n/a</v>
      </c>
      <c r="W347" s="5" t="str">
        <f t="shared" si="84"/>
        <v>n/a</v>
      </c>
      <c r="X347" s="6" t="str">
        <f t="shared" si="85"/>
        <v>n/a</v>
      </c>
      <c r="Y347" s="16" t="str">
        <f t="shared" si="86"/>
        <v>error</v>
      </c>
      <c r="Z347" s="16" t="str">
        <f t="shared" si="87"/>
        <v>error</v>
      </c>
      <c r="AA347" s="16" t="str">
        <f t="shared" si="88"/>
        <v>error</v>
      </c>
      <c r="AB347" s="16" t="str">
        <f t="shared" si="89"/>
        <v>error</v>
      </c>
      <c r="AC347" s="18" t="str">
        <f t="shared" si="90"/>
        <v>error</v>
      </c>
      <c r="AD347" s="16" t="str">
        <f t="shared" si="91"/>
        <v>error</v>
      </c>
      <c r="AE347" s="16" t="str">
        <f t="shared" si="92"/>
        <v>error</v>
      </c>
      <c r="AF347" s="16" t="str">
        <f t="shared" si="93"/>
        <v>error</v>
      </c>
      <c r="AG347" s="16" t="str">
        <f t="shared" si="94"/>
        <v>error</v>
      </c>
      <c r="AH347" s="16" t="str">
        <f t="shared" si="95"/>
        <v>error</v>
      </c>
    </row>
    <row r="348" spans="1:34" x14ac:dyDescent="0.25">
      <c r="A348" s="12">
        <v>24264</v>
      </c>
      <c r="B348" s="13">
        <v>44.398670000000003</v>
      </c>
      <c r="C348" s="12">
        <v>89.606920000000002</v>
      </c>
      <c r="D348" s="14">
        <v>0</v>
      </c>
      <c r="T348" s="5">
        <f t="shared" si="81"/>
        <v>32730689.88563462</v>
      </c>
      <c r="U348" s="5">
        <f t="shared" si="82"/>
        <v>32730689.88563462</v>
      </c>
      <c r="V348" s="5" t="str">
        <f t="shared" si="83"/>
        <v>n/a</v>
      </c>
      <c r="W348" s="5" t="str">
        <f t="shared" si="84"/>
        <v>n/a</v>
      </c>
      <c r="X348" s="6" t="str">
        <f t="shared" si="85"/>
        <v>n/a</v>
      </c>
      <c r="Y348" s="16" t="str">
        <f t="shared" si="86"/>
        <v>error</v>
      </c>
      <c r="Z348" s="16" t="str">
        <f t="shared" si="87"/>
        <v>error</v>
      </c>
      <c r="AA348" s="16" t="str">
        <f t="shared" si="88"/>
        <v>error</v>
      </c>
      <c r="AB348" s="16" t="str">
        <f t="shared" si="89"/>
        <v>error</v>
      </c>
      <c r="AC348" s="18" t="str">
        <f t="shared" si="90"/>
        <v>error</v>
      </c>
      <c r="AD348" s="16" t="str">
        <f t="shared" si="91"/>
        <v>error</v>
      </c>
      <c r="AE348" s="16" t="str">
        <f t="shared" si="92"/>
        <v>error</v>
      </c>
      <c r="AF348" s="16" t="str">
        <f t="shared" si="93"/>
        <v>error</v>
      </c>
      <c r="AG348" s="16" t="str">
        <f t="shared" si="94"/>
        <v>error</v>
      </c>
      <c r="AH348" s="16" t="str">
        <f t="shared" si="95"/>
        <v>error</v>
      </c>
    </row>
    <row r="349" spans="1:34" x14ac:dyDescent="0.25">
      <c r="A349" s="12">
        <v>24265</v>
      </c>
      <c r="B349" s="13">
        <v>44.512245</v>
      </c>
      <c r="C349" s="12">
        <v>89.485166699999994</v>
      </c>
      <c r="D349" s="14">
        <v>4</v>
      </c>
      <c r="E349" s="13" t="s">
        <v>42</v>
      </c>
      <c r="F349" s="13">
        <v>44.482799999999997</v>
      </c>
      <c r="G349" s="12">
        <v>89.479529999999997</v>
      </c>
      <c r="H349" s="13" t="s">
        <v>39</v>
      </c>
      <c r="I349" s="13">
        <v>44.510959999999997</v>
      </c>
      <c r="J349" s="12">
        <v>89.539630000000002</v>
      </c>
      <c r="K349" s="13" t="s">
        <v>40</v>
      </c>
      <c r="L349" s="13">
        <v>44.550759999999997</v>
      </c>
      <c r="M349" s="12">
        <v>89.486729999999994</v>
      </c>
      <c r="N349" s="13" t="s">
        <v>41</v>
      </c>
      <c r="O349" s="13">
        <v>44.519669999999998</v>
      </c>
      <c r="P349" s="12">
        <v>89.338139999999996</v>
      </c>
      <c r="T349" s="5">
        <f t="shared" si="81"/>
        <v>10841.587093471286</v>
      </c>
      <c r="U349" s="5">
        <f t="shared" si="82"/>
        <v>14176.438668235834</v>
      </c>
      <c r="V349" s="5">
        <f t="shared" si="83"/>
        <v>14056.64368145829</v>
      </c>
      <c r="W349" s="5">
        <f t="shared" si="84"/>
        <v>38342.091348797847</v>
      </c>
      <c r="X349" s="6" t="str">
        <f t="shared" si="85"/>
        <v>n/a</v>
      </c>
      <c r="Y349" s="16">
        <f t="shared" si="86"/>
        <v>0.35476103092951122</v>
      </c>
      <c r="Z349" s="16">
        <f t="shared" si="87"/>
        <v>0.27130739279462407</v>
      </c>
      <c r="AA349" s="16">
        <f t="shared" si="88"/>
        <v>0.27361955679827971</v>
      </c>
      <c r="AB349" s="16">
        <f t="shared" si="89"/>
        <v>0.10031201947758508</v>
      </c>
      <c r="AC349" s="18" t="e">
        <f t="shared" si="90"/>
        <v>#VALUE!</v>
      </c>
      <c r="AD349" s="16">
        <f t="shared" si="91"/>
        <v>0.44253999519454873</v>
      </c>
      <c r="AE349" s="16">
        <f t="shared" si="92"/>
        <v>0.25882365514027122</v>
      </c>
      <c r="AF349" s="16">
        <f t="shared" si="93"/>
        <v>0.26325400101407409</v>
      </c>
      <c r="AG349" s="16">
        <f t="shared" si="94"/>
        <v>3.5382348651105996E-2</v>
      </c>
      <c r="AH349" s="16" t="e">
        <f t="shared" si="95"/>
        <v>#VALUE!</v>
      </c>
    </row>
    <row r="350" spans="1:34" x14ac:dyDescent="0.25">
      <c r="A350" s="12">
        <v>24266</v>
      </c>
      <c r="B350" s="13">
        <v>44.433945600000001</v>
      </c>
      <c r="C350" s="12">
        <v>89.521137699999997</v>
      </c>
      <c r="D350" s="14">
        <v>4</v>
      </c>
      <c r="E350" s="13" t="s">
        <v>42</v>
      </c>
      <c r="F350" s="13">
        <v>44.469799999999999</v>
      </c>
      <c r="G350" s="12">
        <v>89.511669999999995</v>
      </c>
      <c r="H350" s="13" t="s">
        <v>48</v>
      </c>
      <c r="I350" s="13">
        <v>44.462269999999997</v>
      </c>
      <c r="J350" s="12">
        <v>89.556250000000006</v>
      </c>
      <c r="K350" s="13" t="s">
        <v>50</v>
      </c>
      <c r="L350" s="13">
        <v>44.42971</v>
      </c>
      <c r="M350" s="12">
        <v>89.569090000000003</v>
      </c>
      <c r="N350" s="13" t="s">
        <v>44</v>
      </c>
      <c r="O350" s="13">
        <v>44.395130000000002</v>
      </c>
      <c r="P350" s="12">
        <v>89.512289999999993</v>
      </c>
      <c r="T350" s="5">
        <f t="shared" si="81"/>
        <v>13310.48777741204</v>
      </c>
      <c r="U350" s="5">
        <f t="shared" si="82"/>
        <v>13798.330885668114</v>
      </c>
      <c r="V350" s="5">
        <f t="shared" si="83"/>
        <v>12587.110459918928</v>
      </c>
      <c r="W350" s="5">
        <f t="shared" si="84"/>
        <v>14346.891878355425</v>
      </c>
      <c r="X350" s="6" t="str">
        <f t="shared" si="85"/>
        <v>n/a</v>
      </c>
      <c r="Y350" s="16">
        <f t="shared" si="86"/>
        <v>0.25317253454925542</v>
      </c>
      <c r="Z350" s="16">
        <f t="shared" si="87"/>
        <v>0.24422156234812772</v>
      </c>
      <c r="AA350" s="16">
        <f t="shared" si="88"/>
        <v>0.26772228125151426</v>
      </c>
      <c r="AB350" s="16">
        <f t="shared" si="89"/>
        <v>0.23488362185110268</v>
      </c>
      <c r="AC350" s="18" t="e">
        <f t="shared" si="90"/>
        <v>#VALUE!</v>
      </c>
      <c r="AD350" s="16">
        <f t="shared" si="91"/>
        <v>0.25578572688511708</v>
      </c>
      <c r="AE350" s="16">
        <f t="shared" si="92"/>
        <v>0.23801873258663755</v>
      </c>
      <c r="AF350" s="16">
        <f t="shared" si="93"/>
        <v>0.28603037916026242</v>
      </c>
      <c r="AG350" s="16">
        <f t="shared" si="94"/>
        <v>0.22016516136798298</v>
      </c>
      <c r="AH350" s="16" t="e">
        <f t="shared" si="95"/>
        <v>#VALUE!</v>
      </c>
    </row>
    <row r="351" spans="1:34" x14ac:dyDescent="0.25">
      <c r="A351" s="12">
        <v>24268</v>
      </c>
      <c r="B351" s="13">
        <v>44.373671000000002</v>
      </c>
      <c r="C351" s="12">
        <v>89.447541999999999</v>
      </c>
      <c r="D351" s="14">
        <v>0</v>
      </c>
      <c r="T351" s="5">
        <f t="shared" si="81"/>
        <v>32689086.453335773</v>
      </c>
      <c r="U351" s="5">
        <f t="shared" si="82"/>
        <v>32689086.453335773</v>
      </c>
      <c r="V351" s="5" t="str">
        <f t="shared" si="83"/>
        <v>n/a</v>
      </c>
      <c r="W351" s="5" t="str">
        <f t="shared" si="84"/>
        <v>n/a</v>
      </c>
      <c r="X351" s="6" t="str">
        <f t="shared" si="85"/>
        <v>n/a</v>
      </c>
      <c r="Y351" s="16" t="str">
        <f t="shared" si="86"/>
        <v>error</v>
      </c>
      <c r="Z351" s="16" t="str">
        <f t="shared" si="87"/>
        <v>error</v>
      </c>
      <c r="AA351" s="16" t="str">
        <f t="shared" si="88"/>
        <v>error</v>
      </c>
      <c r="AB351" s="16" t="str">
        <f t="shared" si="89"/>
        <v>error</v>
      </c>
      <c r="AC351" s="18" t="str">
        <f t="shared" si="90"/>
        <v>error</v>
      </c>
      <c r="AD351" s="16" t="str">
        <f t="shared" si="91"/>
        <v>error</v>
      </c>
      <c r="AE351" s="16" t="str">
        <f t="shared" si="92"/>
        <v>error</v>
      </c>
      <c r="AF351" s="16" t="str">
        <f t="shared" si="93"/>
        <v>error</v>
      </c>
      <c r="AG351" s="16" t="str">
        <f t="shared" si="94"/>
        <v>error</v>
      </c>
      <c r="AH351" s="16" t="str">
        <f t="shared" si="95"/>
        <v>error</v>
      </c>
    </row>
    <row r="352" spans="1:34" x14ac:dyDescent="0.25">
      <c r="A352" s="12">
        <v>24270</v>
      </c>
      <c r="B352" s="13">
        <v>44.3994444</v>
      </c>
      <c r="C352" s="12">
        <v>89.554166699999996</v>
      </c>
      <c r="D352" s="13">
        <v>0</v>
      </c>
      <c r="T352" s="5">
        <f t="shared" si="81"/>
        <v>32716941.210343774</v>
      </c>
      <c r="U352" s="5">
        <f t="shared" si="82"/>
        <v>32716941.210343774</v>
      </c>
      <c r="V352" s="5" t="str">
        <f t="shared" si="83"/>
        <v>n/a</v>
      </c>
      <c r="W352" s="5" t="str">
        <f t="shared" si="84"/>
        <v>n/a</v>
      </c>
      <c r="X352" s="6" t="str">
        <f t="shared" si="85"/>
        <v>n/a</v>
      </c>
      <c r="Y352" s="16" t="str">
        <f t="shared" si="86"/>
        <v>error</v>
      </c>
      <c r="Z352" s="16" t="str">
        <f t="shared" si="87"/>
        <v>error</v>
      </c>
      <c r="AA352" s="16" t="str">
        <f t="shared" si="88"/>
        <v>error</v>
      </c>
      <c r="AB352" s="16" t="str">
        <f t="shared" si="89"/>
        <v>error</v>
      </c>
      <c r="AC352" s="18" t="str">
        <f t="shared" si="90"/>
        <v>error</v>
      </c>
      <c r="AD352" s="16" t="str">
        <f t="shared" si="91"/>
        <v>error</v>
      </c>
      <c r="AE352" s="16" t="str">
        <f t="shared" si="92"/>
        <v>error</v>
      </c>
      <c r="AF352" s="16" t="str">
        <f t="shared" si="93"/>
        <v>error</v>
      </c>
      <c r="AG352" s="16" t="str">
        <f t="shared" si="94"/>
        <v>error</v>
      </c>
      <c r="AH352" s="16" t="str">
        <f t="shared" si="95"/>
        <v>error</v>
      </c>
    </row>
    <row r="353" spans="1:34" x14ac:dyDescent="0.25">
      <c r="A353" s="12">
        <v>24271</v>
      </c>
      <c r="B353" s="13">
        <v>44.486600000000003</v>
      </c>
      <c r="C353" s="12">
        <v>89.34</v>
      </c>
      <c r="D353" s="13">
        <v>0</v>
      </c>
      <c r="T353" s="5">
        <f t="shared" si="81"/>
        <v>32661376.143617176</v>
      </c>
      <c r="U353" s="5">
        <f t="shared" si="82"/>
        <v>32661376.143617176</v>
      </c>
      <c r="V353" s="5" t="str">
        <f t="shared" si="83"/>
        <v>n/a</v>
      </c>
      <c r="W353" s="5" t="str">
        <f t="shared" si="84"/>
        <v>n/a</v>
      </c>
      <c r="X353" s="6" t="str">
        <f t="shared" si="85"/>
        <v>n/a</v>
      </c>
      <c r="Y353" s="16" t="str">
        <f t="shared" si="86"/>
        <v>error</v>
      </c>
      <c r="Z353" s="16" t="str">
        <f t="shared" si="87"/>
        <v>error</v>
      </c>
      <c r="AA353" s="16" t="str">
        <f t="shared" si="88"/>
        <v>error</v>
      </c>
      <c r="AB353" s="16" t="str">
        <f t="shared" si="89"/>
        <v>error</v>
      </c>
      <c r="AC353" s="18" t="str">
        <f t="shared" si="90"/>
        <v>error</v>
      </c>
      <c r="AD353" s="16" t="str">
        <f t="shared" si="91"/>
        <v>error</v>
      </c>
      <c r="AE353" s="16" t="str">
        <f t="shared" si="92"/>
        <v>error</v>
      </c>
      <c r="AF353" s="16" t="str">
        <f t="shared" si="93"/>
        <v>error</v>
      </c>
      <c r="AG353" s="16" t="str">
        <f t="shared" si="94"/>
        <v>error</v>
      </c>
      <c r="AH353" s="16" t="str">
        <f t="shared" si="95"/>
        <v>error</v>
      </c>
    </row>
    <row r="354" spans="1:34" x14ac:dyDescent="0.25">
      <c r="A354" s="12">
        <v>24274</v>
      </c>
      <c r="B354" s="13">
        <v>44.481263300000002</v>
      </c>
      <c r="C354" s="12">
        <v>89.456903299999993</v>
      </c>
      <c r="D354" s="14">
        <v>3</v>
      </c>
      <c r="E354" s="13" t="s">
        <v>42</v>
      </c>
      <c r="F354" s="13">
        <v>44.481520000000003</v>
      </c>
      <c r="G354" s="12">
        <v>89.479870000000005</v>
      </c>
      <c r="H354" s="13" t="s">
        <v>41</v>
      </c>
      <c r="I354" s="13">
        <v>44.489049999999999</v>
      </c>
      <c r="J354" s="12">
        <v>89.307159999999996</v>
      </c>
      <c r="K354" s="13" t="s">
        <v>43</v>
      </c>
      <c r="L354" s="13">
        <v>44.436599999999999</v>
      </c>
      <c r="M354" s="12">
        <v>89.375630000000001</v>
      </c>
      <c r="T354" s="5">
        <f t="shared" si="81"/>
        <v>5978.6414303076062</v>
      </c>
      <c r="U354" s="5">
        <f t="shared" si="82"/>
        <v>39076.935629845699</v>
      </c>
      <c r="V354" s="5">
        <f t="shared" si="83"/>
        <v>26708.323686730342</v>
      </c>
      <c r="W354" s="5" t="str">
        <f t="shared" si="84"/>
        <v>n/a</v>
      </c>
      <c r="X354" s="6" t="str">
        <f t="shared" si="85"/>
        <v>n/a</v>
      </c>
      <c r="Y354" s="16">
        <f t="shared" si="86"/>
        <v>0.72629761312284924</v>
      </c>
      <c r="Z354" s="16">
        <f t="shared" si="87"/>
        <v>0.11112112376675984</v>
      </c>
      <c r="AA354" s="16">
        <f t="shared" si="88"/>
        <v>0.16258126311039092</v>
      </c>
      <c r="AB354" s="16" t="e">
        <f t="shared" si="89"/>
        <v>#VALUE!</v>
      </c>
      <c r="AC354" s="18" t="e">
        <f t="shared" si="90"/>
        <v>#VALUE!</v>
      </c>
      <c r="AD354" s="16">
        <f t="shared" si="91"/>
        <v>0.93151803167128455</v>
      </c>
      <c r="AE354" s="16">
        <f t="shared" si="92"/>
        <v>2.1804959370662614E-2</v>
      </c>
      <c r="AF354" s="16">
        <f t="shared" si="93"/>
        <v>4.6677008958052886E-2</v>
      </c>
      <c r="AG354" s="16" t="e">
        <f t="shared" si="94"/>
        <v>#VALUE!</v>
      </c>
      <c r="AH354" s="16" t="e">
        <f t="shared" si="95"/>
        <v>#VALUE!</v>
      </c>
    </row>
    <row r="355" spans="1:34" x14ac:dyDescent="0.25">
      <c r="A355" s="12">
        <v>24279</v>
      </c>
      <c r="B355" s="13">
        <v>44.513500000000001</v>
      </c>
      <c r="C355" s="12">
        <v>89.498000000000005</v>
      </c>
      <c r="D355" s="14">
        <v>3</v>
      </c>
      <c r="E355" s="13" t="s">
        <v>42</v>
      </c>
      <c r="F355" s="13">
        <v>44.482460000000003</v>
      </c>
      <c r="G355" s="12">
        <v>89.479780000000005</v>
      </c>
      <c r="H355" s="13" t="s">
        <v>39</v>
      </c>
      <c r="I355" s="13">
        <v>44.516190000000002</v>
      </c>
      <c r="J355" s="12">
        <v>89.536850000000001</v>
      </c>
      <c r="K355" s="13" t="s">
        <v>40</v>
      </c>
      <c r="L355" s="13">
        <v>44.54025</v>
      </c>
      <c r="M355" s="12">
        <v>89.512029999999996</v>
      </c>
      <c r="T355" s="5">
        <f t="shared" si="81"/>
        <v>12276.229922382026</v>
      </c>
      <c r="U355" s="5">
        <f t="shared" si="82"/>
        <v>10153.840536210675</v>
      </c>
      <c r="V355" s="5">
        <f t="shared" si="83"/>
        <v>10418.635114277413</v>
      </c>
      <c r="W355" s="5" t="str">
        <f t="shared" si="84"/>
        <v>n/a</v>
      </c>
      <c r="X355" s="6" t="str">
        <f t="shared" si="85"/>
        <v>n/a</v>
      </c>
      <c r="Y355" s="16">
        <f t="shared" si="86"/>
        <v>0.29521875033417255</v>
      </c>
      <c r="Z355" s="16">
        <f t="shared" si="87"/>
        <v>0.35692635151951163</v>
      </c>
      <c r="AA355" s="16">
        <f t="shared" si="88"/>
        <v>0.34785489814631571</v>
      </c>
      <c r="AB355" s="16" t="e">
        <f t="shared" si="89"/>
        <v>#VALUE!</v>
      </c>
      <c r="AC355" s="18" t="e">
        <f t="shared" si="90"/>
        <v>#VALUE!</v>
      </c>
      <c r="AD355" s="16">
        <f t="shared" si="91"/>
        <v>0.25973233679111324</v>
      </c>
      <c r="AE355" s="16">
        <f t="shared" si="92"/>
        <v>0.37966046309549822</v>
      </c>
      <c r="AF355" s="16">
        <f t="shared" si="93"/>
        <v>0.36060720011338854</v>
      </c>
      <c r="AG355" s="16" t="e">
        <f t="shared" si="94"/>
        <v>#VALUE!</v>
      </c>
      <c r="AH355" s="16" t="e">
        <f t="shared" si="95"/>
        <v>#VALUE!</v>
      </c>
    </row>
    <row r="356" spans="1:34" x14ac:dyDescent="0.25">
      <c r="A356" s="12">
        <v>24283</v>
      </c>
      <c r="B356" s="13">
        <v>44.514242400000001</v>
      </c>
      <c r="C356" s="12">
        <v>89.526894299999995</v>
      </c>
      <c r="D356" s="14">
        <v>2</v>
      </c>
      <c r="E356" s="13" t="s">
        <v>42</v>
      </c>
      <c r="F356" s="13">
        <v>44.473640000000003</v>
      </c>
      <c r="G356" s="12">
        <v>89.522989999999993</v>
      </c>
      <c r="H356" s="13" t="s">
        <v>39</v>
      </c>
      <c r="I356" s="13">
        <v>44.521830000000001</v>
      </c>
      <c r="J356" s="12">
        <v>89.536479999999997</v>
      </c>
      <c r="T356" s="5">
        <f t="shared" ref="T356:T419" si="96">ACOS( SIN($B356*PI()/180)*SIN(F356*PI()/180) + COS($B356*PI()/180) *COS(F356*PI()/180) *COS(G356*PI()/180 - $C356*PI()/180))*20902230.97</f>
        <v>14847.078048842728</v>
      </c>
      <c r="U356" s="5">
        <f t="shared" ref="U356:U419" si="97">ACOS( SIN($B356*PI()/180)*SIN(I356*PI()/180) + COS($B356*PI()/180) *COS(I356*PI()/180) *COS(J356*PI()/180 - $C356*PI()/180))*20902230.97</f>
        <v>3725.5114535678199</v>
      </c>
      <c r="V356" s="5" t="str">
        <f t="shared" ref="V356:V419" si="98">IF(D356&lt;3,"n/a",ACOS( SIN($B356*PI()/180)*SIN(L356*PI()/180) + COS($B356*PI()/180) *COS(L356*PI()/180) *COS(M356*PI()/180 - $C356*PI()/180))*20902230.97)</f>
        <v>n/a</v>
      </c>
      <c r="W356" s="5" t="str">
        <f t="shared" ref="W356:W419" si="99">IF(D356&lt;4,"n/a",ACOS( SIN($B356*PI()/180)*SIN(O356*PI()/180) + COS($B356*PI()/180) *COS(O356*PI()/180) *COS(P356*PI()/180 - $C356*PI()/180))*20902230.97)</f>
        <v>n/a</v>
      </c>
      <c r="X356" s="6" t="str">
        <f t="shared" ref="X356:X419" si="100">IF(D356&lt;5,"n/a", ACOS( SIN($B356*PI()/180)*SIN(R356*PI()/180) + COS($B356*PI()/180) *COS(R356*PI()/180) *COS(S356*PI()/180 - $C356*PI()/180))*20902230.97)</f>
        <v>n/a</v>
      </c>
      <c r="Y356" s="16">
        <f t="shared" ref="Y356:Y419" si="101">IF($D356=2,(1/T356)/((1/$T356)+(1/$U356)),IF($D356=3,(1/T356)/((1/$T356)+(1/$U356)+(1/$V356)),IF($D356=4,(1/T356)/((1/$T356)+(1/$U356)+(1/$V356)+(1/$W356)),IF($D356=5,(1/T356)/((1/$T356)+(1/$U356)+(1/$V356)+(1/$W356)+(1/$X356)),"error"))))</f>
        <v>0.2005919235486405</v>
      </c>
      <c r="Z356" s="16">
        <f t="shared" ref="Z356:Z419" si="102">IF($D356=2,(1/U356)/((1/$T356)+(1/$U356)),IF($D356=3,(1/U356)/((1/$T356)+(1/$U356)+(1/$V356)),IF($D356=4,(1/U356)/((1/$T356)+(1/$U356)+(1/$V356)+(1/$W356)),IF($D356=5,(1/U356)/((1/$T356)+(1/$U356)+(1/$V356)+(1/$W356)+(1/$X356)),"error"))))</f>
        <v>0.79940807645135947</v>
      </c>
      <c r="AA356" s="16" t="e">
        <f t="shared" ref="AA356:AA419" si="103">IF($D356=2,(1/V356)/((1/$T356)+(1/$U356)),IF($D356=3,(1/V356)/((1/$T356)+(1/$U356)+(1/$V356)),IF($D356=4,(1/V356)/((1/$T356)+(1/$U356)+(1/$V356)+(1/$W356)),IF($D356=5,(1/V356)/((1/$T356)+(1/$U356)+(1/$V356)+(1/$W356)+(1/$X356)),"error"))))</f>
        <v>#VALUE!</v>
      </c>
      <c r="AB356" s="16" t="e">
        <f t="shared" ref="AB356:AB419" si="104">IF($D356=2,(1/W356)/((1/$T356)+(1/$U356)),IF($D356=3,(1/W356)/((1/$T356)+(1/$U356)+(1/$V356)),IF($D356=4,(1/W356)/((1/$T356)+(1/$U356)+(1/$V356)+(1/$W356)),IF($D356=5,(1/W356)/((1/$T356)+(1/$U356)+(1/$V356)+(1/$W356)+(1/$X356)),"error"))))</f>
        <v>#VALUE!</v>
      </c>
      <c r="AC356" s="18" t="e">
        <f t="shared" ref="AC356:AC419" si="105">IF($D356=2,(1/X356)/((1/$T356)+(1/$U356)),IF($D356=3,(1/X356)/((1/$T356)+(1/$U356)+(1/$V356)),IF($D356=4,(1/X356)/((1/$T356)+(1/$U356)+(1/$V356)+(1/$W356)),IF($D356=5,(1/X356)/((1/$T356)+(1/$U356)+(1/$V356)+(1/$W356)+(1/$X356)),"error"))))</f>
        <v>#VALUE!</v>
      </c>
      <c r="AD356" s="16">
        <f t="shared" ref="AD356:AD419" si="106">IF($D356=2,(1/T356^2)/((1/$T356^2)+(1/$U356^2)),IF($D356=3,(1/T356^2)/((1/$T356^2)+(1/$U356^2)+(1/$V356^2)),IF($D356=4,(1/T356^2)/((1/$T356^2)+(1/$U356^2)+(1/$V356^2)+(1/$W356^2)),IF($D356=5,(1/T356^2)/((1/$T356^2)+(1/$U356^2)+(1/$V356^2)+(1/$W356^2)+(1/$X356^2)),"error"))))</f>
        <v>5.9234048115318419E-2</v>
      </c>
      <c r="AE356" s="16">
        <f t="shared" ref="AE356:AE419" si="107">IF($D356=2,(1/U356^2)/((1/$T356^2)+(1/$U356^2)),IF($D356=3,(1/U356^2)/((1/$T356^2)+(1/$U356^2)+(1/$V356^2)),IF($D356=4,(1/U356^2)/((1/$T356^2)+(1/$U356^2)+(1/$V356^2)+(1/$W356^2)),IF($D356=5,(1/U356^2)/((1/$T356^2)+(1/$U356^2)+(1/$V356^2)+(1/$W356^2)+(1/$X356^2)),"error"))))</f>
        <v>0.94076595188468159</v>
      </c>
      <c r="AF356" s="16" t="e">
        <f t="shared" ref="AF356:AF419" si="108">IF($D356=2,(1/V356^2)/((1/$T356^2)+(1/$U356^2)),IF($D356=3,(1/V356^2)/((1/$T356^2)+(1/$U356^2)+(1/$V356^2)),IF($D356=4,(1/V356^2)/((1/$T356^2)+(1/$U356^2)+(1/$V356^2)+(1/$W356^2)),IF($D356=5,(1/V356^2)/((1/$T356^2)+(1/$U356^2)+(1/$V356^2)+(1/$W356^2)+(1/$X356^2)),"error"))))</f>
        <v>#VALUE!</v>
      </c>
      <c r="AG356" s="16" t="e">
        <f t="shared" ref="AG356:AG419" si="109">IF($D356=2,(1/W356^2)/((1/$T356^2)+(1/$U356^2)),IF($D356=3,(1/W356^2)/((1/$T356^2)+(1/$U356^2)+(1/$V356^2)),IF($D356=4,(1/W356^2)/((1/$T356^2)+(1/$U356^2)+(1/$V356^2)+(1/$W356^2)),IF($D356=5,(1/W356^2)/((1/$T356^2)+(1/$U356^2)+(1/$V356^2)+(1/$W356^2)+(1/$X356^2)),"error"))))</f>
        <v>#VALUE!</v>
      </c>
      <c r="AH356" s="16" t="e">
        <f t="shared" ref="AH356:AH419" si="110">IF($D356=2,(1/X356^2)/((1/$T356^2)+(1/$U356^2)),IF($D356=3,(1/X356^2)/((1/$T356^2)+(1/$U356^2)+(1/$V356^2)),IF($D356=4,(1/X356^2)/((1/$T356^2)+(1/$U356^2)+(1/$V356^2)+(1/$W356^2)),IF($D356=5,(1/X356^2)/((1/$T356^2)+(1/$U356^2)+(1/$V356^2)+(1/$W356^2)+(1/$X356^2)),"error"))))</f>
        <v>#VALUE!</v>
      </c>
    </row>
    <row r="357" spans="1:34" x14ac:dyDescent="0.25">
      <c r="A357" s="12">
        <v>24285</v>
      </c>
      <c r="B357" s="13">
        <v>44.578036699999998</v>
      </c>
      <c r="C357" s="12">
        <v>89.459564999999998</v>
      </c>
      <c r="D357" s="14">
        <v>4</v>
      </c>
      <c r="E357" s="13" t="s">
        <v>42</v>
      </c>
      <c r="F357" s="13">
        <v>44.481119999999997</v>
      </c>
      <c r="G357" s="12">
        <v>89.479669999999999</v>
      </c>
      <c r="H357" s="13" t="s">
        <v>39</v>
      </c>
      <c r="I357" s="13">
        <v>44.58616</v>
      </c>
      <c r="J357" s="12">
        <v>89.487179999999995</v>
      </c>
      <c r="K357" s="13" t="s">
        <v>40</v>
      </c>
      <c r="L357" s="13">
        <v>44.554780000000001</v>
      </c>
      <c r="M357" s="13">
        <v>89.461330000000004</v>
      </c>
      <c r="N357" s="13" t="s">
        <v>41</v>
      </c>
      <c r="O357" s="13">
        <v>44.570529999999998</v>
      </c>
      <c r="P357" s="12">
        <v>89.378259999999997</v>
      </c>
      <c r="T357" s="5">
        <f t="shared" si="96"/>
        <v>35740.984064080985</v>
      </c>
      <c r="U357" s="5">
        <f t="shared" si="97"/>
        <v>7763.2637502900116</v>
      </c>
      <c r="V357" s="5">
        <f t="shared" si="98"/>
        <v>8496.7331905882875</v>
      </c>
      <c r="W357" s="5">
        <f t="shared" si="99"/>
        <v>21305.55514459778</v>
      </c>
      <c r="X357" s="6" t="str">
        <f t="shared" si="100"/>
        <v>n/a</v>
      </c>
      <c r="Y357" s="16">
        <f t="shared" si="101"/>
        <v>8.7048551945774516E-2</v>
      </c>
      <c r="Z357" s="16">
        <f t="shared" si="102"/>
        <v>0.4007593981048278</v>
      </c>
      <c r="AA357" s="16">
        <f t="shared" si="103"/>
        <v>0.36616436436317507</v>
      </c>
      <c r="AB357" s="16">
        <f t="shared" si="104"/>
        <v>0.14602768558622262</v>
      </c>
      <c r="AC357" s="18" t="e">
        <f t="shared" si="105"/>
        <v>#VALUE!</v>
      </c>
      <c r="AD357" s="16">
        <f t="shared" si="106"/>
        <v>2.3417116456292908E-2</v>
      </c>
      <c r="AE357" s="16">
        <f t="shared" si="107"/>
        <v>0.49633824992910847</v>
      </c>
      <c r="AF357" s="16">
        <f t="shared" si="108"/>
        <v>0.41434534629617753</v>
      </c>
      <c r="AG357" s="16">
        <f t="shared" si="109"/>
        <v>6.5899287318421096E-2</v>
      </c>
      <c r="AH357" s="16" t="e">
        <f t="shared" si="110"/>
        <v>#VALUE!</v>
      </c>
    </row>
    <row r="358" spans="1:34" x14ac:dyDescent="0.25">
      <c r="A358" s="12">
        <v>24286</v>
      </c>
      <c r="B358" s="13">
        <v>44.574606000000003</v>
      </c>
      <c r="C358" s="12">
        <v>89.455222000000006</v>
      </c>
      <c r="D358" s="14">
        <v>4</v>
      </c>
      <c r="E358" s="13" t="s">
        <v>42</v>
      </c>
      <c r="F358" s="13">
        <v>44.481119999999997</v>
      </c>
      <c r="G358" s="12">
        <v>89.479669999999999</v>
      </c>
      <c r="H358" s="13" t="s">
        <v>39</v>
      </c>
      <c r="I358" s="13">
        <v>44.58616</v>
      </c>
      <c r="J358" s="12">
        <v>89.487179999999995</v>
      </c>
      <c r="K358" s="13" t="s">
        <v>40</v>
      </c>
      <c r="L358" s="13">
        <v>44.554780000000001</v>
      </c>
      <c r="M358" s="13">
        <v>89.461330000000004</v>
      </c>
      <c r="N358" s="13" t="s">
        <v>41</v>
      </c>
      <c r="O358" s="13">
        <v>44.570529999999998</v>
      </c>
      <c r="P358" s="12">
        <v>89.378259999999997</v>
      </c>
      <c r="T358" s="5">
        <f t="shared" si="96"/>
        <v>34692.540571699996</v>
      </c>
      <c r="U358" s="5">
        <f t="shared" si="97"/>
        <v>9312.6006980221064</v>
      </c>
      <c r="V358" s="5">
        <f t="shared" si="98"/>
        <v>7404.9578954007702</v>
      </c>
      <c r="W358" s="5">
        <f t="shared" si="99"/>
        <v>20055.990005969408</v>
      </c>
      <c r="X358" s="6" t="str">
        <f t="shared" si="100"/>
        <v>n/a</v>
      </c>
      <c r="Y358" s="16">
        <f t="shared" si="101"/>
        <v>8.9765318004825359E-2</v>
      </c>
      <c r="Z358" s="16">
        <f t="shared" si="102"/>
        <v>0.33440571949738757</v>
      </c>
      <c r="AA358" s="16">
        <f t="shared" si="103"/>
        <v>0.42055430710121688</v>
      </c>
      <c r="AB358" s="16">
        <f t="shared" si="104"/>
        <v>0.1552746553965702</v>
      </c>
      <c r="AC358" s="18" t="e">
        <f t="shared" si="105"/>
        <v>#VALUE!</v>
      </c>
      <c r="AD358" s="16">
        <f t="shared" si="106"/>
        <v>2.5113082506273452E-2</v>
      </c>
      <c r="AE358" s="16">
        <f t="shared" si="107"/>
        <v>0.34852205770994926</v>
      </c>
      <c r="AF358" s="16">
        <f t="shared" si="108"/>
        <v>0.5512226393674815</v>
      </c>
      <c r="AG358" s="16">
        <f t="shared" si="109"/>
        <v>7.514222041629573E-2</v>
      </c>
      <c r="AH358" s="16" t="e">
        <f t="shared" si="110"/>
        <v>#VALUE!</v>
      </c>
    </row>
    <row r="359" spans="1:34" x14ac:dyDescent="0.25">
      <c r="A359" s="12">
        <v>24289</v>
      </c>
      <c r="B359" s="13">
        <v>44.408291699999999</v>
      </c>
      <c r="C359" s="12">
        <v>89.624659800000003</v>
      </c>
      <c r="D359" s="14">
        <v>0</v>
      </c>
      <c r="T359" s="5">
        <f t="shared" si="96"/>
        <v>32735329.885910992</v>
      </c>
      <c r="U359" s="5">
        <f t="shared" si="97"/>
        <v>32735329.885910992</v>
      </c>
      <c r="V359" s="5" t="str">
        <f t="shared" si="98"/>
        <v>n/a</v>
      </c>
      <c r="W359" s="5" t="str">
        <f t="shared" si="99"/>
        <v>n/a</v>
      </c>
      <c r="X359" s="6" t="str">
        <f t="shared" si="100"/>
        <v>n/a</v>
      </c>
      <c r="Y359" s="16" t="str">
        <f t="shared" si="101"/>
        <v>error</v>
      </c>
      <c r="Z359" s="16" t="str">
        <f t="shared" si="102"/>
        <v>error</v>
      </c>
      <c r="AA359" s="16" t="str">
        <f t="shared" si="103"/>
        <v>error</v>
      </c>
      <c r="AB359" s="16" t="str">
        <f t="shared" si="104"/>
        <v>error</v>
      </c>
      <c r="AC359" s="18" t="str">
        <f t="shared" si="105"/>
        <v>error</v>
      </c>
      <c r="AD359" s="16" t="str">
        <f t="shared" si="106"/>
        <v>error</v>
      </c>
      <c r="AE359" s="16" t="str">
        <f t="shared" si="107"/>
        <v>error</v>
      </c>
      <c r="AF359" s="16" t="str">
        <f t="shared" si="108"/>
        <v>error</v>
      </c>
      <c r="AG359" s="16" t="str">
        <f t="shared" si="109"/>
        <v>error</v>
      </c>
      <c r="AH359" s="16" t="str">
        <f t="shared" si="110"/>
        <v>error</v>
      </c>
    </row>
    <row r="360" spans="1:34" x14ac:dyDescent="0.25">
      <c r="A360" s="12">
        <v>24290</v>
      </c>
      <c r="B360" s="13">
        <v>44.406500000000001</v>
      </c>
      <c r="C360" s="12">
        <v>89.632300000000001</v>
      </c>
      <c r="D360" s="14">
        <v>0</v>
      </c>
      <c r="T360" s="5">
        <f t="shared" si="96"/>
        <v>32737318.056396633</v>
      </c>
      <c r="U360" s="5">
        <f t="shared" si="97"/>
        <v>32737318.056396633</v>
      </c>
      <c r="V360" s="5" t="str">
        <f t="shared" si="98"/>
        <v>n/a</v>
      </c>
      <c r="W360" s="5" t="str">
        <f t="shared" si="99"/>
        <v>n/a</v>
      </c>
      <c r="X360" s="6" t="str">
        <f t="shared" si="100"/>
        <v>n/a</v>
      </c>
      <c r="Y360" s="16" t="str">
        <f t="shared" si="101"/>
        <v>error</v>
      </c>
      <c r="Z360" s="16" t="str">
        <f t="shared" si="102"/>
        <v>error</v>
      </c>
      <c r="AA360" s="16" t="str">
        <f t="shared" si="103"/>
        <v>error</v>
      </c>
      <c r="AB360" s="16" t="str">
        <f t="shared" si="104"/>
        <v>error</v>
      </c>
      <c r="AC360" s="18" t="str">
        <f t="shared" si="105"/>
        <v>error</v>
      </c>
      <c r="AD360" s="16" t="str">
        <f t="shared" si="106"/>
        <v>error</v>
      </c>
      <c r="AE360" s="16" t="str">
        <f t="shared" si="107"/>
        <v>error</v>
      </c>
      <c r="AF360" s="16" t="str">
        <f t="shared" si="108"/>
        <v>error</v>
      </c>
      <c r="AG360" s="16" t="str">
        <f t="shared" si="109"/>
        <v>error</v>
      </c>
      <c r="AH360" s="16" t="str">
        <f t="shared" si="110"/>
        <v>error</v>
      </c>
    </row>
    <row r="361" spans="1:34" x14ac:dyDescent="0.25">
      <c r="A361" s="12">
        <v>24291</v>
      </c>
      <c r="B361" s="13">
        <v>44.442050000000002</v>
      </c>
      <c r="C361" s="12">
        <v>89.466930000000005</v>
      </c>
      <c r="D361" s="14">
        <v>3</v>
      </c>
      <c r="E361" s="13" t="s">
        <v>42</v>
      </c>
      <c r="F361" s="13">
        <v>44.46781</v>
      </c>
      <c r="G361" s="12">
        <v>89.486840000000001</v>
      </c>
      <c r="H361" s="13" t="s">
        <v>44</v>
      </c>
      <c r="I361" s="13">
        <v>44.400329999999997</v>
      </c>
      <c r="J361" s="12">
        <v>89.480329999999995</v>
      </c>
      <c r="K361" s="13" t="s">
        <v>43</v>
      </c>
      <c r="L361" s="13">
        <v>44.436689999999999</v>
      </c>
      <c r="M361" s="12">
        <v>89.376050000000006</v>
      </c>
      <c r="T361" s="5">
        <f t="shared" si="96"/>
        <v>10732.891240363479</v>
      </c>
      <c r="U361" s="5">
        <f t="shared" si="97"/>
        <v>15615.316254686921</v>
      </c>
      <c r="V361" s="5">
        <f t="shared" si="98"/>
        <v>23752.436576880249</v>
      </c>
      <c r="W361" s="5" t="str">
        <f t="shared" si="99"/>
        <v>n/a</v>
      </c>
      <c r="X361" s="6" t="str">
        <f t="shared" si="100"/>
        <v>n/a</v>
      </c>
      <c r="Y361" s="16">
        <f t="shared" si="101"/>
        <v>0.46746537486755829</v>
      </c>
      <c r="Z361" s="16">
        <f t="shared" si="102"/>
        <v>0.32130345266515642</v>
      </c>
      <c r="AA361" s="16">
        <f t="shared" si="103"/>
        <v>0.21123117246728526</v>
      </c>
      <c r="AB361" s="16" t="e">
        <f t="shared" si="104"/>
        <v>#VALUE!</v>
      </c>
      <c r="AC361" s="18" t="e">
        <f t="shared" si="105"/>
        <v>#VALUE!</v>
      </c>
      <c r="AD361" s="16">
        <f t="shared" si="106"/>
        <v>0.59644313231197277</v>
      </c>
      <c r="AE361" s="16">
        <f t="shared" si="107"/>
        <v>0.28177400876593384</v>
      </c>
      <c r="AF361" s="16">
        <f t="shared" si="108"/>
        <v>0.12178285892209338</v>
      </c>
      <c r="AG361" s="16" t="e">
        <f t="shared" si="109"/>
        <v>#VALUE!</v>
      </c>
      <c r="AH361" s="16" t="e">
        <f t="shared" si="110"/>
        <v>#VALUE!</v>
      </c>
    </row>
    <row r="362" spans="1:34" x14ac:dyDescent="0.25">
      <c r="A362" s="12">
        <v>24293</v>
      </c>
      <c r="B362" s="13">
        <v>44.434177400000003</v>
      </c>
      <c r="C362" s="12">
        <v>89.490886000000003</v>
      </c>
      <c r="D362" s="14">
        <v>5</v>
      </c>
      <c r="E362" s="13" t="s">
        <v>42</v>
      </c>
      <c r="F362" s="13">
        <v>44.469140000000003</v>
      </c>
      <c r="G362" s="12">
        <v>89.502390000000005</v>
      </c>
      <c r="H362" s="13" t="s">
        <v>48</v>
      </c>
      <c r="I362" s="13">
        <v>44.462809999999998</v>
      </c>
      <c r="J362" s="12">
        <v>89.555090000000007</v>
      </c>
      <c r="K362" s="13" t="s">
        <v>50</v>
      </c>
      <c r="L362" s="13">
        <v>44.429960000000001</v>
      </c>
      <c r="M362" s="12">
        <v>89.563500000000005</v>
      </c>
      <c r="N362" s="13" t="s">
        <v>44</v>
      </c>
      <c r="O362" s="13">
        <v>44.400329999999997</v>
      </c>
      <c r="P362" s="12">
        <v>89.480230000000006</v>
      </c>
      <c r="Q362" s="13" t="s">
        <v>43</v>
      </c>
      <c r="R362" s="13">
        <v>44.436489999999999</v>
      </c>
      <c r="S362" s="12">
        <v>89.375680000000003</v>
      </c>
      <c r="T362" s="5">
        <f t="shared" si="96"/>
        <v>13101.91301727055</v>
      </c>
      <c r="U362" s="5">
        <f t="shared" si="97"/>
        <v>19715.346747731401</v>
      </c>
      <c r="V362" s="5">
        <f t="shared" si="98"/>
        <v>18978.836727473874</v>
      </c>
      <c r="W362" s="5">
        <f t="shared" si="99"/>
        <v>12656.302734748067</v>
      </c>
      <c r="X362" s="6">
        <f t="shared" si="100"/>
        <v>30022.013231772471</v>
      </c>
      <c r="Y362" s="16">
        <f t="shared" si="101"/>
        <v>0.26133432370060117</v>
      </c>
      <c r="Z362" s="16">
        <f t="shared" si="102"/>
        <v>0.17367077644457313</v>
      </c>
      <c r="AA362" s="16">
        <f t="shared" si="103"/>
        <v>0.18041040274064477</v>
      </c>
      <c r="AB362" s="16">
        <f t="shared" si="104"/>
        <v>0.27053553074010428</v>
      </c>
      <c r="AC362" s="18">
        <f t="shared" si="105"/>
        <v>0.11404896637407662</v>
      </c>
      <c r="AD362" s="16">
        <f t="shared" si="106"/>
        <v>0.31443410516581555</v>
      </c>
      <c r="AE362" s="16">
        <f t="shared" si="107"/>
        <v>0.13886417874244578</v>
      </c>
      <c r="AF362" s="16">
        <f t="shared" si="108"/>
        <v>0.14985108444723785</v>
      </c>
      <c r="AG362" s="16">
        <f t="shared" si="109"/>
        <v>0.33696543976595994</v>
      </c>
      <c r="AH362" s="16">
        <f t="shared" si="110"/>
        <v>5.9885191878540862E-2</v>
      </c>
    </row>
    <row r="363" spans="1:34" x14ac:dyDescent="0.25">
      <c r="A363" s="12">
        <v>24294</v>
      </c>
      <c r="B363" s="13">
        <v>44.574536700000003</v>
      </c>
      <c r="C363" s="12">
        <v>89.445183299999997</v>
      </c>
      <c r="D363" s="14">
        <v>4</v>
      </c>
      <c r="E363" s="13" t="s">
        <v>42</v>
      </c>
      <c r="F363" s="13">
        <v>44.481119999999997</v>
      </c>
      <c r="G363" s="12">
        <v>89.479669999999999</v>
      </c>
      <c r="H363" s="13" t="s">
        <v>39</v>
      </c>
      <c r="I363" s="13">
        <v>44.58616</v>
      </c>
      <c r="J363" s="12">
        <v>89.487179999999995</v>
      </c>
      <c r="K363" s="13" t="s">
        <v>40</v>
      </c>
      <c r="L363" s="13">
        <v>44.554780000000001</v>
      </c>
      <c r="M363" s="13">
        <v>89.461330000000004</v>
      </c>
      <c r="N363" s="13" t="s">
        <v>41</v>
      </c>
      <c r="O363" s="13">
        <v>44.570529999999998</v>
      </c>
      <c r="P363" s="12">
        <v>89.378259999999997</v>
      </c>
      <c r="T363" s="5">
        <f t="shared" si="96"/>
        <v>35240.130664946948</v>
      </c>
      <c r="U363" s="5">
        <f t="shared" si="97"/>
        <v>11707.477549399002</v>
      </c>
      <c r="V363" s="5">
        <f t="shared" si="98"/>
        <v>8340.3091291071723</v>
      </c>
      <c r="W363" s="5">
        <f t="shared" si="99"/>
        <v>17453.271764485304</v>
      </c>
      <c r="X363" s="6" t="str">
        <f t="shared" si="100"/>
        <v>n/a</v>
      </c>
      <c r="Y363" s="16">
        <f t="shared" si="101"/>
        <v>9.7518684751151705E-2</v>
      </c>
      <c r="Z363" s="16">
        <f t="shared" si="102"/>
        <v>0.29353643245557798</v>
      </c>
      <c r="AA363" s="16">
        <f t="shared" si="103"/>
        <v>0.41204362328860578</v>
      </c>
      <c r="AB363" s="16">
        <f t="shared" si="104"/>
        <v>0.19690125950466456</v>
      </c>
      <c r="AC363" s="18" t="e">
        <f t="shared" si="105"/>
        <v>#VALUE!</v>
      </c>
      <c r="AD363" s="16">
        <f t="shared" si="106"/>
        <v>3.1259555007616367E-2</v>
      </c>
      <c r="AE363" s="16">
        <f t="shared" si="107"/>
        <v>0.28322471220815754</v>
      </c>
      <c r="AF363" s="16">
        <f t="shared" si="108"/>
        <v>0.55807621801770058</v>
      </c>
      <c r="AG363" s="16">
        <f t="shared" si="109"/>
        <v>0.12743951476652549</v>
      </c>
      <c r="AH363" s="16" t="e">
        <f t="shared" si="110"/>
        <v>#VALUE!</v>
      </c>
    </row>
    <row r="364" spans="1:34" x14ac:dyDescent="0.25">
      <c r="A364" s="12">
        <v>24295</v>
      </c>
      <c r="B364" s="13">
        <v>44.397342700000003</v>
      </c>
      <c r="C364" s="12">
        <v>89.6247063</v>
      </c>
      <c r="D364" s="14">
        <v>0</v>
      </c>
      <c r="T364" s="5">
        <f t="shared" si="96"/>
        <v>32735323.697717302</v>
      </c>
      <c r="U364" s="5">
        <f t="shared" si="97"/>
        <v>32735323.697717302</v>
      </c>
      <c r="V364" s="5" t="str">
        <f t="shared" si="98"/>
        <v>n/a</v>
      </c>
      <c r="W364" s="5" t="str">
        <f t="shared" si="99"/>
        <v>n/a</v>
      </c>
      <c r="X364" s="6" t="str">
        <f t="shared" si="100"/>
        <v>n/a</v>
      </c>
      <c r="Y364" s="16" t="str">
        <f t="shared" si="101"/>
        <v>error</v>
      </c>
      <c r="Z364" s="16" t="str">
        <f t="shared" si="102"/>
        <v>error</v>
      </c>
      <c r="AA364" s="16" t="str">
        <f t="shared" si="103"/>
        <v>error</v>
      </c>
      <c r="AB364" s="16" t="str">
        <f t="shared" si="104"/>
        <v>error</v>
      </c>
      <c r="AC364" s="18" t="str">
        <f t="shared" si="105"/>
        <v>error</v>
      </c>
      <c r="AD364" s="16" t="str">
        <f t="shared" si="106"/>
        <v>error</v>
      </c>
      <c r="AE364" s="16" t="str">
        <f t="shared" si="107"/>
        <v>error</v>
      </c>
      <c r="AF364" s="16" t="str">
        <f t="shared" si="108"/>
        <v>error</v>
      </c>
      <c r="AG364" s="16" t="str">
        <f t="shared" si="109"/>
        <v>error</v>
      </c>
      <c r="AH364" s="16" t="str">
        <f t="shared" si="110"/>
        <v>error</v>
      </c>
    </row>
    <row r="365" spans="1:34" x14ac:dyDescent="0.25">
      <c r="A365" s="12">
        <v>24296</v>
      </c>
      <c r="B365" s="13">
        <v>44.390823300000001</v>
      </c>
      <c r="C365" s="12">
        <v>89.485293299999995</v>
      </c>
      <c r="D365" s="14">
        <v>0</v>
      </c>
      <c r="T365" s="5">
        <f t="shared" si="96"/>
        <v>32698969.817669936</v>
      </c>
      <c r="U365" s="5">
        <f t="shared" si="97"/>
        <v>32698969.817669936</v>
      </c>
      <c r="V365" s="5" t="str">
        <f t="shared" si="98"/>
        <v>n/a</v>
      </c>
      <c r="W365" s="5" t="str">
        <f t="shared" si="99"/>
        <v>n/a</v>
      </c>
      <c r="X365" s="6" t="str">
        <f t="shared" si="100"/>
        <v>n/a</v>
      </c>
      <c r="Y365" s="16" t="str">
        <f t="shared" si="101"/>
        <v>error</v>
      </c>
      <c r="Z365" s="16" t="str">
        <f t="shared" si="102"/>
        <v>error</v>
      </c>
      <c r="AA365" s="16" t="str">
        <f t="shared" si="103"/>
        <v>error</v>
      </c>
      <c r="AB365" s="16" t="str">
        <f t="shared" si="104"/>
        <v>error</v>
      </c>
      <c r="AC365" s="18" t="str">
        <f t="shared" si="105"/>
        <v>error</v>
      </c>
      <c r="AD365" s="16" t="str">
        <f t="shared" si="106"/>
        <v>error</v>
      </c>
      <c r="AE365" s="16" t="str">
        <f t="shared" si="107"/>
        <v>error</v>
      </c>
      <c r="AF365" s="16" t="str">
        <f t="shared" si="108"/>
        <v>error</v>
      </c>
      <c r="AG365" s="16" t="str">
        <f t="shared" si="109"/>
        <v>error</v>
      </c>
      <c r="AH365" s="16" t="str">
        <f t="shared" si="110"/>
        <v>error</v>
      </c>
    </row>
    <row r="366" spans="1:34" x14ac:dyDescent="0.25">
      <c r="A366" s="12">
        <v>24298</v>
      </c>
      <c r="B366" s="13">
        <v>44.399503500000002</v>
      </c>
      <c r="C366" s="12">
        <v>89.584945200000007</v>
      </c>
      <c r="D366" s="14">
        <v>0</v>
      </c>
      <c r="T366" s="5">
        <f t="shared" si="96"/>
        <v>32724963.662297372</v>
      </c>
      <c r="U366" s="5">
        <f t="shared" si="97"/>
        <v>32724963.662297372</v>
      </c>
      <c r="V366" s="5" t="str">
        <f t="shared" si="98"/>
        <v>n/a</v>
      </c>
      <c r="W366" s="5" t="str">
        <f t="shared" si="99"/>
        <v>n/a</v>
      </c>
      <c r="X366" s="6" t="str">
        <f t="shared" si="100"/>
        <v>n/a</v>
      </c>
      <c r="Y366" s="16" t="str">
        <f t="shared" si="101"/>
        <v>error</v>
      </c>
      <c r="Z366" s="16" t="str">
        <f t="shared" si="102"/>
        <v>error</v>
      </c>
      <c r="AA366" s="16" t="str">
        <f t="shared" si="103"/>
        <v>error</v>
      </c>
      <c r="AB366" s="16" t="str">
        <f t="shared" si="104"/>
        <v>error</v>
      </c>
      <c r="AC366" s="18" t="str">
        <f t="shared" si="105"/>
        <v>error</v>
      </c>
      <c r="AD366" s="16" t="str">
        <f t="shared" si="106"/>
        <v>error</v>
      </c>
      <c r="AE366" s="16" t="str">
        <f t="shared" si="107"/>
        <v>error</v>
      </c>
      <c r="AF366" s="16" t="str">
        <f t="shared" si="108"/>
        <v>error</v>
      </c>
      <c r="AG366" s="16" t="str">
        <f t="shared" si="109"/>
        <v>error</v>
      </c>
      <c r="AH366" s="16" t="str">
        <f t="shared" si="110"/>
        <v>error</v>
      </c>
    </row>
    <row r="367" spans="1:34" x14ac:dyDescent="0.25">
      <c r="A367" s="12">
        <v>24302</v>
      </c>
      <c r="B367" s="13">
        <v>44.594999999999999</v>
      </c>
      <c r="C367" s="12">
        <v>89.451666700000004</v>
      </c>
      <c r="D367" s="14">
        <v>4</v>
      </c>
      <c r="E367" s="13" t="s">
        <v>42</v>
      </c>
      <c r="F367" s="13">
        <v>44.481119999999997</v>
      </c>
      <c r="G367" s="12">
        <v>89.479669999999999</v>
      </c>
      <c r="H367" s="13" t="s">
        <v>39</v>
      </c>
      <c r="I367" s="13">
        <v>44.58616</v>
      </c>
      <c r="J367" s="12">
        <v>89.487179999999995</v>
      </c>
      <c r="K367" s="13" t="s">
        <v>40</v>
      </c>
      <c r="L367" s="13">
        <v>44.554780000000001</v>
      </c>
      <c r="M367" s="13">
        <v>89.461330000000004</v>
      </c>
      <c r="N367" s="13" t="s">
        <v>41</v>
      </c>
      <c r="O367" s="13">
        <v>44.598619999999997</v>
      </c>
      <c r="P367" s="12">
        <v>89.366849999999999</v>
      </c>
      <c r="T367" s="5">
        <f t="shared" si="96"/>
        <v>42178.205189717315</v>
      </c>
      <c r="U367" s="5">
        <f t="shared" si="97"/>
        <v>9773.6779039023677</v>
      </c>
      <c r="V367" s="5">
        <f t="shared" si="98"/>
        <v>14886.107698582762</v>
      </c>
      <c r="W367" s="5">
        <f t="shared" si="99"/>
        <v>22072.413375106924</v>
      </c>
      <c r="X367" s="6" t="str">
        <f t="shared" si="100"/>
        <v>n/a</v>
      </c>
      <c r="Y367" s="16">
        <f t="shared" si="101"/>
        <v>9.9405705379716019E-2</v>
      </c>
      <c r="Z367" s="16">
        <f t="shared" si="102"/>
        <v>0.4289842861365622</v>
      </c>
      <c r="AA367" s="16">
        <f t="shared" si="103"/>
        <v>0.28165550884288054</v>
      </c>
      <c r="AB367" s="16">
        <f t="shared" si="104"/>
        <v>0.1899544996408413</v>
      </c>
      <c r="AC367" s="18" t="e">
        <f t="shared" si="105"/>
        <v>#VALUE!</v>
      </c>
      <c r="AD367" s="16">
        <f t="shared" si="106"/>
        <v>3.1945702698419717E-2</v>
      </c>
      <c r="AE367" s="16">
        <f t="shared" si="107"/>
        <v>0.5949392080326511</v>
      </c>
      <c r="AF367" s="16">
        <f t="shared" si="108"/>
        <v>0.25646394750607093</v>
      </c>
      <c r="AG367" s="16">
        <f t="shared" si="109"/>
        <v>0.1166511417628584</v>
      </c>
      <c r="AH367" s="16" t="e">
        <f t="shared" si="110"/>
        <v>#VALUE!</v>
      </c>
    </row>
    <row r="368" spans="1:34" x14ac:dyDescent="0.25">
      <c r="A368" s="12">
        <v>24305</v>
      </c>
      <c r="B368" s="13">
        <v>44.594486699999997</v>
      </c>
      <c r="C368" s="12">
        <v>89.392146800000006</v>
      </c>
      <c r="D368" s="14">
        <v>4</v>
      </c>
      <c r="E368" s="13" t="s">
        <v>42</v>
      </c>
      <c r="F368" s="13">
        <v>44.481119999999997</v>
      </c>
      <c r="G368" s="12">
        <v>89.479669999999999</v>
      </c>
      <c r="H368" s="13" t="s">
        <v>39</v>
      </c>
      <c r="I368" s="13">
        <v>44.58616</v>
      </c>
      <c r="J368" s="12">
        <v>89.487179999999995</v>
      </c>
      <c r="K368" s="13" t="s">
        <v>40</v>
      </c>
      <c r="L368" s="13">
        <v>44.554780000000001</v>
      </c>
      <c r="M368" s="13">
        <v>89.461330000000004</v>
      </c>
      <c r="N368" s="13" t="s">
        <v>41</v>
      </c>
      <c r="O368" s="13">
        <v>44.598619999999997</v>
      </c>
      <c r="P368" s="12">
        <v>89.366849999999999</v>
      </c>
      <c r="T368" s="5">
        <f t="shared" si="96"/>
        <v>47206.19282854662</v>
      </c>
      <c r="U368" s="5">
        <f t="shared" si="97"/>
        <v>24875.739845319629</v>
      </c>
      <c r="V368" s="5">
        <f t="shared" si="98"/>
        <v>23088.098404817898</v>
      </c>
      <c r="W368" s="5">
        <f t="shared" si="99"/>
        <v>6742.170942906765</v>
      </c>
      <c r="X368" s="6" t="str">
        <f t="shared" si="100"/>
        <v>n/a</v>
      </c>
      <c r="Y368" s="16">
        <f t="shared" si="101"/>
        <v>8.3724588992378751E-2</v>
      </c>
      <c r="Z368" s="16">
        <f t="shared" si="102"/>
        <v>0.15888247413106274</v>
      </c>
      <c r="AA368" s="16">
        <f t="shared" si="103"/>
        <v>0.17118426226216596</v>
      </c>
      <c r="AB368" s="16">
        <f t="shared" si="104"/>
        <v>0.58620867461439241</v>
      </c>
      <c r="AC368" s="18" t="e">
        <f t="shared" si="105"/>
        <v>#VALUE!</v>
      </c>
      <c r="AD368" s="16">
        <f t="shared" si="106"/>
        <v>1.72997026449834E-2</v>
      </c>
      <c r="AE368" s="16">
        <f t="shared" si="107"/>
        <v>6.2299502419059197E-2</v>
      </c>
      <c r="AF368" s="16">
        <f t="shared" si="108"/>
        <v>7.2320306978035848E-2</v>
      </c>
      <c r="AG368" s="16">
        <f t="shared" si="109"/>
        <v>0.84808048795792157</v>
      </c>
      <c r="AH368" s="16" t="e">
        <f t="shared" si="110"/>
        <v>#VALUE!</v>
      </c>
    </row>
    <row r="369" spans="1:34" x14ac:dyDescent="0.25">
      <c r="A369" s="12">
        <v>24306</v>
      </c>
      <c r="B369" s="13">
        <v>44.444497300000002</v>
      </c>
      <c r="C369" s="12">
        <v>89.601986499999995</v>
      </c>
      <c r="D369" s="14">
        <v>0</v>
      </c>
      <c r="T369" s="5">
        <f t="shared" si="96"/>
        <v>32729485.249008004</v>
      </c>
      <c r="U369" s="5">
        <f t="shared" si="97"/>
        <v>32729485.249008004</v>
      </c>
      <c r="V369" s="5" t="str">
        <f t="shared" si="98"/>
        <v>n/a</v>
      </c>
      <c r="W369" s="5" t="str">
        <f t="shared" si="99"/>
        <v>n/a</v>
      </c>
      <c r="X369" s="6" t="str">
        <f t="shared" si="100"/>
        <v>n/a</v>
      </c>
      <c r="Y369" s="16" t="str">
        <f t="shared" si="101"/>
        <v>error</v>
      </c>
      <c r="Z369" s="16" t="str">
        <f t="shared" si="102"/>
        <v>error</v>
      </c>
      <c r="AA369" s="16" t="str">
        <f t="shared" si="103"/>
        <v>error</v>
      </c>
      <c r="AB369" s="16" t="str">
        <f t="shared" si="104"/>
        <v>error</v>
      </c>
      <c r="AC369" s="18" t="str">
        <f t="shared" si="105"/>
        <v>error</v>
      </c>
      <c r="AD369" s="16" t="str">
        <f t="shared" si="106"/>
        <v>error</v>
      </c>
      <c r="AE369" s="16" t="str">
        <f t="shared" si="107"/>
        <v>error</v>
      </c>
      <c r="AF369" s="16" t="str">
        <f t="shared" si="108"/>
        <v>error</v>
      </c>
      <c r="AG369" s="16" t="str">
        <f t="shared" si="109"/>
        <v>error</v>
      </c>
      <c r="AH369" s="16" t="str">
        <f t="shared" si="110"/>
        <v>error</v>
      </c>
    </row>
    <row r="370" spans="1:34" x14ac:dyDescent="0.25">
      <c r="A370" s="12">
        <v>24307</v>
      </c>
      <c r="B370" s="13">
        <v>44.438902300000002</v>
      </c>
      <c r="C370" s="12">
        <v>89.439069000000003</v>
      </c>
      <c r="D370" s="14">
        <v>5</v>
      </c>
      <c r="E370" s="13" t="s">
        <v>42</v>
      </c>
      <c r="F370" s="13">
        <v>44.4679</v>
      </c>
      <c r="G370" s="12">
        <v>89.487129999999993</v>
      </c>
      <c r="H370" s="13" t="s">
        <v>44</v>
      </c>
      <c r="I370" s="13">
        <v>44.400039999999997</v>
      </c>
      <c r="J370" s="12">
        <v>89.480410000000006</v>
      </c>
      <c r="K370" s="13" t="s">
        <v>51</v>
      </c>
      <c r="L370" s="13">
        <v>44.379460000000002</v>
      </c>
      <c r="M370" s="12">
        <v>89.439179999999993</v>
      </c>
      <c r="N370" s="13" t="s">
        <v>46</v>
      </c>
      <c r="O370" s="13">
        <v>44.38214</v>
      </c>
      <c r="P370" s="12">
        <v>89.366290000000006</v>
      </c>
      <c r="Q370" s="13" t="s">
        <v>43</v>
      </c>
      <c r="R370" s="13">
        <v>44.436340000000001</v>
      </c>
      <c r="S370" s="12">
        <v>89.375249999999994</v>
      </c>
      <c r="T370" s="5">
        <f t="shared" si="96"/>
        <v>16387.488453563517</v>
      </c>
      <c r="U370" s="5">
        <f t="shared" si="97"/>
        <v>17805.451610841941</v>
      </c>
      <c r="V370" s="5">
        <f t="shared" si="98"/>
        <v>21685.328308541168</v>
      </c>
      <c r="W370" s="5">
        <f t="shared" si="99"/>
        <v>28080.72635008092</v>
      </c>
      <c r="X370" s="6">
        <f t="shared" si="100"/>
        <v>16649.902631077359</v>
      </c>
      <c r="Y370" s="16">
        <f t="shared" si="101"/>
        <v>0.23563329142853087</v>
      </c>
      <c r="Z370" s="16">
        <f t="shared" si="102"/>
        <v>0.21686828994603788</v>
      </c>
      <c r="AA370" s="16">
        <f t="shared" si="103"/>
        <v>0.17806683798461648</v>
      </c>
      <c r="AB370" s="16">
        <f t="shared" si="104"/>
        <v>0.13751203563682354</v>
      </c>
      <c r="AC370" s="18">
        <f t="shared" si="105"/>
        <v>0.2319195450039912</v>
      </c>
      <c r="AD370" s="16">
        <f t="shared" si="106"/>
        <v>0.26828050410835297</v>
      </c>
      <c r="AE370" s="16">
        <f t="shared" si="107"/>
        <v>0.22725210999323117</v>
      </c>
      <c r="AF370" s="16">
        <f t="shared" si="108"/>
        <v>0.15320816391408307</v>
      </c>
      <c r="AG370" s="16">
        <f t="shared" si="109"/>
        <v>9.1368655982593056E-2</v>
      </c>
      <c r="AH370" s="16">
        <f t="shared" si="110"/>
        <v>0.25989056600173971</v>
      </c>
    </row>
    <row r="371" spans="1:34" x14ac:dyDescent="0.25">
      <c r="A371" s="12">
        <v>24311</v>
      </c>
      <c r="B371" s="13">
        <v>44.427022000000001</v>
      </c>
      <c r="C371" s="12">
        <v>89.503321999999997</v>
      </c>
      <c r="D371" s="14">
        <v>3</v>
      </c>
      <c r="E371" s="13" t="s">
        <v>42</v>
      </c>
      <c r="F371" s="13">
        <v>44.468649999999997</v>
      </c>
      <c r="G371" s="12">
        <v>89.498069999999998</v>
      </c>
      <c r="H371" s="13" t="s">
        <v>44</v>
      </c>
      <c r="I371" s="13">
        <v>44.396560000000001</v>
      </c>
      <c r="J371" s="12">
        <v>89.494640000000004</v>
      </c>
      <c r="K371" s="13" t="s">
        <v>50</v>
      </c>
      <c r="L371" s="13">
        <v>44.41048</v>
      </c>
      <c r="M371" s="12">
        <v>89.549909999999997</v>
      </c>
      <c r="T371" s="5">
        <f t="shared" si="96"/>
        <v>15247.898474603304</v>
      </c>
      <c r="U371" s="5">
        <f t="shared" si="97"/>
        <v>11340.900054191025</v>
      </c>
      <c r="V371" s="5">
        <f t="shared" si="98"/>
        <v>13556.49076256821</v>
      </c>
      <c r="W371" s="5" t="str">
        <f t="shared" si="99"/>
        <v>n/a</v>
      </c>
      <c r="X371" s="6" t="str">
        <f t="shared" si="100"/>
        <v>n/a</v>
      </c>
      <c r="Y371" s="16">
        <f t="shared" si="101"/>
        <v>0.28824486843423819</v>
      </c>
      <c r="Z371" s="16">
        <f t="shared" si="102"/>
        <v>0.38754670870116981</v>
      </c>
      <c r="AA371" s="16">
        <f t="shared" si="103"/>
        <v>0.32420842286459201</v>
      </c>
      <c r="AB371" s="16" t="e">
        <f t="shared" si="104"/>
        <v>#VALUE!</v>
      </c>
      <c r="AC371" s="18" t="e">
        <f t="shared" si="105"/>
        <v>#VALUE!</v>
      </c>
      <c r="AD371" s="16">
        <f t="shared" si="106"/>
        <v>0.24553158755527743</v>
      </c>
      <c r="AE371" s="16">
        <f t="shared" si="107"/>
        <v>0.44384599865125612</v>
      </c>
      <c r="AF371" s="16">
        <f t="shared" si="108"/>
        <v>0.31062241379346656</v>
      </c>
      <c r="AG371" s="16" t="e">
        <f t="shared" si="109"/>
        <v>#VALUE!</v>
      </c>
      <c r="AH371" s="16" t="e">
        <f t="shared" si="110"/>
        <v>#VALUE!</v>
      </c>
    </row>
    <row r="372" spans="1:34" x14ac:dyDescent="0.25">
      <c r="A372" s="12">
        <v>24314</v>
      </c>
      <c r="B372" s="13">
        <v>44.4997294</v>
      </c>
      <c r="C372" s="12">
        <v>89.4961658</v>
      </c>
      <c r="D372" s="13">
        <v>0</v>
      </c>
      <c r="T372" s="5">
        <f t="shared" si="96"/>
        <v>32702048.751887839</v>
      </c>
      <c r="U372" s="5">
        <f t="shared" si="97"/>
        <v>32702048.751887839</v>
      </c>
      <c r="V372" s="5" t="str">
        <f t="shared" si="98"/>
        <v>n/a</v>
      </c>
      <c r="W372" s="5" t="str">
        <f t="shared" si="99"/>
        <v>n/a</v>
      </c>
      <c r="X372" s="6" t="str">
        <f t="shared" si="100"/>
        <v>n/a</v>
      </c>
      <c r="Y372" s="16" t="str">
        <f t="shared" si="101"/>
        <v>error</v>
      </c>
      <c r="Z372" s="16" t="str">
        <f t="shared" si="102"/>
        <v>error</v>
      </c>
      <c r="AA372" s="16" t="str">
        <f t="shared" si="103"/>
        <v>error</v>
      </c>
      <c r="AB372" s="16" t="str">
        <f t="shared" si="104"/>
        <v>error</v>
      </c>
      <c r="AC372" s="18" t="str">
        <f t="shared" si="105"/>
        <v>error</v>
      </c>
      <c r="AD372" s="16" t="str">
        <f t="shared" si="106"/>
        <v>error</v>
      </c>
      <c r="AE372" s="16" t="str">
        <f t="shared" si="107"/>
        <v>error</v>
      </c>
      <c r="AF372" s="16" t="str">
        <f t="shared" si="108"/>
        <v>error</v>
      </c>
      <c r="AG372" s="16" t="str">
        <f t="shared" si="109"/>
        <v>error</v>
      </c>
      <c r="AH372" s="16" t="str">
        <f t="shared" si="110"/>
        <v>error</v>
      </c>
    </row>
    <row r="373" spans="1:34" x14ac:dyDescent="0.25">
      <c r="A373" s="12">
        <v>24315</v>
      </c>
      <c r="B373" s="13">
        <v>44.419229899999998</v>
      </c>
      <c r="C373" s="12">
        <v>89.634818899999999</v>
      </c>
      <c r="D373" s="14">
        <v>0</v>
      </c>
      <c r="T373" s="5">
        <f t="shared" si="96"/>
        <v>32737995.239330944</v>
      </c>
      <c r="U373" s="5">
        <f t="shared" si="97"/>
        <v>32737995.239330944</v>
      </c>
      <c r="V373" s="5" t="str">
        <f t="shared" si="98"/>
        <v>n/a</v>
      </c>
      <c r="W373" s="5" t="str">
        <f t="shared" si="99"/>
        <v>n/a</v>
      </c>
      <c r="X373" s="6" t="str">
        <f t="shared" si="100"/>
        <v>n/a</v>
      </c>
      <c r="Y373" s="16" t="str">
        <f t="shared" si="101"/>
        <v>error</v>
      </c>
      <c r="Z373" s="16" t="str">
        <f t="shared" si="102"/>
        <v>error</v>
      </c>
      <c r="AA373" s="16" t="str">
        <f t="shared" si="103"/>
        <v>error</v>
      </c>
      <c r="AB373" s="16" t="str">
        <f t="shared" si="104"/>
        <v>error</v>
      </c>
      <c r="AC373" s="18" t="str">
        <f t="shared" si="105"/>
        <v>error</v>
      </c>
      <c r="AD373" s="16" t="str">
        <f t="shared" si="106"/>
        <v>error</v>
      </c>
      <c r="AE373" s="16" t="str">
        <f t="shared" si="107"/>
        <v>error</v>
      </c>
      <c r="AF373" s="16" t="str">
        <f t="shared" si="108"/>
        <v>error</v>
      </c>
      <c r="AG373" s="16" t="str">
        <f t="shared" si="109"/>
        <v>error</v>
      </c>
      <c r="AH373" s="16" t="str">
        <f t="shared" si="110"/>
        <v>error</v>
      </c>
    </row>
    <row r="374" spans="1:34" x14ac:dyDescent="0.25">
      <c r="A374" s="12">
        <v>24316</v>
      </c>
      <c r="B374" s="13">
        <v>44.420881000000001</v>
      </c>
      <c r="C374" s="12">
        <v>89.642280999999997</v>
      </c>
      <c r="D374" s="14">
        <v>0</v>
      </c>
      <c r="T374" s="5">
        <f t="shared" si="96"/>
        <v>32739942.200142793</v>
      </c>
      <c r="U374" s="5">
        <f t="shared" si="97"/>
        <v>32739942.200142793</v>
      </c>
      <c r="V374" s="5" t="str">
        <f t="shared" si="98"/>
        <v>n/a</v>
      </c>
      <c r="W374" s="5" t="str">
        <f t="shared" si="99"/>
        <v>n/a</v>
      </c>
      <c r="X374" s="6" t="str">
        <f t="shared" si="100"/>
        <v>n/a</v>
      </c>
      <c r="Y374" s="16" t="str">
        <f t="shared" si="101"/>
        <v>error</v>
      </c>
      <c r="Z374" s="16" t="str">
        <f t="shared" si="102"/>
        <v>error</v>
      </c>
      <c r="AA374" s="16" t="str">
        <f t="shared" si="103"/>
        <v>error</v>
      </c>
      <c r="AB374" s="16" t="str">
        <f t="shared" si="104"/>
        <v>error</v>
      </c>
      <c r="AC374" s="18" t="str">
        <f t="shared" si="105"/>
        <v>error</v>
      </c>
      <c r="AD374" s="16" t="str">
        <f t="shared" si="106"/>
        <v>error</v>
      </c>
      <c r="AE374" s="16" t="str">
        <f t="shared" si="107"/>
        <v>error</v>
      </c>
      <c r="AF374" s="16" t="str">
        <f t="shared" si="108"/>
        <v>error</v>
      </c>
      <c r="AG374" s="16" t="str">
        <f t="shared" si="109"/>
        <v>error</v>
      </c>
      <c r="AH374" s="16" t="str">
        <f t="shared" si="110"/>
        <v>error</v>
      </c>
    </row>
    <row r="375" spans="1:34" x14ac:dyDescent="0.25">
      <c r="A375" s="12">
        <v>24317</v>
      </c>
      <c r="B375" s="13">
        <v>44.517865499999999</v>
      </c>
      <c r="C375" s="12">
        <v>89.531895000000006</v>
      </c>
      <c r="D375" s="14">
        <v>2</v>
      </c>
      <c r="E375" s="13" t="s">
        <v>42</v>
      </c>
      <c r="F375" s="13">
        <v>44.473640000000003</v>
      </c>
      <c r="G375" s="12">
        <v>89.522989999999993</v>
      </c>
      <c r="H375" s="13" t="s">
        <v>39</v>
      </c>
      <c r="I375" s="13">
        <v>44.521830000000001</v>
      </c>
      <c r="J375" s="12">
        <v>89.536479999999997</v>
      </c>
      <c r="T375" s="5">
        <f t="shared" si="96"/>
        <v>16299.588012535372</v>
      </c>
      <c r="U375" s="5">
        <f t="shared" si="97"/>
        <v>1874.6028776917542</v>
      </c>
      <c r="V375" s="5" t="str">
        <f t="shared" si="98"/>
        <v>n/a</v>
      </c>
      <c r="W375" s="5" t="str">
        <f t="shared" si="99"/>
        <v>n/a</v>
      </c>
      <c r="X375" s="6" t="str">
        <f t="shared" si="100"/>
        <v>n/a</v>
      </c>
      <c r="Y375" s="16">
        <f t="shared" si="101"/>
        <v>0.10314642830673641</v>
      </c>
      <c r="Z375" s="16">
        <f t="shared" si="102"/>
        <v>0.89685357169326363</v>
      </c>
      <c r="AA375" s="16" t="e">
        <f t="shared" si="103"/>
        <v>#VALUE!</v>
      </c>
      <c r="AB375" s="16" t="e">
        <f t="shared" si="104"/>
        <v>#VALUE!</v>
      </c>
      <c r="AC375" s="18" t="e">
        <f t="shared" si="105"/>
        <v>#VALUE!</v>
      </c>
      <c r="AD375" s="16">
        <f t="shared" si="106"/>
        <v>1.3054447570081205E-2</v>
      </c>
      <c r="AE375" s="16">
        <f t="shared" si="107"/>
        <v>0.98694555242991888</v>
      </c>
      <c r="AF375" s="16" t="e">
        <f t="shared" si="108"/>
        <v>#VALUE!</v>
      </c>
      <c r="AG375" s="16" t="e">
        <f t="shared" si="109"/>
        <v>#VALUE!</v>
      </c>
      <c r="AH375" s="16" t="e">
        <f t="shared" si="110"/>
        <v>#VALUE!</v>
      </c>
    </row>
    <row r="376" spans="1:34" x14ac:dyDescent="0.25">
      <c r="A376" s="12">
        <v>24319</v>
      </c>
      <c r="B376" s="13">
        <v>44.413600000000002</v>
      </c>
      <c r="C376" s="12">
        <v>89.683000000000007</v>
      </c>
      <c r="D376" s="14">
        <v>0</v>
      </c>
      <c r="T376" s="5">
        <f t="shared" si="96"/>
        <v>32750541.392255567</v>
      </c>
      <c r="U376" s="5">
        <f t="shared" si="97"/>
        <v>32750541.392255567</v>
      </c>
      <c r="V376" s="5" t="str">
        <f t="shared" si="98"/>
        <v>n/a</v>
      </c>
      <c r="W376" s="5" t="str">
        <f t="shared" si="99"/>
        <v>n/a</v>
      </c>
      <c r="X376" s="6" t="str">
        <f t="shared" si="100"/>
        <v>n/a</v>
      </c>
      <c r="Y376" s="16" t="str">
        <f t="shared" si="101"/>
        <v>error</v>
      </c>
      <c r="Z376" s="16" t="str">
        <f t="shared" si="102"/>
        <v>error</v>
      </c>
      <c r="AA376" s="16" t="str">
        <f t="shared" si="103"/>
        <v>error</v>
      </c>
      <c r="AB376" s="16" t="str">
        <f t="shared" si="104"/>
        <v>error</v>
      </c>
      <c r="AC376" s="18" t="str">
        <f t="shared" si="105"/>
        <v>error</v>
      </c>
      <c r="AD376" s="16" t="str">
        <f t="shared" si="106"/>
        <v>error</v>
      </c>
      <c r="AE376" s="16" t="str">
        <f t="shared" si="107"/>
        <v>error</v>
      </c>
      <c r="AF376" s="16" t="str">
        <f t="shared" si="108"/>
        <v>error</v>
      </c>
      <c r="AG376" s="16" t="str">
        <f t="shared" si="109"/>
        <v>error</v>
      </c>
      <c r="AH376" s="16" t="str">
        <f t="shared" si="110"/>
        <v>error</v>
      </c>
    </row>
    <row r="377" spans="1:34" x14ac:dyDescent="0.25">
      <c r="A377" s="12">
        <v>24321</v>
      </c>
      <c r="B377" s="13">
        <v>44.408512700000003</v>
      </c>
      <c r="C377" s="12">
        <v>89.582362399999994</v>
      </c>
      <c r="D377" s="13">
        <v>0</v>
      </c>
      <c r="T377" s="5">
        <f t="shared" si="96"/>
        <v>32724307.224849608</v>
      </c>
      <c r="U377" s="5">
        <f t="shared" si="97"/>
        <v>32724307.224849608</v>
      </c>
      <c r="V377" s="5" t="str">
        <f t="shared" si="98"/>
        <v>n/a</v>
      </c>
      <c r="W377" s="5" t="str">
        <f t="shared" si="99"/>
        <v>n/a</v>
      </c>
      <c r="X377" s="6" t="str">
        <f t="shared" si="100"/>
        <v>n/a</v>
      </c>
      <c r="Y377" s="16" t="str">
        <f t="shared" si="101"/>
        <v>error</v>
      </c>
      <c r="Z377" s="16" t="str">
        <f t="shared" si="102"/>
        <v>error</v>
      </c>
      <c r="AA377" s="16" t="str">
        <f t="shared" si="103"/>
        <v>error</v>
      </c>
      <c r="AB377" s="16" t="str">
        <f t="shared" si="104"/>
        <v>error</v>
      </c>
      <c r="AC377" s="18" t="str">
        <f t="shared" si="105"/>
        <v>error</v>
      </c>
      <c r="AD377" s="16" t="str">
        <f t="shared" si="106"/>
        <v>error</v>
      </c>
      <c r="AE377" s="16" t="str">
        <f t="shared" si="107"/>
        <v>error</v>
      </c>
      <c r="AF377" s="16" t="str">
        <f t="shared" si="108"/>
        <v>error</v>
      </c>
      <c r="AG377" s="16" t="str">
        <f t="shared" si="109"/>
        <v>error</v>
      </c>
      <c r="AH377" s="16" t="str">
        <f t="shared" si="110"/>
        <v>error</v>
      </c>
    </row>
    <row r="378" spans="1:34" x14ac:dyDescent="0.25">
      <c r="A378" s="12">
        <v>24323</v>
      </c>
      <c r="B378" s="13">
        <v>44.464950000000002</v>
      </c>
      <c r="C378" s="12">
        <v>89.503299999999996</v>
      </c>
      <c r="D378" s="14">
        <v>2</v>
      </c>
      <c r="E378" s="13" t="s">
        <v>42</v>
      </c>
      <c r="F378" s="13">
        <v>44.469389999999997</v>
      </c>
      <c r="G378" s="12">
        <v>89.502489999999995</v>
      </c>
      <c r="H378" s="13" t="s">
        <v>48</v>
      </c>
      <c r="I378" s="13">
        <v>44.466239999999999</v>
      </c>
      <c r="J378" s="12">
        <v>89.552930000000003</v>
      </c>
      <c r="T378" s="5">
        <f t="shared" si="96"/>
        <v>1633.4386856796075</v>
      </c>
      <c r="U378" s="5">
        <f t="shared" si="97"/>
        <v>12930.052793165556</v>
      </c>
      <c r="V378" s="5" t="str">
        <f t="shared" si="98"/>
        <v>n/a</v>
      </c>
      <c r="W378" s="5" t="str">
        <f t="shared" si="99"/>
        <v>n/a</v>
      </c>
      <c r="X378" s="6" t="str">
        <f t="shared" si="100"/>
        <v>n/a</v>
      </c>
      <c r="Y378" s="16">
        <f t="shared" si="101"/>
        <v>0.88784017293845152</v>
      </c>
      <c r="Z378" s="16">
        <f t="shared" si="102"/>
        <v>0.11215982706154839</v>
      </c>
      <c r="AA378" s="16" t="e">
        <f t="shared" si="103"/>
        <v>#VALUE!</v>
      </c>
      <c r="AB378" s="16" t="e">
        <f t="shared" si="104"/>
        <v>#VALUE!</v>
      </c>
      <c r="AC378" s="18" t="e">
        <f t="shared" si="105"/>
        <v>#VALUE!</v>
      </c>
      <c r="AD378" s="16">
        <f t="shared" si="106"/>
        <v>0.9842917101861921</v>
      </c>
      <c r="AE378" s="16">
        <f t="shared" si="107"/>
        <v>1.5708289813807921E-2</v>
      </c>
      <c r="AF378" s="16" t="e">
        <f t="shared" si="108"/>
        <v>#VALUE!</v>
      </c>
      <c r="AG378" s="16" t="e">
        <f t="shared" si="109"/>
        <v>#VALUE!</v>
      </c>
      <c r="AH378" s="16" t="e">
        <f t="shared" si="110"/>
        <v>#VALUE!</v>
      </c>
    </row>
    <row r="379" spans="1:34" x14ac:dyDescent="0.25">
      <c r="A379" s="12">
        <v>58402</v>
      </c>
      <c r="B379" s="13">
        <v>44.511294999999997</v>
      </c>
      <c r="C379" s="12">
        <v>89.543779999999998</v>
      </c>
      <c r="D379" s="13">
        <v>0</v>
      </c>
      <c r="T379" s="5">
        <f t="shared" si="96"/>
        <v>32714461.496865023</v>
      </c>
      <c r="U379" s="5">
        <f t="shared" si="97"/>
        <v>32714461.496865023</v>
      </c>
      <c r="V379" s="5" t="str">
        <f t="shared" si="98"/>
        <v>n/a</v>
      </c>
      <c r="W379" s="5" t="str">
        <f t="shared" si="99"/>
        <v>n/a</v>
      </c>
      <c r="X379" s="6" t="str">
        <f t="shared" si="100"/>
        <v>n/a</v>
      </c>
      <c r="Y379" s="16" t="str">
        <f t="shared" si="101"/>
        <v>error</v>
      </c>
      <c r="Z379" s="16" t="str">
        <f t="shared" si="102"/>
        <v>error</v>
      </c>
      <c r="AA379" s="16" t="str">
        <f t="shared" si="103"/>
        <v>error</v>
      </c>
      <c r="AB379" s="16" t="str">
        <f t="shared" si="104"/>
        <v>error</v>
      </c>
      <c r="AC379" s="18" t="str">
        <f t="shared" si="105"/>
        <v>error</v>
      </c>
      <c r="AD379" s="16" t="str">
        <f t="shared" si="106"/>
        <v>error</v>
      </c>
      <c r="AE379" s="16" t="str">
        <f t="shared" si="107"/>
        <v>error</v>
      </c>
      <c r="AF379" s="16" t="str">
        <f t="shared" si="108"/>
        <v>error</v>
      </c>
      <c r="AG379" s="16" t="str">
        <f t="shared" si="109"/>
        <v>error</v>
      </c>
      <c r="AH379" s="16" t="str">
        <f t="shared" si="110"/>
        <v>error</v>
      </c>
    </row>
    <row r="380" spans="1:34" x14ac:dyDescent="0.25">
      <c r="A380" s="12">
        <v>58403</v>
      </c>
      <c r="B380" s="13">
        <v>44.503300000000003</v>
      </c>
      <c r="C380" s="12">
        <v>89.411900000000003</v>
      </c>
      <c r="D380" s="14">
        <v>4</v>
      </c>
      <c r="E380" s="13" t="s">
        <v>42</v>
      </c>
      <c r="F380" s="13">
        <v>44.482410000000002</v>
      </c>
      <c r="G380" s="12">
        <v>89.479749999999996</v>
      </c>
      <c r="H380" s="13" t="s">
        <v>40</v>
      </c>
      <c r="I380" s="13">
        <v>44.551259999999999</v>
      </c>
      <c r="J380" s="12">
        <v>89.468959999999996</v>
      </c>
      <c r="K380" s="13" t="s">
        <v>41</v>
      </c>
      <c r="L380" s="13">
        <v>44.516109999999998</v>
      </c>
      <c r="M380" s="12">
        <v>89.335679999999996</v>
      </c>
      <c r="N380" s="13" t="s">
        <v>43</v>
      </c>
      <c r="O380" s="13">
        <v>44.436770000000003</v>
      </c>
      <c r="P380" s="12">
        <v>89.376199999999997</v>
      </c>
      <c r="T380" s="5">
        <f t="shared" si="96"/>
        <v>19231.374213942778</v>
      </c>
      <c r="U380" s="5">
        <f t="shared" si="97"/>
        <v>22942.470764468599</v>
      </c>
      <c r="V380" s="5">
        <f t="shared" si="98"/>
        <v>20372.598682012369</v>
      </c>
      <c r="W380" s="5">
        <f t="shared" si="99"/>
        <v>25989.608376415428</v>
      </c>
      <c r="X380" s="6" t="str">
        <f t="shared" si="100"/>
        <v>n/a</v>
      </c>
      <c r="Y380" s="16">
        <f t="shared" si="101"/>
        <v>0.2839142897018998</v>
      </c>
      <c r="Z380" s="16">
        <f t="shared" si="102"/>
        <v>0.2379892735179634</v>
      </c>
      <c r="AA380" s="16">
        <f t="shared" si="103"/>
        <v>0.26801008723368525</v>
      </c>
      <c r="AB380" s="16">
        <f t="shared" si="104"/>
        <v>0.2100863495464515</v>
      </c>
      <c r="AC380" s="18" t="e">
        <f t="shared" si="105"/>
        <v>#VALUE!</v>
      </c>
      <c r="AD380" s="16">
        <f t="shared" si="106"/>
        <v>0.3183393991743938</v>
      </c>
      <c r="AE380" s="16">
        <f t="shared" si="107"/>
        <v>0.22368180349811043</v>
      </c>
      <c r="AF380" s="16">
        <f t="shared" si="108"/>
        <v>0.28367310955250818</v>
      </c>
      <c r="AG380" s="16">
        <f t="shared" si="109"/>
        <v>0.17430568777498759</v>
      </c>
      <c r="AH380" s="16" t="e">
        <f t="shared" si="110"/>
        <v>#VALUE!</v>
      </c>
    </row>
    <row r="381" spans="1:34" x14ac:dyDescent="0.25">
      <c r="A381" s="12">
        <v>58405</v>
      </c>
      <c r="B381" s="13">
        <v>44.456663499999998</v>
      </c>
      <c r="C381" s="12">
        <v>89.516627400000004</v>
      </c>
      <c r="D381" s="14">
        <v>2</v>
      </c>
      <c r="E381" s="13" t="s">
        <v>42</v>
      </c>
      <c r="F381" s="13">
        <v>44.470379999999999</v>
      </c>
      <c r="G381" s="12">
        <v>89.513419999999996</v>
      </c>
      <c r="H381" s="13" t="s">
        <v>48</v>
      </c>
      <c r="I381" s="13">
        <v>44.463030000000003</v>
      </c>
      <c r="J381" s="12">
        <v>89.553120000000007</v>
      </c>
      <c r="T381" s="5">
        <f t="shared" si="96"/>
        <v>5073.1590756514133</v>
      </c>
      <c r="U381" s="5">
        <f t="shared" si="97"/>
        <v>9781.7525637773015</v>
      </c>
      <c r="V381" s="5" t="str">
        <f t="shared" si="98"/>
        <v>n/a</v>
      </c>
      <c r="W381" s="5" t="str">
        <f t="shared" si="99"/>
        <v>n/a</v>
      </c>
      <c r="X381" s="6" t="str">
        <f t="shared" si="100"/>
        <v>n/a</v>
      </c>
      <c r="Y381" s="16">
        <f t="shared" si="101"/>
        <v>0.65848608199149705</v>
      </c>
      <c r="Z381" s="16">
        <f t="shared" si="102"/>
        <v>0.34151391800850284</v>
      </c>
      <c r="AA381" s="16" t="e">
        <f t="shared" si="103"/>
        <v>#VALUE!</v>
      </c>
      <c r="AB381" s="16" t="e">
        <f t="shared" si="104"/>
        <v>#VALUE!</v>
      </c>
      <c r="AC381" s="18" t="e">
        <f t="shared" si="105"/>
        <v>#VALUE!</v>
      </c>
      <c r="AD381" s="16">
        <f t="shared" si="106"/>
        <v>0.78803308981534659</v>
      </c>
      <c r="AE381" s="16">
        <f t="shared" si="107"/>
        <v>0.21196691018465347</v>
      </c>
      <c r="AF381" s="16" t="e">
        <f t="shared" si="108"/>
        <v>#VALUE!</v>
      </c>
      <c r="AG381" s="16" t="e">
        <f t="shared" si="109"/>
        <v>#VALUE!</v>
      </c>
      <c r="AH381" s="16" t="e">
        <f t="shared" si="110"/>
        <v>#VALUE!</v>
      </c>
    </row>
    <row r="382" spans="1:34" x14ac:dyDescent="0.25">
      <c r="A382" s="12">
        <v>58406</v>
      </c>
      <c r="B382" s="13">
        <v>44.459032000000001</v>
      </c>
      <c r="C382" s="12">
        <v>89.559850999999995</v>
      </c>
      <c r="D382" s="14">
        <v>4</v>
      </c>
      <c r="E382" s="13" t="s">
        <v>42</v>
      </c>
      <c r="F382" s="13">
        <v>44.470410000000001</v>
      </c>
      <c r="G382" s="12">
        <v>89.511759999999995</v>
      </c>
      <c r="H382" s="13" t="s">
        <v>44</v>
      </c>
      <c r="I382" s="13">
        <v>44.388379999999998</v>
      </c>
      <c r="J382" s="12">
        <v>89.530510000000007</v>
      </c>
      <c r="K382" s="13" t="s">
        <v>48</v>
      </c>
      <c r="L382" s="13">
        <v>44.462609999999998</v>
      </c>
      <c r="M382" s="12">
        <v>89.562640000000002</v>
      </c>
      <c r="N382" s="13" t="s">
        <v>49</v>
      </c>
      <c r="O382" s="13">
        <v>44.433489999999999</v>
      </c>
      <c r="P382" s="12">
        <v>89.562479999999994</v>
      </c>
      <c r="T382" s="5">
        <f t="shared" si="96"/>
        <v>13191.077509867897</v>
      </c>
      <c r="U382" s="5">
        <f t="shared" si="97"/>
        <v>26884.522967384022</v>
      </c>
      <c r="V382" s="5">
        <f t="shared" si="98"/>
        <v>1493.7084059889035</v>
      </c>
      <c r="W382" s="5">
        <f t="shared" si="99"/>
        <v>9343.1699310284694</v>
      </c>
      <c r="X382" s="6" t="str">
        <f t="shared" si="100"/>
        <v>n/a</v>
      </c>
      <c r="Y382" s="16">
        <f t="shared" si="101"/>
        <v>8.5225397766057559E-2</v>
      </c>
      <c r="Z382" s="16">
        <f t="shared" si="102"/>
        <v>4.1816432045503324E-2</v>
      </c>
      <c r="AA382" s="16">
        <f t="shared" si="103"/>
        <v>0.7526333943318112</v>
      </c>
      <c r="AB382" s="16">
        <f t="shared" si="104"/>
        <v>0.12032477585662804</v>
      </c>
      <c r="AC382" s="18" t="e">
        <f t="shared" si="105"/>
        <v>#VALUE!</v>
      </c>
      <c r="AD382" s="16">
        <f t="shared" si="106"/>
        <v>1.231189866414225E-2</v>
      </c>
      <c r="AE382" s="16">
        <f t="shared" si="107"/>
        <v>2.9640184798003805E-3</v>
      </c>
      <c r="AF382" s="16">
        <f t="shared" si="108"/>
        <v>0.96018281015936924</v>
      </c>
      <c r="AG382" s="16">
        <f t="shared" si="109"/>
        <v>2.45412726966882E-2</v>
      </c>
      <c r="AH382" s="16" t="e">
        <f t="shared" si="110"/>
        <v>#VALUE!</v>
      </c>
    </row>
    <row r="383" spans="1:34" x14ac:dyDescent="0.25">
      <c r="A383" s="12">
        <v>58407</v>
      </c>
      <c r="B383" s="13">
        <v>44.457296599999999</v>
      </c>
      <c r="C383" s="12">
        <v>89.559376799999995</v>
      </c>
      <c r="D383" s="14">
        <v>4</v>
      </c>
      <c r="E383" s="13" t="s">
        <v>42</v>
      </c>
      <c r="F383" s="13">
        <v>44.470410000000001</v>
      </c>
      <c r="G383" s="12">
        <v>89.511759999999995</v>
      </c>
      <c r="H383" s="13" t="s">
        <v>44</v>
      </c>
      <c r="I383" s="13">
        <v>44.388379999999998</v>
      </c>
      <c r="J383" s="12">
        <v>89.530510000000007</v>
      </c>
      <c r="K383" s="13" t="s">
        <v>48</v>
      </c>
      <c r="L383" s="13">
        <v>44.462609999999998</v>
      </c>
      <c r="M383" s="12">
        <v>89.562640000000002</v>
      </c>
      <c r="N383" s="13" t="s">
        <v>49</v>
      </c>
      <c r="O383" s="13">
        <v>44.433489999999999</v>
      </c>
      <c r="P383" s="12">
        <v>89.562479999999994</v>
      </c>
      <c r="T383" s="5">
        <f t="shared" si="96"/>
        <v>13288.685249562137</v>
      </c>
      <c r="U383" s="5">
        <f t="shared" si="97"/>
        <v>26242.533677714451</v>
      </c>
      <c r="V383" s="5">
        <f t="shared" si="98"/>
        <v>2116.4428369656066</v>
      </c>
      <c r="W383" s="5">
        <f t="shared" si="99"/>
        <v>8722.4763363342354</v>
      </c>
      <c r="X383" s="6" t="str">
        <f t="shared" si="100"/>
        <v>n/a</v>
      </c>
      <c r="Y383" s="16">
        <f t="shared" si="101"/>
        <v>0.10742682716306066</v>
      </c>
      <c r="Z383" s="16">
        <f t="shared" si="102"/>
        <v>5.4398760083952238E-2</v>
      </c>
      <c r="AA383" s="16">
        <f t="shared" si="103"/>
        <v>0.67450973331070596</v>
      </c>
      <c r="AB383" s="16">
        <f t="shared" si="104"/>
        <v>0.16366467944228114</v>
      </c>
      <c r="AC383" s="18" t="e">
        <f t="shared" si="105"/>
        <v>#VALUE!</v>
      </c>
      <c r="AD383" s="16">
        <f t="shared" si="106"/>
        <v>2.3255497225699678E-2</v>
      </c>
      <c r="AE383" s="16">
        <f t="shared" si="107"/>
        <v>5.9631829435802183E-3</v>
      </c>
      <c r="AF383" s="16">
        <f t="shared" si="108"/>
        <v>0.91680415618290467</v>
      </c>
      <c r="AG383" s="16">
        <f t="shared" si="109"/>
        <v>5.397716364781547E-2</v>
      </c>
      <c r="AH383" s="16" t="e">
        <f t="shared" si="110"/>
        <v>#VALUE!</v>
      </c>
    </row>
    <row r="384" spans="1:34" x14ac:dyDescent="0.25">
      <c r="A384" s="12">
        <v>58410</v>
      </c>
      <c r="B384" s="13">
        <v>44.442032599999997</v>
      </c>
      <c r="C384" s="12">
        <v>89.428828800000005</v>
      </c>
      <c r="D384" s="14">
        <v>3</v>
      </c>
      <c r="E384" s="13" t="s">
        <v>42</v>
      </c>
      <c r="F384" s="13">
        <v>44.469250000000002</v>
      </c>
      <c r="G384" s="12">
        <v>89.483339999999998</v>
      </c>
      <c r="H384" s="13" t="s">
        <v>44</v>
      </c>
      <c r="I384" s="13">
        <v>44.400100000000002</v>
      </c>
      <c r="J384" s="12">
        <v>89.480699999999999</v>
      </c>
      <c r="K384" s="13" t="s">
        <v>43</v>
      </c>
      <c r="L384" s="13">
        <v>44.436549999999997</v>
      </c>
      <c r="M384" s="12">
        <v>89.375739999999993</v>
      </c>
      <c r="T384" s="5">
        <f t="shared" si="96"/>
        <v>17322.852084086353</v>
      </c>
      <c r="U384" s="5">
        <f t="shared" si="97"/>
        <v>20412.694326980905</v>
      </c>
      <c r="V384" s="5">
        <f t="shared" si="98"/>
        <v>13972.133565851656</v>
      </c>
      <c r="W384" s="5" t="str">
        <f t="shared" si="99"/>
        <v>n/a</v>
      </c>
      <c r="X384" s="6" t="str">
        <f t="shared" si="100"/>
        <v>n/a</v>
      </c>
      <c r="Y384" s="16">
        <f t="shared" si="101"/>
        <v>0.3237874621221441</v>
      </c>
      <c r="Z384" s="16">
        <f t="shared" si="102"/>
        <v>0.27477618697351014</v>
      </c>
      <c r="AA384" s="16">
        <f t="shared" si="103"/>
        <v>0.40143635090434587</v>
      </c>
      <c r="AB384" s="16" t="e">
        <f t="shared" si="104"/>
        <v>#VALUE!</v>
      </c>
      <c r="AC384" s="18" t="e">
        <f t="shared" si="105"/>
        <v>#VALUE!</v>
      </c>
      <c r="AD384" s="16">
        <f t="shared" si="106"/>
        <v>0.30700133382866535</v>
      </c>
      <c r="AE384" s="16">
        <f t="shared" si="107"/>
        <v>0.22109473059790288</v>
      </c>
      <c r="AF384" s="16">
        <f t="shared" si="108"/>
        <v>0.47190393557343169</v>
      </c>
      <c r="AG384" s="16" t="e">
        <f t="shared" si="109"/>
        <v>#VALUE!</v>
      </c>
      <c r="AH384" s="16" t="e">
        <f t="shared" si="110"/>
        <v>#VALUE!</v>
      </c>
    </row>
    <row r="385" spans="1:34" x14ac:dyDescent="0.25">
      <c r="A385" s="12">
        <v>58411</v>
      </c>
      <c r="B385" s="13">
        <v>44.434780099999998</v>
      </c>
      <c r="C385" s="12">
        <v>89.428835699999993</v>
      </c>
      <c r="D385" s="14">
        <v>5</v>
      </c>
      <c r="E385" s="13" t="s">
        <v>42</v>
      </c>
      <c r="F385" s="13">
        <v>44.4679</v>
      </c>
      <c r="G385" s="12">
        <v>89.487129999999993</v>
      </c>
      <c r="H385" s="13" t="s">
        <v>44</v>
      </c>
      <c r="I385" s="13">
        <v>44.400039999999997</v>
      </c>
      <c r="J385" s="12">
        <v>89.480410000000006</v>
      </c>
      <c r="K385" s="13" t="s">
        <v>51</v>
      </c>
      <c r="L385" s="13">
        <v>44.379460000000002</v>
      </c>
      <c r="M385" s="12">
        <v>89.439179999999993</v>
      </c>
      <c r="N385" s="13" t="s">
        <v>46</v>
      </c>
      <c r="O385" s="13">
        <v>44.38214</v>
      </c>
      <c r="P385" s="12">
        <v>89.366290000000006</v>
      </c>
      <c r="Q385" s="13" t="s">
        <v>43</v>
      </c>
      <c r="R385" s="13">
        <v>44.436340000000001</v>
      </c>
      <c r="S385" s="12">
        <v>89.375249999999994</v>
      </c>
      <c r="T385" s="5">
        <f t="shared" si="96"/>
        <v>19402.343776609952</v>
      </c>
      <c r="U385" s="5">
        <f t="shared" si="97"/>
        <v>18472.18455831378</v>
      </c>
      <c r="V385" s="5">
        <f t="shared" si="98"/>
        <v>20360.744783000911</v>
      </c>
      <c r="W385" s="5">
        <f t="shared" si="99"/>
        <v>25188.853754934378</v>
      </c>
      <c r="X385" s="6">
        <f t="shared" si="100"/>
        <v>13970.148960682636</v>
      </c>
      <c r="Y385" s="16">
        <f t="shared" si="101"/>
        <v>0.19370829420946989</v>
      </c>
      <c r="Z385" s="16">
        <f t="shared" si="102"/>
        <v>0.20346239529862731</v>
      </c>
      <c r="AA385" s="16">
        <f t="shared" si="103"/>
        <v>0.18459024739461904</v>
      </c>
      <c r="AB385" s="16">
        <f t="shared" si="104"/>
        <v>0.14920865209662768</v>
      </c>
      <c r="AC385" s="18">
        <f t="shared" si="105"/>
        <v>0.26903041100065606</v>
      </c>
      <c r="AD385" s="16">
        <f t="shared" si="106"/>
        <v>0.18071657113809972</v>
      </c>
      <c r="AE385" s="16">
        <f t="shared" si="107"/>
        <v>0.19937460974401267</v>
      </c>
      <c r="AF385" s="16">
        <f t="shared" si="108"/>
        <v>0.16410395504166775</v>
      </c>
      <c r="AG385" s="16">
        <f t="shared" si="109"/>
        <v>0.10722339608923863</v>
      </c>
      <c r="AH385" s="16">
        <f t="shared" si="110"/>
        <v>0.34858146798698125</v>
      </c>
    </row>
    <row r="386" spans="1:34" x14ac:dyDescent="0.25">
      <c r="A386" s="12">
        <v>58412</v>
      </c>
      <c r="B386" s="13">
        <v>44.440800000000003</v>
      </c>
      <c r="C386" s="12">
        <v>89.624200000000002</v>
      </c>
      <c r="D386" s="14">
        <v>0</v>
      </c>
      <c r="T386" s="5">
        <f t="shared" si="96"/>
        <v>32735264.505508095</v>
      </c>
      <c r="U386" s="5">
        <f t="shared" si="97"/>
        <v>32735264.505508095</v>
      </c>
      <c r="V386" s="5" t="str">
        <f t="shared" si="98"/>
        <v>n/a</v>
      </c>
      <c r="W386" s="5" t="str">
        <f t="shared" si="99"/>
        <v>n/a</v>
      </c>
      <c r="X386" s="6" t="str">
        <f t="shared" si="100"/>
        <v>n/a</v>
      </c>
      <c r="Y386" s="16" t="str">
        <f t="shared" si="101"/>
        <v>error</v>
      </c>
      <c r="Z386" s="16" t="str">
        <f t="shared" si="102"/>
        <v>error</v>
      </c>
      <c r="AA386" s="16" t="str">
        <f t="shared" si="103"/>
        <v>error</v>
      </c>
      <c r="AB386" s="16" t="str">
        <f t="shared" si="104"/>
        <v>error</v>
      </c>
      <c r="AC386" s="18" t="str">
        <f t="shared" si="105"/>
        <v>error</v>
      </c>
      <c r="AD386" s="16" t="str">
        <f t="shared" si="106"/>
        <v>error</v>
      </c>
      <c r="AE386" s="16" t="str">
        <f t="shared" si="107"/>
        <v>error</v>
      </c>
      <c r="AF386" s="16" t="str">
        <f t="shared" si="108"/>
        <v>error</v>
      </c>
      <c r="AG386" s="16" t="str">
        <f t="shared" si="109"/>
        <v>error</v>
      </c>
      <c r="AH386" s="16" t="str">
        <f t="shared" si="110"/>
        <v>error</v>
      </c>
    </row>
    <row r="387" spans="1:34" x14ac:dyDescent="0.25">
      <c r="A387" s="12">
        <v>58413</v>
      </c>
      <c r="B387" s="13">
        <v>44.457500000000003</v>
      </c>
      <c r="C387" s="12">
        <v>89.5304</v>
      </c>
      <c r="D387" s="13">
        <v>0</v>
      </c>
      <c r="T387" s="5">
        <f t="shared" si="96"/>
        <v>32710868.003260363</v>
      </c>
      <c r="U387" s="5">
        <f t="shared" si="97"/>
        <v>32710868.003260363</v>
      </c>
      <c r="V387" s="5" t="str">
        <f t="shared" si="98"/>
        <v>n/a</v>
      </c>
      <c r="W387" s="5" t="str">
        <f t="shared" si="99"/>
        <v>n/a</v>
      </c>
      <c r="X387" s="6" t="str">
        <f t="shared" si="100"/>
        <v>n/a</v>
      </c>
      <c r="Y387" s="16" t="str">
        <f t="shared" si="101"/>
        <v>error</v>
      </c>
      <c r="Z387" s="16" t="str">
        <f t="shared" si="102"/>
        <v>error</v>
      </c>
      <c r="AA387" s="16" t="str">
        <f t="shared" si="103"/>
        <v>error</v>
      </c>
      <c r="AB387" s="16" t="str">
        <f t="shared" si="104"/>
        <v>error</v>
      </c>
      <c r="AC387" s="18" t="str">
        <f t="shared" si="105"/>
        <v>error</v>
      </c>
      <c r="AD387" s="16" t="str">
        <f t="shared" si="106"/>
        <v>error</v>
      </c>
      <c r="AE387" s="16" t="str">
        <f t="shared" si="107"/>
        <v>error</v>
      </c>
      <c r="AF387" s="16" t="str">
        <f t="shared" si="108"/>
        <v>error</v>
      </c>
      <c r="AG387" s="16" t="str">
        <f t="shared" si="109"/>
        <v>error</v>
      </c>
      <c r="AH387" s="16" t="str">
        <f t="shared" si="110"/>
        <v>error</v>
      </c>
    </row>
    <row r="388" spans="1:34" x14ac:dyDescent="0.25">
      <c r="A388" s="12">
        <v>58414</v>
      </c>
      <c r="B388" s="13">
        <v>44.499699999999997</v>
      </c>
      <c r="C388" s="12">
        <v>89.410970000000006</v>
      </c>
      <c r="D388" s="14">
        <v>4</v>
      </c>
      <c r="E388" s="13" t="s">
        <v>42</v>
      </c>
      <c r="F388" s="13">
        <v>44.482410000000002</v>
      </c>
      <c r="G388" s="12">
        <v>89.479749999999996</v>
      </c>
      <c r="H388" s="13" t="s">
        <v>40</v>
      </c>
      <c r="I388" s="13">
        <v>44.551259999999999</v>
      </c>
      <c r="J388" s="12">
        <v>89.468959999999996</v>
      </c>
      <c r="K388" s="13" t="s">
        <v>41</v>
      </c>
      <c r="L388" s="13">
        <v>44.516109999999998</v>
      </c>
      <c r="M388" s="12">
        <v>89.335679999999996</v>
      </c>
      <c r="N388" s="13" t="s">
        <v>43</v>
      </c>
      <c r="O388" s="13">
        <v>44.436770000000003</v>
      </c>
      <c r="P388" s="12">
        <v>89.376199999999997</v>
      </c>
      <c r="T388" s="5">
        <f t="shared" si="96"/>
        <v>18978.355539331213</v>
      </c>
      <c r="U388" s="5">
        <f t="shared" si="97"/>
        <v>24109.962989011245</v>
      </c>
      <c r="V388" s="5">
        <f t="shared" si="98"/>
        <v>20482.418731273385</v>
      </c>
      <c r="W388" s="5">
        <f t="shared" si="99"/>
        <v>24677.852362806792</v>
      </c>
      <c r="X388" s="6" t="str">
        <f t="shared" si="100"/>
        <v>n/a</v>
      </c>
      <c r="Y388" s="16">
        <f t="shared" si="101"/>
        <v>0.28712774530135032</v>
      </c>
      <c r="Z388" s="16">
        <f t="shared" si="102"/>
        <v>0.22601496476868033</v>
      </c>
      <c r="AA388" s="16">
        <f t="shared" si="103"/>
        <v>0.26604340566553725</v>
      </c>
      <c r="AB388" s="16">
        <f t="shared" si="104"/>
        <v>0.22081388426443219</v>
      </c>
      <c r="AC388" s="18" t="e">
        <f t="shared" si="105"/>
        <v>#VALUE!</v>
      </c>
      <c r="AD388" s="16">
        <f t="shared" si="106"/>
        <v>0.32577797375697043</v>
      </c>
      <c r="AE388" s="16">
        <f t="shared" si="107"/>
        <v>0.20185791692775645</v>
      </c>
      <c r="AF388" s="16">
        <f t="shared" si="108"/>
        <v>0.27968964898220544</v>
      </c>
      <c r="AG388" s="16">
        <f t="shared" si="109"/>
        <v>0.19267446033306768</v>
      </c>
      <c r="AH388" s="16" t="e">
        <f t="shared" si="110"/>
        <v>#VALUE!</v>
      </c>
    </row>
    <row r="389" spans="1:34" x14ac:dyDescent="0.25">
      <c r="A389" s="12">
        <v>58416</v>
      </c>
      <c r="B389" s="13">
        <v>44.504100000000001</v>
      </c>
      <c r="C389" s="12">
        <v>89.413300000000007</v>
      </c>
      <c r="D389" s="14">
        <v>4</v>
      </c>
      <c r="E389" s="13" t="s">
        <v>42</v>
      </c>
      <c r="F389" s="13">
        <v>44.482410000000002</v>
      </c>
      <c r="G389" s="12">
        <v>89.479749999999996</v>
      </c>
      <c r="H389" s="13" t="s">
        <v>40</v>
      </c>
      <c r="I389" s="13">
        <v>44.551259999999999</v>
      </c>
      <c r="J389" s="12">
        <v>89.468959999999996</v>
      </c>
      <c r="K389" s="13" t="s">
        <v>41</v>
      </c>
      <c r="L389" s="13">
        <v>44.516109999999998</v>
      </c>
      <c r="M389" s="12">
        <v>89.335679999999996</v>
      </c>
      <c r="N389" s="13" t="s">
        <v>43</v>
      </c>
      <c r="O389" s="13">
        <v>44.436770000000003</v>
      </c>
      <c r="P389" s="12">
        <v>89.376199999999997</v>
      </c>
      <c r="T389" s="5">
        <f t="shared" si="96"/>
        <v>19016.888832946534</v>
      </c>
      <c r="U389" s="5">
        <f t="shared" si="97"/>
        <v>22484.486326256021</v>
      </c>
      <c r="V389" s="5">
        <f t="shared" si="98"/>
        <v>20663.297597035475</v>
      </c>
      <c r="W389" s="5">
        <f t="shared" si="99"/>
        <v>26393.526959924104</v>
      </c>
      <c r="X389" s="6" t="str">
        <f t="shared" si="100"/>
        <v>n/a</v>
      </c>
      <c r="Y389" s="16">
        <f t="shared" si="101"/>
        <v>0.28681124426020244</v>
      </c>
      <c r="Z389" s="16">
        <f t="shared" si="102"/>
        <v>0.24257870377791074</v>
      </c>
      <c r="AA389" s="16">
        <f t="shared" si="103"/>
        <v>0.26395871823081407</v>
      </c>
      <c r="AB389" s="16">
        <f t="shared" si="104"/>
        <v>0.20665133373107283</v>
      </c>
      <c r="AC389" s="18" t="e">
        <f t="shared" si="105"/>
        <v>#VALUE!</v>
      </c>
      <c r="AD389" s="16">
        <f t="shared" si="106"/>
        <v>0.32452012226615401</v>
      </c>
      <c r="AE389" s="16">
        <f t="shared" si="107"/>
        <v>0.23214248329451873</v>
      </c>
      <c r="AF389" s="16">
        <f t="shared" si="108"/>
        <v>0.27486617907414312</v>
      </c>
      <c r="AG389" s="16">
        <f t="shared" si="109"/>
        <v>0.1684712153651842</v>
      </c>
      <c r="AH389" s="16" t="e">
        <f t="shared" si="110"/>
        <v>#VALUE!</v>
      </c>
    </row>
    <row r="390" spans="1:34" x14ac:dyDescent="0.25">
      <c r="A390" s="12">
        <v>58418</v>
      </c>
      <c r="B390" s="13">
        <v>44.439300000000003</v>
      </c>
      <c r="C390" s="12">
        <v>89.617000000000004</v>
      </c>
      <c r="D390" s="14">
        <v>0</v>
      </c>
      <c r="T390" s="5">
        <f t="shared" si="96"/>
        <v>32733386.602682967</v>
      </c>
      <c r="U390" s="5">
        <f t="shared" si="97"/>
        <v>32733386.602682967</v>
      </c>
      <c r="V390" s="5" t="str">
        <f t="shared" si="98"/>
        <v>n/a</v>
      </c>
      <c r="W390" s="5" t="str">
        <f t="shared" si="99"/>
        <v>n/a</v>
      </c>
      <c r="X390" s="6" t="str">
        <f t="shared" si="100"/>
        <v>n/a</v>
      </c>
      <c r="Y390" s="16" t="str">
        <f t="shared" si="101"/>
        <v>error</v>
      </c>
      <c r="Z390" s="16" t="str">
        <f t="shared" si="102"/>
        <v>error</v>
      </c>
      <c r="AA390" s="16" t="str">
        <f t="shared" si="103"/>
        <v>error</v>
      </c>
      <c r="AB390" s="16" t="str">
        <f t="shared" si="104"/>
        <v>error</v>
      </c>
      <c r="AC390" s="18" t="str">
        <f t="shared" si="105"/>
        <v>error</v>
      </c>
      <c r="AD390" s="16" t="str">
        <f t="shared" si="106"/>
        <v>error</v>
      </c>
      <c r="AE390" s="16" t="str">
        <f t="shared" si="107"/>
        <v>error</v>
      </c>
      <c r="AF390" s="16" t="str">
        <f t="shared" si="108"/>
        <v>error</v>
      </c>
      <c r="AG390" s="16" t="str">
        <f t="shared" si="109"/>
        <v>error</v>
      </c>
      <c r="AH390" s="16" t="str">
        <f t="shared" si="110"/>
        <v>error</v>
      </c>
    </row>
    <row r="391" spans="1:34" x14ac:dyDescent="0.25">
      <c r="A391" s="12">
        <v>58419</v>
      </c>
      <c r="B391" s="13">
        <v>44.425750000000001</v>
      </c>
      <c r="C391" s="12">
        <v>89.672278399999996</v>
      </c>
      <c r="D391" s="14">
        <v>0</v>
      </c>
      <c r="T391" s="5">
        <f t="shared" si="96"/>
        <v>32747765.236812361</v>
      </c>
      <c r="U391" s="5">
        <f t="shared" si="97"/>
        <v>32747765.236812361</v>
      </c>
      <c r="V391" s="5" t="str">
        <f t="shared" si="98"/>
        <v>n/a</v>
      </c>
      <c r="W391" s="5" t="str">
        <f t="shared" si="99"/>
        <v>n/a</v>
      </c>
      <c r="X391" s="6" t="str">
        <f t="shared" si="100"/>
        <v>n/a</v>
      </c>
      <c r="Y391" s="16" t="str">
        <f t="shared" si="101"/>
        <v>error</v>
      </c>
      <c r="Z391" s="16" t="str">
        <f t="shared" si="102"/>
        <v>error</v>
      </c>
      <c r="AA391" s="16" t="str">
        <f t="shared" si="103"/>
        <v>error</v>
      </c>
      <c r="AB391" s="16" t="str">
        <f t="shared" si="104"/>
        <v>error</v>
      </c>
      <c r="AC391" s="18" t="str">
        <f t="shared" si="105"/>
        <v>error</v>
      </c>
      <c r="AD391" s="16" t="str">
        <f t="shared" si="106"/>
        <v>error</v>
      </c>
      <c r="AE391" s="16" t="str">
        <f t="shared" si="107"/>
        <v>error</v>
      </c>
      <c r="AF391" s="16" t="str">
        <f t="shared" si="108"/>
        <v>error</v>
      </c>
      <c r="AG391" s="16" t="str">
        <f t="shared" si="109"/>
        <v>error</v>
      </c>
      <c r="AH391" s="16" t="str">
        <f t="shared" si="110"/>
        <v>error</v>
      </c>
    </row>
    <row r="392" spans="1:34" x14ac:dyDescent="0.25">
      <c r="A392" s="12">
        <v>58420</v>
      </c>
      <c r="B392" s="13">
        <v>44.427288300000001</v>
      </c>
      <c r="C392" s="12">
        <v>89.670726700000003</v>
      </c>
      <c r="D392" s="14">
        <v>0</v>
      </c>
      <c r="T392" s="5">
        <f t="shared" si="96"/>
        <v>32747363.227019493</v>
      </c>
      <c r="U392" s="5">
        <f t="shared" si="97"/>
        <v>32747363.227019493</v>
      </c>
      <c r="V392" s="5" t="str">
        <f t="shared" si="98"/>
        <v>n/a</v>
      </c>
      <c r="W392" s="5" t="str">
        <f t="shared" si="99"/>
        <v>n/a</v>
      </c>
      <c r="X392" s="6" t="str">
        <f t="shared" si="100"/>
        <v>n/a</v>
      </c>
      <c r="Y392" s="16" t="str">
        <f t="shared" si="101"/>
        <v>error</v>
      </c>
      <c r="Z392" s="16" t="str">
        <f t="shared" si="102"/>
        <v>error</v>
      </c>
      <c r="AA392" s="16" t="str">
        <f t="shared" si="103"/>
        <v>error</v>
      </c>
      <c r="AB392" s="16" t="str">
        <f t="shared" si="104"/>
        <v>error</v>
      </c>
      <c r="AC392" s="18" t="str">
        <f t="shared" si="105"/>
        <v>error</v>
      </c>
      <c r="AD392" s="16" t="str">
        <f t="shared" si="106"/>
        <v>error</v>
      </c>
      <c r="AE392" s="16" t="str">
        <f t="shared" si="107"/>
        <v>error</v>
      </c>
      <c r="AF392" s="16" t="str">
        <f t="shared" si="108"/>
        <v>error</v>
      </c>
      <c r="AG392" s="16" t="str">
        <f t="shared" si="109"/>
        <v>error</v>
      </c>
      <c r="AH392" s="16" t="str">
        <f t="shared" si="110"/>
        <v>error</v>
      </c>
    </row>
    <row r="393" spans="1:34" x14ac:dyDescent="0.25">
      <c r="A393" s="12">
        <v>58421</v>
      </c>
      <c r="B393" s="13">
        <v>44.426778300000002</v>
      </c>
      <c r="C393" s="12">
        <v>89.672833299999994</v>
      </c>
      <c r="D393" s="14">
        <v>0</v>
      </c>
      <c r="T393" s="5">
        <f t="shared" si="96"/>
        <v>32747911.305417351</v>
      </c>
      <c r="U393" s="5">
        <f t="shared" si="97"/>
        <v>32747911.305417351</v>
      </c>
      <c r="V393" s="5" t="str">
        <f t="shared" si="98"/>
        <v>n/a</v>
      </c>
      <c r="W393" s="5" t="str">
        <f t="shared" si="99"/>
        <v>n/a</v>
      </c>
      <c r="X393" s="6" t="str">
        <f t="shared" si="100"/>
        <v>n/a</v>
      </c>
      <c r="Y393" s="16" t="str">
        <f t="shared" si="101"/>
        <v>error</v>
      </c>
      <c r="Z393" s="16" t="str">
        <f t="shared" si="102"/>
        <v>error</v>
      </c>
      <c r="AA393" s="16" t="str">
        <f t="shared" si="103"/>
        <v>error</v>
      </c>
      <c r="AB393" s="16" t="str">
        <f t="shared" si="104"/>
        <v>error</v>
      </c>
      <c r="AC393" s="18" t="str">
        <f t="shared" si="105"/>
        <v>error</v>
      </c>
      <c r="AD393" s="16" t="str">
        <f t="shared" si="106"/>
        <v>error</v>
      </c>
      <c r="AE393" s="16" t="str">
        <f t="shared" si="107"/>
        <v>error</v>
      </c>
      <c r="AF393" s="16" t="str">
        <f t="shared" si="108"/>
        <v>error</v>
      </c>
      <c r="AG393" s="16" t="str">
        <f t="shared" si="109"/>
        <v>error</v>
      </c>
      <c r="AH393" s="16" t="str">
        <f t="shared" si="110"/>
        <v>error</v>
      </c>
    </row>
    <row r="394" spans="1:34" x14ac:dyDescent="0.25">
      <c r="A394" s="12">
        <v>58422</v>
      </c>
      <c r="B394" s="13">
        <v>44.427471699999998</v>
      </c>
      <c r="C394" s="12">
        <v>89.672833299999994</v>
      </c>
      <c r="D394" s="14">
        <v>0</v>
      </c>
      <c r="T394" s="5">
        <f t="shared" si="96"/>
        <v>32747912.31653231</v>
      </c>
      <c r="U394" s="5">
        <f t="shared" si="97"/>
        <v>32747912.31653231</v>
      </c>
      <c r="V394" s="5" t="str">
        <f t="shared" si="98"/>
        <v>n/a</v>
      </c>
      <c r="W394" s="5" t="str">
        <f t="shared" si="99"/>
        <v>n/a</v>
      </c>
      <c r="X394" s="6" t="str">
        <f t="shared" si="100"/>
        <v>n/a</v>
      </c>
      <c r="Y394" s="16" t="str">
        <f t="shared" si="101"/>
        <v>error</v>
      </c>
      <c r="Z394" s="16" t="str">
        <f t="shared" si="102"/>
        <v>error</v>
      </c>
      <c r="AA394" s="16" t="str">
        <f t="shared" si="103"/>
        <v>error</v>
      </c>
      <c r="AB394" s="16" t="str">
        <f t="shared" si="104"/>
        <v>error</v>
      </c>
      <c r="AC394" s="18" t="str">
        <f t="shared" si="105"/>
        <v>error</v>
      </c>
      <c r="AD394" s="16" t="str">
        <f t="shared" si="106"/>
        <v>error</v>
      </c>
      <c r="AE394" s="16" t="str">
        <f t="shared" si="107"/>
        <v>error</v>
      </c>
      <c r="AF394" s="16" t="str">
        <f t="shared" si="108"/>
        <v>error</v>
      </c>
      <c r="AG394" s="16" t="str">
        <f t="shared" si="109"/>
        <v>error</v>
      </c>
      <c r="AH394" s="16" t="str">
        <f t="shared" si="110"/>
        <v>error</v>
      </c>
    </row>
    <row r="395" spans="1:34" x14ac:dyDescent="0.25">
      <c r="A395" s="12">
        <v>58423</v>
      </c>
      <c r="B395" s="13">
        <v>44.450800000000001</v>
      </c>
      <c r="C395" s="12">
        <v>89.575500000000005</v>
      </c>
      <c r="D395" s="13">
        <v>0</v>
      </c>
      <c r="T395" s="5">
        <f t="shared" si="96"/>
        <v>32722598.844922051</v>
      </c>
      <c r="U395" s="5">
        <f t="shared" si="97"/>
        <v>32722598.844922051</v>
      </c>
      <c r="V395" s="5" t="str">
        <f t="shared" si="98"/>
        <v>n/a</v>
      </c>
      <c r="W395" s="5" t="str">
        <f t="shared" si="99"/>
        <v>n/a</v>
      </c>
      <c r="X395" s="6" t="str">
        <f t="shared" si="100"/>
        <v>n/a</v>
      </c>
      <c r="Y395" s="16" t="str">
        <f t="shared" si="101"/>
        <v>error</v>
      </c>
      <c r="Z395" s="16" t="str">
        <f t="shared" si="102"/>
        <v>error</v>
      </c>
      <c r="AA395" s="16" t="str">
        <f t="shared" si="103"/>
        <v>error</v>
      </c>
      <c r="AB395" s="16" t="str">
        <f t="shared" si="104"/>
        <v>error</v>
      </c>
      <c r="AC395" s="18" t="str">
        <f t="shared" si="105"/>
        <v>error</v>
      </c>
      <c r="AD395" s="16" t="str">
        <f t="shared" si="106"/>
        <v>error</v>
      </c>
      <c r="AE395" s="16" t="str">
        <f t="shared" si="107"/>
        <v>error</v>
      </c>
      <c r="AF395" s="16" t="str">
        <f t="shared" si="108"/>
        <v>error</v>
      </c>
      <c r="AG395" s="16" t="str">
        <f t="shared" si="109"/>
        <v>error</v>
      </c>
      <c r="AH395" s="16" t="str">
        <f t="shared" si="110"/>
        <v>error</v>
      </c>
    </row>
    <row r="396" spans="1:34" x14ac:dyDescent="0.25">
      <c r="A396" s="12">
        <v>58424</v>
      </c>
      <c r="B396" s="13">
        <v>44.412376700000003</v>
      </c>
      <c r="C396" s="12">
        <v>89.441631700000002</v>
      </c>
      <c r="D396" s="14">
        <v>5</v>
      </c>
      <c r="E396" s="13" t="s">
        <v>42</v>
      </c>
      <c r="F396" s="13">
        <v>44.467680000000001</v>
      </c>
      <c r="G396" s="12">
        <v>89.487570000000005</v>
      </c>
      <c r="H396" s="13" t="s">
        <v>44</v>
      </c>
      <c r="I396" s="13">
        <v>44.400109999999998</v>
      </c>
      <c r="J396" s="12">
        <v>89.480549999999994</v>
      </c>
      <c r="K396" s="13" t="s">
        <v>51</v>
      </c>
      <c r="L396" s="13">
        <v>44.379390000000001</v>
      </c>
      <c r="M396" s="12">
        <v>89.439729999999997</v>
      </c>
      <c r="N396" s="13" t="s">
        <v>46</v>
      </c>
      <c r="O396" s="13">
        <v>44.382060000000003</v>
      </c>
      <c r="P396" s="12">
        <v>89.365819999999999</v>
      </c>
      <c r="Q396" s="13" t="s">
        <v>43</v>
      </c>
      <c r="R396" s="13">
        <v>44.43656</v>
      </c>
      <c r="S396" s="12">
        <v>89.376000000000005</v>
      </c>
      <c r="T396" s="5">
        <f t="shared" si="96"/>
        <v>23456.756363838416</v>
      </c>
      <c r="U396" s="5">
        <f t="shared" si="97"/>
        <v>11086.250651317159</v>
      </c>
      <c r="V396" s="5">
        <f t="shared" si="98"/>
        <v>12044.174272833352</v>
      </c>
      <c r="W396" s="5">
        <f t="shared" si="99"/>
        <v>22645.64715296937</v>
      </c>
      <c r="X396" s="6">
        <f t="shared" si="100"/>
        <v>19241.434879648892</v>
      </c>
      <c r="Y396" s="16">
        <f t="shared" si="101"/>
        <v>0.13664384636765306</v>
      </c>
      <c r="Z396" s="16">
        <f t="shared" si="102"/>
        <v>0.28911680907043102</v>
      </c>
      <c r="AA396" s="16">
        <f t="shared" si="103"/>
        <v>0.26612213840955884</v>
      </c>
      <c r="AB396" s="16">
        <f t="shared" si="104"/>
        <v>0.14153807975602611</v>
      </c>
      <c r="AC396" s="18">
        <f t="shared" si="105"/>
        <v>0.16657912639633099</v>
      </c>
      <c r="AD396" s="16">
        <f t="shared" si="106"/>
        <v>8.4539132644898984E-2</v>
      </c>
      <c r="AE396" s="16">
        <f t="shared" si="107"/>
        <v>0.37846377326605596</v>
      </c>
      <c r="AF396" s="16">
        <f t="shared" si="108"/>
        <v>0.32065619883685875</v>
      </c>
      <c r="AG396" s="16">
        <f t="shared" si="109"/>
        <v>9.0703538385547913E-2</v>
      </c>
      <c r="AH396" s="16">
        <f t="shared" si="110"/>
        <v>0.12563735686663829</v>
      </c>
    </row>
    <row r="397" spans="1:34" x14ac:dyDescent="0.25">
      <c r="A397" s="12">
        <v>58425</v>
      </c>
      <c r="B397" s="13">
        <v>44.4270833</v>
      </c>
      <c r="C397" s="12">
        <v>89.669749899999999</v>
      </c>
      <c r="D397" s="14">
        <v>0</v>
      </c>
      <c r="T397" s="5">
        <f t="shared" si="96"/>
        <v>32747108.444418009</v>
      </c>
      <c r="U397" s="5">
        <f t="shared" si="97"/>
        <v>32747108.444418009</v>
      </c>
      <c r="V397" s="5" t="str">
        <f t="shared" si="98"/>
        <v>n/a</v>
      </c>
      <c r="W397" s="5" t="str">
        <f t="shared" si="99"/>
        <v>n/a</v>
      </c>
      <c r="X397" s="6" t="str">
        <f t="shared" si="100"/>
        <v>n/a</v>
      </c>
      <c r="Y397" s="16" t="str">
        <f t="shared" si="101"/>
        <v>error</v>
      </c>
      <c r="Z397" s="16" t="str">
        <f t="shared" si="102"/>
        <v>error</v>
      </c>
      <c r="AA397" s="16" t="str">
        <f t="shared" si="103"/>
        <v>error</v>
      </c>
      <c r="AB397" s="16" t="str">
        <f t="shared" si="104"/>
        <v>error</v>
      </c>
      <c r="AC397" s="18" t="str">
        <f t="shared" si="105"/>
        <v>error</v>
      </c>
      <c r="AD397" s="16" t="str">
        <f t="shared" si="106"/>
        <v>error</v>
      </c>
      <c r="AE397" s="16" t="str">
        <f t="shared" si="107"/>
        <v>error</v>
      </c>
      <c r="AF397" s="16" t="str">
        <f t="shared" si="108"/>
        <v>error</v>
      </c>
      <c r="AG397" s="16" t="str">
        <f t="shared" si="109"/>
        <v>error</v>
      </c>
      <c r="AH397" s="16" t="str">
        <f t="shared" si="110"/>
        <v>error</v>
      </c>
    </row>
    <row r="398" spans="1:34" x14ac:dyDescent="0.25">
      <c r="A398" s="12">
        <v>58426</v>
      </c>
      <c r="B398" s="13">
        <v>44.427111699999998</v>
      </c>
      <c r="C398" s="12">
        <v>89.668666700000003</v>
      </c>
      <c r="D398" s="14">
        <v>0</v>
      </c>
      <c r="T398" s="5">
        <f t="shared" si="96"/>
        <v>32746826.284666125</v>
      </c>
      <c r="U398" s="5">
        <f t="shared" si="97"/>
        <v>32746826.284666125</v>
      </c>
      <c r="V398" s="5" t="str">
        <f t="shared" si="98"/>
        <v>n/a</v>
      </c>
      <c r="W398" s="5" t="str">
        <f t="shared" si="99"/>
        <v>n/a</v>
      </c>
      <c r="X398" s="6" t="str">
        <f t="shared" si="100"/>
        <v>n/a</v>
      </c>
      <c r="Y398" s="16" t="str">
        <f t="shared" si="101"/>
        <v>error</v>
      </c>
      <c r="Z398" s="16" t="str">
        <f t="shared" si="102"/>
        <v>error</v>
      </c>
      <c r="AA398" s="16" t="str">
        <f t="shared" si="103"/>
        <v>error</v>
      </c>
      <c r="AB398" s="16" t="str">
        <f t="shared" si="104"/>
        <v>error</v>
      </c>
      <c r="AC398" s="18" t="str">
        <f t="shared" si="105"/>
        <v>error</v>
      </c>
      <c r="AD398" s="16" t="str">
        <f t="shared" si="106"/>
        <v>error</v>
      </c>
      <c r="AE398" s="16" t="str">
        <f t="shared" si="107"/>
        <v>error</v>
      </c>
      <c r="AF398" s="16" t="str">
        <f t="shared" si="108"/>
        <v>error</v>
      </c>
      <c r="AG398" s="16" t="str">
        <f t="shared" si="109"/>
        <v>error</v>
      </c>
      <c r="AH398" s="16" t="str">
        <f t="shared" si="110"/>
        <v>error</v>
      </c>
    </row>
    <row r="399" spans="1:34" x14ac:dyDescent="0.25">
      <c r="A399" s="12">
        <v>58427</v>
      </c>
      <c r="B399" s="13">
        <v>44.427583300000002</v>
      </c>
      <c r="C399" s="12">
        <v>89.669361699999996</v>
      </c>
      <c r="D399" s="14">
        <v>0</v>
      </c>
      <c r="T399" s="5">
        <f t="shared" si="96"/>
        <v>32747008.045087207</v>
      </c>
      <c r="U399" s="5">
        <f t="shared" si="97"/>
        <v>32747008.045087207</v>
      </c>
      <c r="V399" s="5" t="str">
        <f t="shared" si="98"/>
        <v>n/a</v>
      </c>
      <c r="W399" s="5" t="str">
        <f t="shared" si="99"/>
        <v>n/a</v>
      </c>
      <c r="X399" s="6" t="str">
        <f t="shared" si="100"/>
        <v>n/a</v>
      </c>
      <c r="Y399" s="16" t="str">
        <f t="shared" si="101"/>
        <v>error</v>
      </c>
      <c r="Z399" s="16" t="str">
        <f t="shared" si="102"/>
        <v>error</v>
      </c>
      <c r="AA399" s="16" t="str">
        <f t="shared" si="103"/>
        <v>error</v>
      </c>
      <c r="AB399" s="16" t="str">
        <f t="shared" si="104"/>
        <v>error</v>
      </c>
      <c r="AC399" s="18" t="str">
        <f t="shared" si="105"/>
        <v>error</v>
      </c>
      <c r="AD399" s="16" t="str">
        <f t="shared" si="106"/>
        <v>error</v>
      </c>
      <c r="AE399" s="16" t="str">
        <f t="shared" si="107"/>
        <v>error</v>
      </c>
      <c r="AF399" s="16" t="str">
        <f t="shared" si="108"/>
        <v>error</v>
      </c>
      <c r="AG399" s="16" t="str">
        <f t="shared" si="109"/>
        <v>error</v>
      </c>
      <c r="AH399" s="16" t="str">
        <f t="shared" si="110"/>
        <v>error</v>
      </c>
    </row>
    <row r="400" spans="1:34" x14ac:dyDescent="0.25">
      <c r="A400" s="12">
        <v>58428</v>
      </c>
      <c r="B400" s="13">
        <v>44.493448800000003</v>
      </c>
      <c r="C400" s="12">
        <v>89.538247499999997</v>
      </c>
      <c r="D400" s="13">
        <v>0</v>
      </c>
      <c r="T400" s="5">
        <f t="shared" si="96"/>
        <v>32712985.448421132</v>
      </c>
      <c r="U400" s="5">
        <f t="shared" si="97"/>
        <v>32712985.448421132</v>
      </c>
      <c r="V400" s="5" t="str">
        <f t="shared" si="98"/>
        <v>n/a</v>
      </c>
      <c r="W400" s="5" t="str">
        <f t="shared" si="99"/>
        <v>n/a</v>
      </c>
      <c r="X400" s="6" t="str">
        <f t="shared" si="100"/>
        <v>n/a</v>
      </c>
      <c r="Y400" s="16" t="str">
        <f t="shared" si="101"/>
        <v>error</v>
      </c>
      <c r="Z400" s="16" t="str">
        <f t="shared" si="102"/>
        <v>error</v>
      </c>
      <c r="AA400" s="16" t="str">
        <f t="shared" si="103"/>
        <v>error</v>
      </c>
      <c r="AB400" s="16" t="str">
        <f t="shared" si="104"/>
        <v>error</v>
      </c>
      <c r="AC400" s="18" t="str">
        <f t="shared" si="105"/>
        <v>error</v>
      </c>
      <c r="AD400" s="16" t="str">
        <f t="shared" si="106"/>
        <v>error</v>
      </c>
      <c r="AE400" s="16" t="str">
        <f t="shared" si="107"/>
        <v>error</v>
      </c>
      <c r="AF400" s="16" t="str">
        <f t="shared" si="108"/>
        <v>error</v>
      </c>
      <c r="AG400" s="16" t="str">
        <f t="shared" si="109"/>
        <v>error</v>
      </c>
      <c r="AH400" s="16" t="str">
        <f t="shared" si="110"/>
        <v>error</v>
      </c>
    </row>
    <row r="401" spans="1:34" x14ac:dyDescent="0.25">
      <c r="A401" s="12">
        <v>58429</v>
      </c>
      <c r="B401" s="13">
        <v>44.492508999999998</v>
      </c>
      <c r="C401" s="12">
        <v>89.536716999999996</v>
      </c>
      <c r="D401" s="13">
        <v>0</v>
      </c>
      <c r="T401" s="5">
        <f t="shared" si="96"/>
        <v>32712585.226725109</v>
      </c>
      <c r="U401" s="5">
        <f t="shared" si="97"/>
        <v>32712585.226725109</v>
      </c>
      <c r="V401" s="5" t="str">
        <f t="shared" si="98"/>
        <v>n/a</v>
      </c>
      <c r="W401" s="5" t="str">
        <f t="shared" si="99"/>
        <v>n/a</v>
      </c>
      <c r="X401" s="6" t="str">
        <f t="shared" si="100"/>
        <v>n/a</v>
      </c>
      <c r="Y401" s="16" t="str">
        <f t="shared" si="101"/>
        <v>error</v>
      </c>
      <c r="Z401" s="16" t="str">
        <f t="shared" si="102"/>
        <v>error</v>
      </c>
      <c r="AA401" s="16" t="str">
        <f t="shared" si="103"/>
        <v>error</v>
      </c>
      <c r="AB401" s="16" t="str">
        <f t="shared" si="104"/>
        <v>error</v>
      </c>
      <c r="AC401" s="18" t="str">
        <f t="shared" si="105"/>
        <v>error</v>
      </c>
      <c r="AD401" s="16" t="str">
        <f t="shared" si="106"/>
        <v>error</v>
      </c>
      <c r="AE401" s="16" t="str">
        <f t="shared" si="107"/>
        <v>error</v>
      </c>
      <c r="AF401" s="16" t="str">
        <f t="shared" si="108"/>
        <v>error</v>
      </c>
      <c r="AG401" s="16" t="str">
        <f t="shared" si="109"/>
        <v>error</v>
      </c>
      <c r="AH401" s="16" t="str">
        <f t="shared" si="110"/>
        <v>error</v>
      </c>
    </row>
    <row r="402" spans="1:34" x14ac:dyDescent="0.25">
      <c r="A402" s="12">
        <v>58430</v>
      </c>
      <c r="B402" s="13">
        <v>44.491470999999997</v>
      </c>
      <c r="C402" s="12">
        <v>89.535182000000006</v>
      </c>
      <c r="D402" s="13">
        <v>0</v>
      </c>
      <c r="T402" s="5">
        <f t="shared" si="96"/>
        <v>32712183.617527336</v>
      </c>
      <c r="U402" s="5">
        <f t="shared" si="97"/>
        <v>32712183.617527336</v>
      </c>
      <c r="V402" s="5" t="str">
        <f t="shared" si="98"/>
        <v>n/a</v>
      </c>
      <c r="W402" s="5" t="str">
        <f t="shared" si="99"/>
        <v>n/a</v>
      </c>
      <c r="X402" s="6" t="str">
        <f t="shared" si="100"/>
        <v>n/a</v>
      </c>
      <c r="Y402" s="16" t="str">
        <f t="shared" si="101"/>
        <v>error</v>
      </c>
      <c r="Z402" s="16" t="str">
        <f t="shared" si="102"/>
        <v>error</v>
      </c>
      <c r="AA402" s="16" t="str">
        <f t="shared" si="103"/>
        <v>error</v>
      </c>
      <c r="AB402" s="16" t="str">
        <f t="shared" si="104"/>
        <v>error</v>
      </c>
      <c r="AC402" s="18" t="str">
        <f t="shared" si="105"/>
        <v>error</v>
      </c>
      <c r="AD402" s="16" t="str">
        <f t="shared" si="106"/>
        <v>error</v>
      </c>
      <c r="AE402" s="16" t="str">
        <f t="shared" si="107"/>
        <v>error</v>
      </c>
      <c r="AF402" s="16" t="str">
        <f t="shared" si="108"/>
        <v>error</v>
      </c>
      <c r="AG402" s="16" t="str">
        <f t="shared" si="109"/>
        <v>error</v>
      </c>
      <c r="AH402" s="16" t="str">
        <f t="shared" si="110"/>
        <v>error</v>
      </c>
    </row>
    <row r="403" spans="1:34" x14ac:dyDescent="0.25">
      <c r="A403" s="12">
        <v>58431</v>
      </c>
      <c r="B403" s="13">
        <v>44.428166699999998</v>
      </c>
      <c r="C403" s="12">
        <v>89.670833400000006</v>
      </c>
      <c r="D403" s="14">
        <v>0</v>
      </c>
      <c r="T403" s="5">
        <f t="shared" si="96"/>
        <v>32747392.313766688</v>
      </c>
      <c r="U403" s="5">
        <f t="shared" si="97"/>
        <v>32747392.313766688</v>
      </c>
      <c r="V403" s="5" t="str">
        <f t="shared" si="98"/>
        <v>n/a</v>
      </c>
      <c r="W403" s="5" t="str">
        <f t="shared" si="99"/>
        <v>n/a</v>
      </c>
      <c r="X403" s="6" t="str">
        <f t="shared" si="100"/>
        <v>n/a</v>
      </c>
      <c r="Y403" s="16" t="str">
        <f t="shared" si="101"/>
        <v>error</v>
      </c>
      <c r="Z403" s="16" t="str">
        <f t="shared" si="102"/>
        <v>error</v>
      </c>
      <c r="AA403" s="16" t="str">
        <f t="shared" si="103"/>
        <v>error</v>
      </c>
      <c r="AB403" s="16" t="str">
        <f t="shared" si="104"/>
        <v>error</v>
      </c>
      <c r="AC403" s="18" t="str">
        <f t="shared" si="105"/>
        <v>error</v>
      </c>
      <c r="AD403" s="16" t="str">
        <f t="shared" si="106"/>
        <v>error</v>
      </c>
      <c r="AE403" s="16" t="str">
        <f t="shared" si="107"/>
        <v>error</v>
      </c>
      <c r="AF403" s="16" t="str">
        <f t="shared" si="108"/>
        <v>error</v>
      </c>
      <c r="AG403" s="16" t="str">
        <f t="shared" si="109"/>
        <v>error</v>
      </c>
      <c r="AH403" s="16" t="str">
        <f t="shared" si="110"/>
        <v>error</v>
      </c>
    </row>
    <row r="404" spans="1:34" x14ac:dyDescent="0.25">
      <c r="A404" s="12">
        <v>58432</v>
      </c>
      <c r="B404" s="13">
        <v>44.429054999999998</v>
      </c>
      <c r="C404" s="12">
        <v>89.670721700000001</v>
      </c>
      <c r="D404" s="14">
        <v>0</v>
      </c>
      <c r="T404" s="5">
        <f t="shared" si="96"/>
        <v>32747364.517269608</v>
      </c>
      <c r="U404" s="5">
        <f t="shared" si="97"/>
        <v>32747364.517269608</v>
      </c>
      <c r="V404" s="5" t="str">
        <f t="shared" si="98"/>
        <v>n/a</v>
      </c>
      <c r="W404" s="5" t="str">
        <f t="shared" si="99"/>
        <v>n/a</v>
      </c>
      <c r="X404" s="6" t="str">
        <f t="shared" si="100"/>
        <v>n/a</v>
      </c>
      <c r="Y404" s="16" t="str">
        <f t="shared" si="101"/>
        <v>error</v>
      </c>
      <c r="Z404" s="16" t="str">
        <f t="shared" si="102"/>
        <v>error</v>
      </c>
      <c r="AA404" s="16" t="str">
        <f t="shared" si="103"/>
        <v>error</v>
      </c>
      <c r="AB404" s="16" t="str">
        <f t="shared" si="104"/>
        <v>error</v>
      </c>
      <c r="AC404" s="18" t="str">
        <f t="shared" si="105"/>
        <v>error</v>
      </c>
      <c r="AD404" s="16" t="str">
        <f t="shared" si="106"/>
        <v>error</v>
      </c>
      <c r="AE404" s="16" t="str">
        <f t="shared" si="107"/>
        <v>error</v>
      </c>
      <c r="AF404" s="16" t="str">
        <f t="shared" si="108"/>
        <v>error</v>
      </c>
      <c r="AG404" s="16" t="str">
        <f t="shared" si="109"/>
        <v>error</v>
      </c>
      <c r="AH404" s="16" t="str">
        <f t="shared" si="110"/>
        <v>error</v>
      </c>
    </row>
    <row r="405" spans="1:34" x14ac:dyDescent="0.25">
      <c r="A405" s="12">
        <v>58433</v>
      </c>
      <c r="B405" s="13">
        <v>44.445405399999999</v>
      </c>
      <c r="C405" s="12">
        <v>89.423738400000005</v>
      </c>
      <c r="D405" s="14">
        <v>3</v>
      </c>
      <c r="E405" s="13" t="s">
        <v>42</v>
      </c>
      <c r="F405" s="13">
        <v>44.469250000000002</v>
      </c>
      <c r="G405" s="12">
        <v>89.483339999999998</v>
      </c>
      <c r="H405" s="13" t="s">
        <v>44</v>
      </c>
      <c r="I405" s="13">
        <v>44.400100000000002</v>
      </c>
      <c r="J405" s="12">
        <v>89.480699999999999</v>
      </c>
      <c r="K405" s="13" t="s">
        <v>43</v>
      </c>
      <c r="L405" s="13">
        <v>44.436549999999997</v>
      </c>
      <c r="M405" s="12">
        <v>89.375739999999993</v>
      </c>
      <c r="T405" s="5">
        <f t="shared" si="96"/>
        <v>17791.435464263828</v>
      </c>
      <c r="U405" s="5">
        <f t="shared" si="97"/>
        <v>22213.40543016493</v>
      </c>
      <c r="V405" s="5">
        <f t="shared" si="98"/>
        <v>12912.608855737823</v>
      </c>
      <c r="W405" s="5" t="str">
        <f t="shared" si="99"/>
        <v>n/a</v>
      </c>
      <c r="X405" s="6" t="str">
        <f t="shared" si="100"/>
        <v>n/a</v>
      </c>
      <c r="Y405" s="16">
        <f t="shared" si="101"/>
        <v>0.31458741762227044</v>
      </c>
      <c r="Z405" s="16">
        <f t="shared" si="102"/>
        <v>0.25196324607192305</v>
      </c>
      <c r="AA405" s="16">
        <f t="shared" si="103"/>
        <v>0.43344933630580645</v>
      </c>
      <c r="AB405" s="16" t="e">
        <f t="shared" si="104"/>
        <v>#VALUE!</v>
      </c>
      <c r="AC405" s="18" t="e">
        <f t="shared" si="105"/>
        <v>#VALUE!</v>
      </c>
      <c r="AD405" s="16">
        <f t="shared" si="106"/>
        <v>0.2824922567399612</v>
      </c>
      <c r="AE405" s="16">
        <f t="shared" si="107"/>
        <v>0.181216709725597</v>
      </c>
      <c r="AF405" s="16">
        <f t="shared" si="108"/>
        <v>0.53629103353444174</v>
      </c>
      <c r="AG405" s="16" t="e">
        <f t="shared" si="109"/>
        <v>#VALUE!</v>
      </c>
      <c r="AH405" s="16" t="e">
        <f t="shared" si="110"/>
        <v>#VALUE!</v>
      </c>
    </row>
    <row r="406" spans="1:34" x14ac:dyDescent="0.25">
      <c r="A406" s="12">
        <v>58434</v>
      </c>
      <c r="B406" s="13">
        <v>44.417631700000001</v>
      </c>
      <c r="C406" s="12">
        <v>89.496809999999996</v>
      </c>
      <c r="D406" s="14">
        <v>3</v>
      </c>
      <c r="E406" s="13" t="s">
        <v>42</v>
      </c>
      <c r="F406" s="13">
        <v>44.468649999999997</v>
      </c>
      <c r="G406" s="12">
        <v>89.498069999999998</v>
      </c>
      <c r="H406" s="13" t="s">
        <v>44</v>
      </c>
      <c r="I406" s="13">
        <v>44.396560000000001</v>
      </c>
      <c r="J406" s="12">
        <v>89.494640000000004</v>
      </c>
      <c r="K406" s="13" t="s">
        <v>50</v>
      </c>
      <c r="L406" s="13">
        <v>44.41048</v>
      </c>
      <c r="M406" s="12">
        <v>89.549909999999997</v>
      </c>
      <c r="T406" s="5">
        <f t="shared" si="96"/>
        <v>18615.019417796029</v>
      </c>
      <c r="U406" s="5">
        <f t="shared" si="97"/>
        <v>7707.9997671785668</v>
      </c>
      <c r="V406" s="5">
        <f t="shared" si="98"/>
        <v>14080.944844243537</v>
      </c>
      <c r="W406" s="5" t="str">
        <f t="shared" si="99"/>
        <v>n/a</v>
      </c>
      <c r="X406" s="6" t="str">
        <f t="shared" si="100"/>
        <v>n/a</v>
      </c>
      <c r="Y406" s="16">
        <f t="shared" si="101"/>
        <v>0.21110288539605426</v>
      </c>
      <c r="Z406" s="16">
        <f t="shared" si="102"/>
        <v>0.50981894518644233</v>
      </c>
      <c r="AA406" s="16">
        <f t="shared" si="103"/>
        <v>0.27907816941750352</v>
      </c>
      <c r="AB406" s="16" t="e">
        <f t="shared" si="104"/>
        <v>#VALUE!</v>
      </c>
      <c r="AC406" s="18" t="e">
        <f t="shared" si="105"/>
        <v>#VALUE!</v>
      </c>
      <c r="AD406" s="16">
        <f t="shared" si="106"/>
        <v>0.11654962409540491</v>
      </c>
      <c r="AE406" s="16">
        <f t="shared" si="107"/>
        <v>0.67975823651695633</v>
      </c>
      <c r="AF406" s="16">
        <f t="shared" si="108"/>
        <v>0.20369213938763883</v>
      </c>
      <c r="AG406" s="16" t="e">
        <f t="shared" si="109"/>
        <v>#VALUE!</v>
      </c>
      <c r="AH406" s="16" t="e">
        <f t="shared" si="110"/>
        <v>#VALUE!</v>
      </c>
    </row>
    <row r="407" spans="1:34" x14ac:dyDescent="0.25">
      <c r="A407" s="12">
        <v>58435</v>
      </c>
      <c r="B407" s="13">
        <v>44.417631700000001</v>
      </c>
      <c r="C407" s="12">
        <v>89.496809999999996</v>
      </c>
      <c r="D407" s="13">
        <v>0</v>
      </c>
      <c r="T407" s="5">
        <f t="shared" si="96"/>
        <v>32702032.143953599</v>
      </c>
      <c r="U407" s="5">
        <f t="shared" si="97"/>
        <v>32702032.143953599</v>
      </c>
      <c r="V407" s="5" t="str">
        <f t="shared" si="98"/>
        <v>n/a</v>
      </c>
      <c r="W407" s="5" t="str">
        <f t="shared" si="99"/>
        <v>n/a</v>
      </c>
      <c r="X407" s="6" t="str">
        <f t="shared" si="100"/>
        <v>n/a</v>
      </c>
      <c r="Y407" s="16" t="str">
        <f t="shared" si="101"/>
        <v>error</v>
      </c>
      <c r="Z407" s="16" t="str">
        <f t="shared" si="102"/>
        <v>error</v>
      </c>
      <c r="AA407" s="16" t="str">
        <f t="shared" si="103"/>
        <v>error</v>
      </c>
      <c r="AB407" s="16" t="str">
        <f t="shared" si="104"/>
        <v>error</v>
      </c>
      <c r="AC407" s="18" t="str">
        <f t="shared" si="105"/>
        <v>error</v>
      </c>
      <c r="AD407" s="16" t="str">
        <f t="shared" si="106"/>
        <v>error</v>
      </c>
      <c r="AE407" s="16" t="str">
        <f t="shared" si="107"/>
        <v>error</v>
      </c>
      <c r="AF407" s="16" t="str">
        <f t="shared" si="108"/>
        <v>error</v>
      </c>
      <c r="AG407" s="16" t="str">
        <f t="shared" si="109"/>
        <v>error</v>
      </c>
      <c r="AH407" s="16" t="str">
        <f t="shared" si="110"/>
        <v>error</v>
      </c>
    </row>
    <row r="408" spans="1:34" x14ac:dyDescent="0.25">
      <c r="A408" s="12">
        <v>58437</v>
      </c>
      <c r="B408" s="13">
        <v>44.498423000000003</v>
      </c>
      <c r="C408" s="12">
        <v>89.536572000000007</v>
      </c>
      <c r="D408" s="13">
        <v>0</v>
      </c>
      <c r="T408" s="5">
        <f t="shared" si="96"/>
        <v>32712559.723458897</v>
      </c>
      <c r="U408" s="5">
        <f t="shared" si="97"/>
        <v>32712559.723458897</v>
      </c>
      <c r="V408" s="5" t="str">
        <f t="shared" si="98"/>
        <v>n/a</v>
      </c>
      <c r="W408" s="5" t="str">
        <f t="shared" si="99"/>
        <v>n/a</v>
      </c>
      <c r="X408" s="6" t="str">
        <f t="shared" si="100"/>
        <v>n/a</v>
      </c>
      <c r="Y408" s="16" t="str">
        <f t="shared" si="101"/>
        <v>error</v>
      </c>
      <c r="Z408" s="16" t="str">
        <f t="shared" si="102"/>
        <v>error</v>
      </c>
      <c r="AA408" s="16" t="str">
        <f t="shared" si="103"/>
        <v>error</v>
      </c>
      <c r="AB408" s="16" t="str">
        <f t="shared" si="104"/>
        <v>error</v>
      </c>
      <c r="AC408" s="18" t="str">
        <f t="shared" si="105"/>
        <v>error</v>
      </c>
      <c r="AD408" s="16" t="str">
        <f t="shared" si="106"/>
        <v>error</v>
      </c>
      <c r="AE408" s="16" t="str">
        <f t="shared" si="107"/>
        <v>error</v>
      </c>
      <c r="AF408" s="16" t="str">
        <f t="shared" si="108"/>
        <v>error</v>
      </c>
      <c r="AG408" s="16" t="str">
        <f t="shared" si="109"/>
        <v>error</v>
      </c>
      <c r="AH408" s="16" t="str">
        <f t="shared" si="110"/>
        <v>error</v>
      </c>
    </row>
    <row r="409" spans="1:34" x14ac:dyDescent="0.25">
      <c r="A409" s="12">
        <v>58438</v>
      </c>
      <c r="B409" s="13">
        <v>44.499647000000003</v>
      </c>
      <c r="C409" s="12">
        <v>89.536608999999999</v>
      </c>
      <c r="D409" s="13">
        <v>0</v>
      </c>
      <c r="T409" s="5">
        <f t="shared" si="96"/>
        <v>32712571.882309861</v>
      </c>
      <c r="U409" s="5">
        <f t="shared" si="97"/>
        <v>32712571.882309861</v>
      </c>
      <c r="V409" s="5" t="str">
        <f t="shared" si="98"/>
        <v>n/a</v>
      </c>
      <c r="W409" s="5" t="str">
        <f t="shared" si="99"/>
        <v>n/a</v>
      </c>
      <c r="X409" s="6" t="str">
        <f t="shared" si="100"/>
        <v>n/a</v>
      </c>
      <c r="Y409" s="16" t="str">
        <f t="shared" si="101"/>
        <v>error</v>
      </c>
      <c r="Z409" s="16" t="str">
        <f t="shared" si="102"/>
        <v>error</v>
      </c>
      <c r="AA409" s="16" t="str">
        <f t="shared" si="103"/>
        <v>error</v>
      </c>
      <c r="AB409" s="16" t="str">
        <f t="shared" si="104"/>
        <v>error</v>
      </c>
      <c r="AC409" s="18" t="str">
        <f t="shared" si="105"/>
        <v>error</v>
      </c>
      <c r="AD409" s="16" t="str">
        <f t="shared" si="106"/>
        <v>error</v>
      </c>
      <c r="AE409" s="16" t="str">
        <f t="shared" si="107"/>
        <v>error</v>
      </c>
      <c r="AF409" s="16" t="str">
        <f t="shared" si="108"/>
        <v>error</v>
      </c>
      <c r="AG409" s="16" t="str">
        <f t="shared" si="109"/>
        <v>error</v>
      </c>
      <c r="AH409" s="16" t="str">
        <f t="shared" si="110"/>
        <v>error</v>
      </c>
    </row>
    <row r="410" spans="1:34" x14ac:dyDescent="0.25">
      <c r="A410" s="12">
        <v>67258</v>
      </c>
      <c r="B410" s="13">
        <v>44.43365</v>
      </c>
      <c r="C410" s="12">
        <v>89.621849999999995</v>
      </c>
      <c r="D410" s="14">
        <v>0</v>
      </c>
      <c r="T410" s="5">
        <f t="shared" si="96"/>
        <v>32734640.36171367</v>
      </c>
      <c r="U410" s="5">
        <f t="shared" si="97"/>
        <v>32734640.36171367</v>
      </c>
      <c r="V410" s="5" t="str">
        <f t="shared" si="98"/>
        <v>n/a</v>
      </c>
      <c r="W410" s="5" t="str">
        <f t="shared" si="99"/>
        <v>n/a</v>
      </c>
      <c r="X410" s="6" t="str">
        <f t="shared" si="100"/>
        <v>n/a</v>
      </c>
      <c r="Y410" s="16" t="str">
        <f t="shared" si="101"/>
        <v>error</v>
      </c>
      <c r="Z410" s="16" t="str">
        <f t="shared" si="102"/>
        <v>error</v>
      </c>
      <c r="AA410" s="16" t="str">
        <f t="shared" si="103"/>
        <v>error</v>
      </c>
      <c r="AB410" s="16" t="str">
        <f t="shared" si="104"/>
        <v>error</v>
      </c>
      <c r="AC410" s="18" t="str">
        <f t="shared" si="105"/>
        <v>error</v>
      </c>
      <c r="AD410" s="16" t="str">
        <f t="shared" si="106"/>
        <v>error</v>
      </c>
      <c r="AE410" s="16" t="str">
        <f t="shared" si="107"/>
        <v>error</v>
      </c>
      <c r="AF410" s="16" t="str">
        <f t="shared" si="108"/>
        <v>error</v>
      </c>
      <c r="AG410" s="16" t="str">
        <f t="shared" si="109"/>
        <v>error</v>
      </c>
      <c r="AH410" s="16" t="str">
        <f t="shared" si="110"/>
        <v>error</v>
      </c>
    </row>
    <row r="411" spans="1:34" x14ac:dyDescent="0.25">
      <c r="A411" s="12">
        <v>67259</v>
      </c>
      <c r="B411" s="13">
        <v>44.404479700000003</v>
      </c>
      <c r="C411" s="12">
        <v>89.609345599999997</v>
      </c>
      <c r="D411" s="14">
        <v>0</v>
      </c>
      <c r="T411" s="5">
        <f t="shared" si="96"/>
        <v>32731332.233426187</v>
      </c>
      <c r="U411" s="5">
        <f t="shared" si="97"/>
        <v>32731332.233426187</v>
      </c>
      <c r="V411" s="5" t="str">
        <f t="shared" si="98"/>
        <v>n/a</v>
      </c>
      <c r="W411" s="5" t="str">
        <f t="shared" si="99"/>
        <v>n/a</v>
      </c>
      <c r="X411" s="6" t="str">
        <f t="shared" si="100"/>
        <v>n/a</v>
      </c>
      <c r="Y411" s="16" t="str">
        <f t="shared" si="101"/>
        <v>error</v>
      </c>
      <c r="Z411" s="16" t="str">
        <f t="shared" si="102"/>
        <v>error</v>
      </c>
      <c r="AA411" s="16" t="str">
        <f t="shared" si="103"/>
        <v>error</v>
      </c>
      <c r="AB411" s="16" t="str">
        <f t="shared" si="104"/>
        <v>error</v>
      </c>
      <c r="AC411" s="18" t="str">
        <f t="shared" si="105"/>
        <v>error</v>
      </c>
      <c r="AD411" s="16" t="str">
        <f t="shared" si="106"/>
        <v>error</v>
      </c>
      <c r="AE411" s="16" t="str">
        <f t="shared" si="107"/>
        <v>error</v>
      </c>
      <c r="AF411" s="16" t="str">
        <f t="shared" si="108"/>
        <v>error</v>
      </c>
      <c r="AG411" s="16" t="str">
        <f t="shared" si="109"/>
        <v>error</v>
      </c>
      <c r="AH411" s="16" t="str">
        <f t="shared" si="110"/>
        <v>error</v>
      </c>
    </row>
    <row r="412" spans="1:34" x14ac:dyDescent="0.25">
      <c r="A412" s="12">
        <v>67325</v>
      </c>
      <c r="B412" s="13">
        <v>44.401800000000001</v>
      </c>
      <c r="C412" s="12">
        <v>89.326400000000007</v>
      </c>
      <c r="D412" s="14">
        <v>0</v>
      </c>
      <c r="T412" s="5">
        <f t="shared" si="96"/>
        <v>32657582.017041508</v>
      </c>
      <c r="U412" s="5">
        <f t="shared" si="97"/>
        <v>32657582.017041508</v>
      </c>
      <c r="V412" s="5" t="str">
        <f t="shared" si="98"/>
        <v>n/a</v>
      </c>
      <c r="W412" s="5" t="str">
        <f t="shared" si="99"/>
        <v>n/a</v>
      </c>
      <c r="X412" s="6" t="str">
        <f t="shared" si="100"/>
        <v>n/a</v>
      </c>
      <c r="Y412" s="16" t="str">
        <f t="shared" si="101"/>
        <v>error</v>
      </c>
      <c r="Z412" s="16" t="str">
        <f t="shared" si="102"/>
        <v>error</v>
      </c>
      <c r="AA412" s="16" t="str">
        <f t="shared" si="103"/>
        <v>error</v>
      </c>
      <c r="AB412" s="16" t="str">
        <f t="shared" si="104"/>
        <v>error</v>
      </c>
      <c r="AC412" s="18" t="str">
        <f t="shared" si="105"/>
        <v>error</v>
      </c>
      <c r="AD412" s="16" t="str">
        <f t="shared" si="106"/>
        <v>error</v>
      </c>
      <c r="AE412" s="16" t="str">
        <f t="shared" si="107"/>
        <v>error</v>
      </c>
      <c r="AF412" s="16" t="str">
        <f t="shared" si="108"/>
        <v>error</v>
      </c>
      <c r="AG412" s="16" t="str">
        <f t="shared" si="109"/>
        <v>error</v>
      </c>
      <c r="AH412" s="16" t="str">
        <f t="shared" si="110"/>
        <v>error</v>
      </c>
    </row>
    <row r="413" spans="1:34" x14ac:dyDescent="0.25">
      <c r="A413" s="12">
        <v>67326</v>
      </c>
      <c r="B413" s="13">
        <v>44.428091899999998</v>
      </c>
      <c r="C413" s="12">
        <v>89.605639199999999</v>
      </c>
      <c r="D413" s="13">
        <v>0</v>
      </c>
      <c r="T413" s="5">
        <f t="shared" si="96"/>
        <v>32730407.744870495</v>
      </c>
      <c r="U413" s="5">
        <f t="shared" si="97"/>
        <v>32730407.744870495</v>
      </c>
      <c r="V413" s="5" t="str">
        <f t="shared" si="98"/>
        <v>n/a</v>
      </c>
      <c r="W413" s="5" t="str">
        <f t="shared" si="99"/>
        <v>n/a</v>
      </c>
      <c r="X413" s="6" t="str">
        <f t="shared" si="100"/>
        <v>n/a</v>
      </c>
      <c r="Y413" s="16" t="str">
        <f t="shared" si="101"/>
        <v>error</v>
      </c>
      <c r="Z413" s="16" t="str">
        <f t="shared" si="102"/>
        <v>error</v>
      </c>
      <c r="AA413" s="16" t="str">
        <f t="shared" si="103"/>
        <v>error</v>
      </c>
      <c r="AB413" s="16" t="str">
        <f t="shared" si="104"/>
        <v>error</v>
      </c>
      <c r="AC413" s="18" t="str">
        <f t="shared" si="105"/>
        <v>error</v>
      </c>
      <c r="AD413" s="16" t="str">
        <f t="shared" si="106"/>
        <v>error</v>
      </c>
      <c r="AE413" s="16" t="str">
        <f t="shared" si="107"/>
        <v>error</v>
      </c>
      <c r="AF413" s="16" t="str">
        <f t="shared" si="108"/>
        <v>error</v>
      </c>
      <c r="AG413" s="16" t="str">
        <f t="shared" si="109"/>
        <v>error</v>
      </c>
      <c r="AH413" s="16" t="str">
        <f t="shared" si="110"/>
        <v>error</v>
      </c>
    </row>
    <row r="414" spans="1:34" x14ac:dyDescent="0.25">
      <c r="A414" s="12">
        <v>67666</v>
      </c>
      <c r="B414" s="13">
        <v>44.406666700000002</v>
      </c>
      <c r="C414" s="12">
        <v>89.642499999999998</v>
      </c>
      <c r="D414" s="14">
        <v>0</v>
      </c>
      <c r="T414" s="5">
        <f t="shared" si="96"/>
        <v>32739976.617664792</v>
      </c>
      <c r="U414" s="5">
        <f t="shared" si="97"/>
        <v>32739976.617664792</v>
      </c>
      <c r="V414" s="5" t="str">
        <f t="shared" si="98"/>
        <v>n/a</v>
      </c>
      <c r="W414" s="5" t="str">
        <f t="shared" si="99"/>
        <v>n/a</v>
      </c>
      <c r="X414" s="6" t="str">
        <f t="shared" si="100"/>
        <v>n/a</v>
      </c>
      <c r="Y414" s="16" t="str">
        <f t="shared" si="101"/>
        <v>error</v>
      </c>
      <c r="Z414" s="16" t="str">
        <f t="shared" si="102"/>
        <v>error</v>
      </c>
      <c r="AA414" s="16" t="str">
        <f t="shared" si="103"/>
        <v>error</v>
      </c>
      <c r="AB414" s="16" t="str">
        <f t="shared" si="104"/>
        <v>error</v>
      </c>
      <c r="AC414" s="18" t="str">
        <f t="shared" si="105"/>
        <v>error</v>
      </c>
      <c r="AD414" s="16" t="str">
        <f t="shared" si="106"/>
        <v>error</v>
      </c>
      <c r="AE414" s="16" t="str">
        <f t="shared" si="107"/>
        <v>error</v>
      </c>
      <c r="AF414" s="16" t="str">
        <f t="shared" si="108"/>
        <v>error</v>
      </c>
      <c r="AG414" s="16" t="str">
        <f t="shared" si="109"/>
        <v>error</v>
      </c>
      <c r="AH414" s="16" t="str">
        <f t="shared" si="110"/>
        <v>error</v>
      </c>
    </row>
    <row r="415" spans="1:34" x14ac:dyDescent="0.25">
      <c r="A415" s="12">
        <v>67672</v>
      </c>
      <c r="B415" s="13">
        <v>44.417056700000003</v>
      </c>
      <c r="C415" s="12">
        <v>89.467495099999994</v>
      </c>
      <c r="D415" s="13">
        <v>0</v>
      </c>
      <c r="T415" s="5">
        <f t="shared" si="96"/>
        <v>32694392.343444858</v>
      </c>
      <c r="U415" s="5">
        <f t="shared" si="97"/>
        <v>32694392.343444858</v>
      </c>
      <c r="V415" s="5" t="str">
        <f t="shared" si="98"/>
        <v>n/a</v>
      </c>
      <c r="W415" s="5" t="str">
        <f t="shared" si="99"/>
        <v>n/a</v>
      </c>
      <c r="X415" s="6" t="str">
        <f t="shared" si="100"/>
        <v>n/a</v>
      </c>
      <c r="Y415" s="16" t="str">
        <f t="shared" si="101"/>
        <v>error</v>
      </c>
      <c r="Z415" s="16" t="str">
        <f t="shared" si="102"/>
        <v>error</v>
      </c>
      <c r="AA415" s="16" t="str">
        <f t="shared" si="103"/>
        <v>error</v>
      </c>
      <c r="AB415" s="16" t="str">
        <f t="shared" si="104"/>
        <v>error</v>
      </c>
      <c r="AC415" s="18" t="str">
        <f t="shared" si="105"/>
        <v>error</v>
      </c>
      <c r="AD415" s="16" t="str">
        <f t="shared" si="106"/>
        <v>error</v>
      </c>
      <c r="AE415" s="16" t="str">
        <f t="shared" si="107"/>
        <v>error</v>
      </c>
      <c r="AF415" s="16" t="str">
        <f t="shared" si="108"/>
        <v>error</v>
      </c>
      <c r="AG415" s="16" t="str">
        <f t="shared" si="109"/>
        <v>error</v>
      </c>
      <c r="AH415" s="16" t="str">
        <f t="shared" si="110"/>
        <v>error</v>
      </c>
    </row>
    <row r="416" spans="1:34" x14ac:dyDescent="0.25">
      <c r="A416" s="12">
        <v>67673</v>
      </c>
      <c r="B416" s="13">
        <v>44.416276699999997</v>
      </c>
      <c r="C416" s="12">
        <v>89.484960000000001</v>
      </c>
      <c r="D416" s="14">
        <v>3</v>
      </c>
      <c r="E416" s="13" t="s">
        <v>42</v>
      </c>
      <c r="F416" s="13">
        <v>44.468649999999997</v>
      </c>
      <c r="G416" s="12">
        <v>89.498069999999998</v>
      </c>
      <c r="H416" s="13" t="s">
        <v>44</v>
      </c>
      <c r="I416" s="13">
        <v>44.396560000000001</v>
      </c>
      <c r="J416" s="12">
        <v>89.494640000000004</v>
      </c>
      <c r="K416" s="13" t="s">
        <v>50</v>
      </c>
      <c r="L416" s="13">
        <v>44.41048</v>
      </c>
      <c r="M416" s="12">
        <v>89.549909999999997</v>
      </c>
      <c r="T416" s="5">
        <f t="shared" si="96"/>
        <v>19409.173018822643</v>
      </c>
      <c r="U416" s="5">
        <f t="shared" si="97"/>
        <v>7622.4928223911638</v>
      </c>
      <c r="V416" s="5">
        <f t="shared" si="98"/>
        <v>17056.862592432644</v>
      </c>
      <c r="W416" s="5" t="str">
        <f t="shared" si="99"/>
        <v>n/a</v>
      </c>
      <c r="X416" s="6" t="str">
        <f t="shared" si="100"/>
        <v>n/a</v>
      </c>
      <c r="Y416" s="16">
        <f t="shared" si="101"/>
        <v>0.21348305718450555</v>
      </c>
      <c r="Z416" s="16">
        <f t="shared" si="102"/>
        <v>0.54359245591017269</v>
      </c>
      <c r="AA416" s="16">
        <f t="shared" si="103"/>
        <v>0.24292448690532178</v>
      </c>
      <c r="AB416" s="16" t="e">
        <f t="shared" si="104"/>
        <v>#VALUE!</v>
      </c>
      <c r="AC416" s="18" t="e">
        <f t="shared" si="105"/>
        <v>#VALUE!</v>
      </c>
      <c r="AD416" s="16">
        <f t="shared" si="106"/>
        <v>0.11391473348532841</v>
      </c>
      <c r="AE416" s="16">
        <f t="shared" si="107"/>
        <v>0.73858403047762389</v>
      </c>
      <c r="AF416" s="16">
        <f t="shared" si="108"/>
        <v>0.14750123603704776</v>
      </c>
      <c r="AG416" s="16" t="e">
        <f t="shared" si="109"/>
        <v>#VALUE!</v>
      </c>
      <c r="AH416" s="16" t="e">
        <f t="shared" si="110"/>
        <v>#VALUE!</v>
      </c>
    </row>
    <row r="417" spans="1:34" x14ac:dyDescent="0.25">
      <c r="A417" s="12">
        <v>67737</v>
      </c>
      <c r="B417" s="13">
        <v>44.491199999999999</v>
      </c>
      <c r="C417" s="12">
        <v>89.516300000000001</v>
      </c>
      <c r="D417" s="14">
        <v>2</v>
      </c>
      <c r="E417" s="13" t="s">
        <v>42</v>
      </c>
      <c r="F417" s="13">
        <v>44.472000000000001</v>
      </c>
      <c r="G417" s="12">
        <v>89.520039999999995</v>
      </c>
      <c r="H417" s="13" t="s">
        <v>39</v>
      </c>
      <c r="I417" s="13">
        <v>44.497709999999998</v>
      </c>
      <c r="J417" s="12">
        <v>89.547160000000005</v>
      </c>
      <c r="T417" s="5">
        <f t="shared" si="96"/>
        <v>7071.7269799840087</v>
      </c>
      <c r="U417" s="5">
        <f t="shared" si="97"/>
        <v>8374.4382278019639</v>
      </c>
      <c r="V417" s="5" t="str">
        <f t="shared" si="98"/>
        <v>n/a</v>
      </c>
      <c r="W417" s="5" t="str">
        <f t="shared" si="99"/>
        <v>n/a</v>
      </c>
      <c r="X417" s="6" t="str">
        <f t="shared" si="100"/>
        <v>n/a</v>
      </c>
      <c r="Y417" s="16">
        <f t="shared" si="101"/>
        <v>0.54216940678458159</v>
      </c>
      <c r="Z417" s="16">
        <f t="shared" si="102"/>
        <v>0.45783059321541841</v>
      </c>
      <c r="AA417" s="16" t="e">
        <f t="shared" si="103"/>
        <v>#VALUE!</v>
      </c>
      <c r="AB417" s="16" t="e">
        <f t="shared" si="104"/>
        <v>#VALUE!</v>
      </c>
      <c r="AC417" s="18" t="e">
        <f t="shared" si="105"/>
        <v>#VALUE!</v>
      </c>
      <c r="AD417" s="16">
        <f t="shared" si="106"/>
        <v>0.58374314560375795</v>
      </c>
      <c r="AE417" s="16">
        <f t="shared" si="107"/>
        <v>0.41625685439624199</v>
      </c>
      <c r="AF417" s="16" t="e">
        <f t="shared" si="108"/>
        <v>#VALUE!</v>
      </c>
      <c r="AG417" s="16" t="e">
        <f t="shared" si="109"/>
        <v>#VALUE!</v>
      </c>
      <c r="AH417" s="16" t="e">
        <f t="shared" si="110"/>
        <v>#VALUE!</v>
      </c>
    </row>
    <row r="418" spans="1:34" x14ac:dyDescent="0.25">
      <c r="A418" s="12">
        <v>67894</v>
      </c>
      <c r="B418" s="13">
        <v>44.399373300000001</v>
      </c>
      <c r="C418" s="12">
        <v>89.464966700000005</v>
      </c>
      <c r="D418" s="13">
        <v>0</v>
      </c>
      <c r="T418" s="5">
        <f t="shared" si="96"/>
        <v>32693691.370227147</v>
      </c>
      <c r="U418" s="5">
        <f t="shared" si="97"/>
        <v>32693691.370227147</v>
      </c>
      <c r="V418" s="5" t="str">
        <f t="shared" si="98"/>
        <v>n/a</v>
      </c>
      <c r="W418" s="5" t="str">
        <f t="shared" si="99"/>
        <v>n/a</v>
      </c>
      <c r="X418" s="6" t="str">
        <f t="shared" si="100"/>
        <v>n/a</v>
      </c>
      <c r="Y418" s="16" t="str">
        <f t="shared" si="101"/>
        <v>error</v>
      </c>
      <c r="Z418" s="16" t="str">
        <f t="shared" si="102"/>
        <v>error</v>
      </c>
      <c r="AA418" s="16" t="str">
        <f t="shared" si="103"/>
        <v>error</v>
      </c>
      <c r="AB418" s="16" t="str">
        <f t="shared" si="104"/>
        <v>error</v>
      </c>
      <c r="AC418" s="18" t="str">
        <f t="shared" si="105"/>
        <v>error</v>
      </c>
      <c r="AD418" s="16" t="str">
        <f t="shared" si="106"/>
        <v>error</v>
      </c>
      <c r="AE418" s="16" t="str">
        <f t="shared" si="107"/>
        <v>error</v>
      </c>
      <c r="AF418" s="16" t="str">
        <f t="shared" si="108"/>
        <v>error</v>
      </c>
      <c r="AG418" s="16" t="str">
        <f t="shared" si="109"/>
        <v>error</v>
      </c>
      <c r="AH418" s="16" t="str">
        <f t="shared" si="110"/>
        <v>error</v>
      </c>
    </row>
    <row r="419" spans="1:34" x14ac:dyDescent="0.25">
      <c r="A419" s="12">
        <v>67895</v>
      </c>
      <c r="B419" s="13">
        <v>44.397233300000003</v>
      </c>
      <c r="C419" s="12">
        <v>89.462200100000004</v>
      </c>
      <c r="D419" s="14">
        <v>5</v>
      </c>
      <c r="E419" s="13" t="s">
        <v>42</v>
      </c>
      <c r="F419" s="13">
        <v>44.467849999999999</v>
      </c>
      <c r="G419" s="12">
        <v>89.487679999999997</v>
      </c>
      <c r="H419" s="13" t="s">
        <v>44</v>
      </c>
      <c r="I419" s="13">
        <v>44.400129999999997</v>
      </c>
      <c r="J419" s="12">
        <v>89.480549999999994</v>
      </c>
      <c r="K419" s="13" t="s">
        <v>51</v>
      </c>
      <c r="L419" s="13">
        <v>44.37968</v>
      </c>
      <c r="M419" s="12">
        <v>89.436890000000005</v>
      </c>
      <c r="N419" s="13" t="s">
        <v>46</v>
      </c>
      <c r="O419" s="13">
        <v>44.382379999999998</v>
      </c>
      <c r="P419" s="12">
        <v>89.367450000000005</v>
      </c>
      <c r="Q419" s="13" t="s">
        <v>43</v>
      </c>
      <c r="R419" s="13">
        <v>44.436579999999999</v>
      </c>
      <c r="S419" s="12">
        <v>89.376000000000005</v>
      </c>
      <c r="T419" s="5">
        <f t="shared" si="96"/>
        <v>26603.231252925096</v>
      </c>
      <c r="U419" s="5">
        <f t="shared" si="97"/>
        <v>4898.3347693543255</v>
      </c>
      <c r="V419" s="5">
        <f t="shared" si="98"/>
        <v>9194.8433239066926</v>
      </c>
      <c r="W419" s="5">
        <f t="shared" si="99"/>
        <v>25288.165230362083</v>
      </c>
      <c r="X419" s="6">
        <f t="shared" si="100"/>
        <v>26656.31700907593</v>
      </c>
      <c r="Y419" s="16">
        <f t="shared" si="101"/>
        <v>8.7916991250319501E-2</v>
      </c>
      <c r="Z419" s="16">
        <f t="shared" si="102"/>
        <v>0.47748391227289294</v>
      </c>
      <c r="AA419" s="16">
        <f t="shared" si="103"/>
        <v>0.25436823303041378</v>
      </c>
      <c r="AB419" s="16">
        <f t="shared" si="104"/>
        <v>9.2488957897407464E-2</v>
      </c>
      <c r="AC419" s="18">
        <f t="shared" si="105"/>
        <v>8.7741905548966229E-2</v>
      </c>
      <c r="AD419" s="16">
        <f t="shared" si="106"/>
        <v>2.4407878299570564E-2</v>
      </c>
      <c r="AE419" s="16">
        <f t="shared" si="107"/>
        <v>0.71994924807880412</v>
      </c>
      <c r="AF419" s="16">
        <f t="shared" si="108"/>
        <v>0.20431965263931412</v>
      </c>
      <c r="AG419" s="16">
        <f t="shared" si="109"/>
        <v>2.7012461911814657E-2</v>
      </c>
      <c r="AH419" s="16">
        <f t="shared" si="110"/>
        <v>2.431075907049661E-2</v>
      </c>
    </row>
    <row r="420" spans="1:34" x14ac:dyDescent="0.25">
      <c r="A420" s="12">
        <v>67922</v>
      </c>
      <c r="B420" s="13">
        <v>44.505800000000001</v>
      </c>
      <c r="C420" s="12">
        <v>89.415599999999998</v>
      </c>
      <c r="D420" s="14">
        <v>4</v>
      </c>
      <c r="E420" s="13" t="s">
        <v>42</v>
      </c>
      <c r="F420" s="13">
        <v>44.482410000000002</v>
      </c>
      <c r="G420" s="12">
        <v>89.479749999999996</v>
      </c>
      <c r="H420" s="13" t="s">
        <v>40</v>
      </c>
      <c r="I420" s="13">
        <v>44.551259999999999</v>
      </c>
      <c r="J420" s="12">
        <v>89.468959999999996</v>
      </c>
      <c r="K420" s="13" t="s">
        <v>41</v>
      </c>
      <c r="L420" s="13">
        <v>44.516109999999998</v>
      </c>
      <c r="M420" s="12">
        <v>89.335679999999996</v>
      </c>
      <c r="N420" s="13" t="s">
        <v>43</v>
      </c>
      <c r="O420" s="13">
        <v>44.436770000000003</v>
      </c>
      <c r="P420" s="12">
        <v>89.376199999999997</v>
      </c>
      <c r="T420" s="5">
        <f t="shared" ref="T420:T483" si="111">ACOS( SIN($B420*PI()/180)*SIN(F420*PI()/180) + COS($B420*PI()/180) *COS(F420*PI()/180) *COS(G420*PI()/180 - $C420*PI()/180))*20902230.97</f>
        <v>18748.098691878764</v>
      </c>
      <c r="U420" s="5">
        <f t="shared" ref="U420:U483" si="112">ACOS( SIN($B420*PI()/180)*SIN(I420*PI()/180) + COS($B420*PI()/180) *COS(I420*PI()/180) *COS(J420*PI()/180 - $C420*PI()/180))*20902230.97</f>
        <v>21624.764731635747</v>
      </c>
      <c r="V420" s="5">
        <f t="shared" ref="V420:V483" si="113">IF(D420&lt;3,"n/a",ACOS( SIN($B420*PI()/180)*SIN(L420*PI()/180) + COS($B420*PI()/180) *COS(L420*PI()/180) *COS(M420*PI()/180 - $C420*PI()/180))*20902230.97)</f>
        <v>21128.970739234486</v>
      </c>
      <c r="W420" s="5">
        <f t="shared" ref="W420:W483" si="114">IF(D420&lt;4,"n/a",ACOS( SIN($B420*PI()/180)*SIN(O420*PI()/180) + COS($B420*PI()/180) *COS(O420*PI()/180) *COS(P420*PI()/180 - $C420*PI()/180))*20902230.97)</f>
        <v>27191.754941395189</v>
      </c>
      <c r="X420" s="6" t="str">
        <f t="shared" ref="X420:X483" si="115">IF(D420&lt;5,"n/a", ACOS( SIN($B420*PI()/180)*SIN(R420*PI()/180) + COS($B420*PI()/180) *COS(R420*PI()/180) *COS(S420*PI()/180 - $C420*PI()/180))*20902230.97)</f>
        <v>n/a</v>
      </c>
      <c r="Y420" s="16">
        <f t="shared" ref="Y420:Y483" si="116">IF($D420=2,(1/T420)/((1/$T420)+(1/$U420)),IF($D420=3,(1/T420)/((1/$T420)+(1/$U420)+(1/$V420)),IF($D420=4,(1/T420)/((1/$T420)+(1/$U420)+(1/$V420)+(1/$W420)),IF($D420=5,(1/T420)/((1/$T420)+(1/$U420)+(1/$V420)+(1/$W420)+(1/$X420)),"error"))))</f>
        <v>0.29037960364216669</v>
      </c>
      <c r="Z420" s="16">
        <f t="shared" ref="Z420:Z483" si="117">IF($D420=2,(1/U420)/((1/$T420)+(1/$U420)),IF($D420=3,(1/U420)/((1/$T420)+(1/$U420)+(1/$V420)),IF($D420=4,(1/U420)/((1/$T420)+(1/$U420)+(1/$V420)+(1/$W420)),IF($D420=5,(1/U420)/((1/$T420)+(1/$U420)+(1/$V420)+(1/$W420)+(1/$X420)),"error"))))</f>
        <v>0.25175143104459469</v>
      </c>
      <c r="AA420" s="16">
        <f t="shared" ref="AA420:AA483" si="118">IF($D420=2,(1/V420)/((1/$T420)+(1/$U420)),IF($D420=3,(1/V420)/((1/$T420)+(1/$U420)+(1/$V420)),IF($D420=4,(1/V420)/((1/$T420)+(1/$U420)+(1/$V420)+(1/$W420)),IF($D420=5,(1/V420)/((1/$T420)+(1/$U420)+(1/$V420)+(1/$W420)+(1/$X420)),"error"))))</f>
        <v>0.25765881047309458</v>
      </c>
      <c r="AB420" s="16">
        <f t="shared" ref="AB420:AB483" si="119">IF($D420=2,(1/W420)/((1/$T420)+(1/$U420)),IF($D420=3,(1/W420)/((1/$T420)+(1/$U420)+(1/$V420)),IF($D420=4,(1/W420)/((1/$T420)+(1/$U420)+(1/$V420)+(1/$W420)),IF($D420=5,(1/W420)/((1/$T420)+(1/$U420)+(1/$V420)+(1/$W420)+(1/$X420)),"error"))))</f>
        <v>0.20021015484014393</v>
      </c>
      <c r="AC420" s="18" t="e">
        <f t="shared" ref="AC420:AC483" si="120">IF($D420=2,(1/X420)/((1/$T420)+(1/$U420)),IF($D420=3,(1/X420)/((1/$T420)+(1/$U420)+(1/$V420)),IF($D420=4,(1/X420)/((1/$T420)+(1/$U420)+(1/$V420)+(1/$W420)),IF($D420=5,(1/X420)/((1/$T420)+(1/$U420)+(1/$V420)+(1/$W420)+(1/$X420)),"error"))))</f>
        <v>#VALUE!</v>
      </c>
      <c r="AD420" s="16">
        <f t="shared" ref="AD420:AD483" si="121">IF($D420=2,(1/T420^2)/((1/$T420^2)+(1/$U420^2)),IF($D420=3,(1/T420^2)/((1/$T420^2)+(1/$U420^2)+(1/$V420^2)),IF($D420=4,(1/T420^2)/((1/$T420^2)+(1/$U420^2)+(1/$V420^2)+(1/$W420^2)),IF($D420=5,(1/T420^2)/((1/$T420^2)+(1/$U420^2)+(1/$V420^2)+(1/$W420^2)+(1/$X420^2)),"error"))))</f>
        <v>0.33174605277640756</v>
      </c>
      <c r="AE420" s="16">
        <f t="shared" ref="AE420:AE483" si="122">IF($D420=2,(1/U420^2)/((1/$T420^2)+(1/$U420^2)),IF($D420=3,(1/U420^2)/((1/$T420^2)+(1/$U420^2)+(1/$V420^2)),IF($D420=4,(1/U420^2)/((1/$T420^2)+(1/$U420^2)+(1/$V420^2)+(1/$W420^2)),IF($D420=5,(1/U420^2)/((1/$T420^2)+(1/$U420^2)+(1/$V420^2)+(1/$W420^2)+(1/$X420^2)),"error"))))</f>
        <v>0.24935463414262782</v>
      </c>
      <c r="AF420" s="16">
        <f t="shared" ref="AF420:AF483" si="123">IF($D420=2,(1/V420^2)/((1/$T420^2)+(1/$U420^2)),IF($D420=3,(1/V420^2)/((1/$T420^2)+(1/$U420^2)+(1/$V420^2)),IF($D420=4,(1/V420^2)/((1/$T420^2)+(1/$U420^2)+(1/$V420^2)+(1/$W420^2)),IF($D420=5,(1/V420^2)/((1/$T420^2)+(1/$U420^2)+(1/$V420^2)+(1/$W420^2)+(1/$X420^2)),"error"))))</f>
        <v>0.26119420841568286</v>
      </c>
      <c r="AG420" s="16">
        <f t="shared" ref="AG420:AG483" si="124">IF($D420=2,(1/W420^2)/((1/$T420^2)+(1/$U420^2)),IF($D420=3,(1/W420^2)/((1/$T420^2)+(1/$U420^2)+(1/$V420^2)),IF($D420=4,(1/W420^2)/((1/$T420^2)+(1/$U420^2)+(1/$V420^2)+(1/$W420^2)),IF($D420=5,(1/W420^2)/((1/$T420^2)+(1/$U420^2)+(1/$V420^2)+(1/$W420^2)+(1/$X420^2)),"error"))))</f>
        <v>0.15770510466528179</v>
      </c>
      <c r="AH420" s="16" t="e">
        <f t="shared" ref="AH420:AH483" si="125">IF($D420=2,(1/X420^2)/((1/$T420^2)+(1/$U420^2)),IF($D420=3,(1/X420^2)/((1/$T420^2)+(1/$U420^2)+(1/$V420^2)),IF($D420=4,(1/X420^2)/((1/$T420^2)+(1/$U420^2)+(1/$V420^2)+(1/$W420^2)),IF($D420=5,(1/X420^2)/((1/$T420^2)+(1/$U420^2)+(1/$V420^2)+(1/$W420^2)+(1/$X420^2)),"error"))))</f>
        <v>#VALUE!</v>
      </c>
    </row>
    <row r="421" spans="1:34" x14ac:dyDescent="0.25">
      <c r="A421" s="12">
        <v>68008</v>
      </c>
      <c r="B421" s="13">
        <v>44.453628299999998</v>
      </c>
      <c r="C421" s="12">
        <v>89.522203300000001</v>
      </c>
      <c r="D421" s="14">
        <v>2</v>
      </c>
      <c r="E421" s="13" t="s">
        <v>42</v>
      </c>
      <c r="F421" s="13">
        <v>44.470379999999999</v>
      </c>
      <c r="G421" s="12">
        <v>89.513419999999996</v>
      </c>
      <c r="H421" s="13" t="s">
        <v>48</v>
      </c>
      <c r="I421" s="13">
        <v>44.463030000000003</v>
      </c>
      <c r="J421" s="12">
        <v>89.553120000000007</v>
      </c>
      <c r="T421" s="5">
        <f t="shared" si="111"/>
        <v>6525.1222738111946</v>
      </c>
      <c r="U421" s="5">
        <f t="shared" si="112"/>
        <v>8750.5573212127565</v>
      </c>
      <c r="V421" s="5" t="str">
        <f t="shared" si="113"/>
        <v>n/a</v>
      </c>
      <c r="W421" s="5" t="str">
        <f t="shared" si="114"/>
        <v>n/a</v>
      </c>
      <c r="X421" s="6" t="str">
        <f t="shared" si="115"/>
        <v>n/a</v>
      </c>
      <c r="Y421" s="16">
        <f t="shared" si="116"/>
        <v>0.57284242359097715</v>
      </c>
      <c r="Z421" s="16">
        <f t="shared" si="117"/>
        <v>0.42715757640902285</v>
      </c>
      <c r="AA421" s="16" t="e">
        <f t="shared" si="118"/>
        <v>#VALUE!</v>
      </c>
      <c r="AB421" s="16" t="e">
        <f t="shared" si="119"/>
        <v>#VALUE!</v>
      </c>
      <c r="AC421" s="18" t="e">
        <f t="shared" si="120"/>
        <v>#VALUE!</v>
      </c>
      <c r="AD421" s="16">
        <f t="shared" si="121"/>
        <v>0.6426570826044965</v>
      </c>
      <c r="AE421" s="16">
        <f t="shared" si="122"/>
        <v>0.35734291739550356</v>
      </c>
      <c r="AF421" s="16" t="e">
        <f t="shared" si="123"/>
        <v>#VALUE!</v>
      </c>
      <c r="AG421" s="16" t="e">
        <f t="shared" si="124"/>
        <v>#VALUE!</v>
      </c>
      <c r="AH421" s="16" t="e">
        <f t="shared" si="125"/>
        <v>#VALUE!</v>
      </c>
    </row>
    <row r="422" spans="1:34" x14ac:dyDescent="0.25">
      <c r="A422" s="12">
        <v>68120</v>
      </c>
      <c r="B422" s="13">
        <v>44.428100000000001</v>
      </c>
      <c r="C422" s="12">
        <v>89.584299999999999</v>
      </c>
      <c r="D422" s="14">
        <v>0</v>
      </c>
      <c r="T422" s="5">
        <f t="shared" si="111"/>
        <v>32724848.463470511</v>
      </c>
      <c r="U422" s="5">
        <f t="shared" si="112"/>
        <v>32724848.463470511</v>
      </c>
      <c r="V422" s="5" t="str">
        <f t="shared" si="113"/>
        <v>n/a</v>
      </c>
      <c r="W422" s="5" t="str">
        <f t="shared" si="114"/>
        <v>n/a</v>
      </c>
      <c r="X422" s="6" t="str">
        <f t="shared" si="115"/>
        <v>n/a</v>
      </c>
      <c r="Y422" s="16" t="str">
        <f t="shared" si="116"/>
        <v>error</v>
      </c>
      <c r="Z422" s="16" t="str">
        <f t="shared" si="117"/>
        <v>error</v>
      </c>
      <c r="AA422" s="16" t="str">
        <f t="shared" si="118"/>
        <v>error</v>
      </c>
      <c r="AB422" s="16" t="str">
        <f t="shared" si="119"/>
        <v>error</v>
      </c>
      <c r="AC422" s="18" t="str">
        <f t="shared" si="120"/>
        <v>error</v>
      </c>
      <c r="AD422" s="16" t="str">
        <f t="shared" si="121"/>
        <v>error</v>
      </c>
      <c r="AE422" s="16" t="str">
        <f t="shared" si="122"/>
        <v>error</v>
      </c>
      <c r="AF422" s="16" t="str">
        <f t="shared" si="123"/>
        <v>error</v>
      </c>
      <c r="AG422" s="16" t="str">
        <f t="shared" si="124"/>
        <v>error</v>
      </c>
      <c r="AH422" s="16" t="str">
        <f t="shared" si="125"/>
        <v>error</v>
      </c>
    </row>
    <row r="423" spans="1:34" x14ac:dyDescent="0.25">
      <c r="A423" s="12">
        <v>68215</v>
      </c>
      <c r="B423" s="13">
        <v>44.396683299999999</v>
      </c>
      <c r="C423" s="12">
        <v>89.617183199999999</v>
      </c>
      <c r="D423" s="14">
        <v>0</v>
      </c>
      <c r="T423" s="5">
        <f t="shared" si="111"/>
        <v>32733361.618612826</v>
      </c>
      <c r="U423" s="5">
        <f t="shared" si="112"/>
        <v>32733361.618612826</v>
      </c>
      <c r="V423" s="5" t="str">
        <f t="shared" si="113"/>
        <v>n/a</v>
      </c>
      <c r="W423" s="5" t="str">
        <f t="shared" si="114"/>
        <v>n/a</v>
      </c>
      <c r="X423" s="6" t="str">
        <f t="shared" si="115"/>
        <v>n/a</v>
      </c>
      <c r="Y423" s="16" t="str">
        <f t="shared" si="116"/>
        <v>error</v>
      </c>
      <c r="Z423" s="16" t="str">
        <f t="shared" si="117"/>
        <v>error</v>
      </c>
      <c r="AA423" s="16" t="str">
        <f t="shared" si="118"/>
        <v>error</v>
      </c>
      <c r="AB423" s="16" t="str">
        <f t="shared" si="119"/>
        <v>error</v>
      </c>
      <c r="AC423" s="18" t="str">
        <f t="shared" si="120"/>
        <v>error</v>
      </c>
      <c r="AD423" s="16" t="str">
        <f t="shared" si="121"/>
        <v>error</v>
      </c>
      <c r="AE423" s="16" t="str">
        <f t="shared" si="122"/>
        <v>error</v>
      </c>
      <c r="AF423" s="16" t="str">
        <f t="shared" si="123"/>
        <v>error</v>
      </c>
      <c r="AG423" s="16" t="str">
        <f t="shared" si="124"/>
        <v>error</v>
      </c>
      <c r="AH423" s="16" t="str">
        <f t="shared" si="125"/>
        <v>error</v>
      </c>
    </row>
    <row r="424" spans="1:34" x14ac:dyDescent="0.25">
      <c r="A424" s="12">
        <v>68216</v>
      </c>
      <c r="B424" s="13">
        <v>44.471753300000003</v>
      </c>
      <c r="C424" s="12">
        <v>89.331358300000005</v>
      </c>
      <c r="D424" s="14">
        <v>3</v>
      </c>
      <c r="E424" s="13" t="s">
        <v>42</v>
      </c>
      <c r="F424" s="13">
        <v>44.472119999999997</v>
      </c>
      <c r="G424" s="12">
        <v>89.482460000000003</v>
      </c>
      <c r="H424" s="13" t="s">
        <v>41</v>
      </c>
      <c r="I424" s="13">
        <v>44.474519999999998</v>
      </c>
      <c r="J424" s="12">
        <v>89.295339999999996</v>
      </c>
      <c r="K424" s="13" t="s">
        <v>43</v>
      </c>
      <c r="L424" s="13">
        <v>44.43627</v>
      </c>
      <c r="M424" s="12">
        <v>89.307379999999995</v>
      </c>
      <c r="T424" s="5">
        <f t="shared" si="111"/>
        <v>39336.235703100589</v>
      </c>
      <c r="U424" s="5">
        <f t="shared" si="112"/>
        <v>9430.5500502012164</v>
      </c>
      <c r="V424" s="5">
        <f t="shared" si="113"/>
        <v>14372.06027821452</v>
      </c>
      <c r="W424" s="5" t="str">
        <f t="shared" si="114"/>
        <v>n/a</v>
      </c>
      <c r="X424" s="6" t="str">
        <f t="shared" si="115"/>
        <v>n/a</v>
      </c>
      <c r="Y424" s="16">
        <f t="shared" si="116"/>
        <v>0.12645193411770991</v>
      </c>
      <c r="Z424" s="16">
        <f t="shared" si="117"/>
        <v>0.5274499429077365</v>
      </c>
      <c r="AA424" s="16">
        <f t="shared" si="118"/>
        <v>0.3460981229745535</v>
      </c>
      <c r="AB424" s="16" t="e">
        <f t="shared" si="119"/>
        <v>#VALUE!</v>
      </c>
      <c r="AC424" s="18" t="e">
        <f t="shared" si="120"/>
        <v>#VALUE!</v>
      </c>
      <c r="AD424" s="16">
        <f t="shared" si="121"/>
        <v>3.8625514141085247E-2</v>
      </c>
      <c r="AE424" s="16">
        <f t="shared" si="122"/>
        <v>0.67202560398903921</v>
      </c>
      <c r="AF424" s="16">
        <f t="shared" si="123"/>
        <v>0.28934888186987567</v>
      </c>
      <c r="AG424" s="16" t="e">
        <f t="shared" si="124"/>
        <v>#VALUE!</v>
      </c>
      <c r="AH424" s="16" t="e">
        <f t="shared" si="125"/>
        <v>#VALUE!</v>
      </c>
    </row>
    <row r="425" spans="1:34" x14ac:dyDescent="0.25">
      <c r="A425" s="12">
        <v>68218</v>
      </c>
      <c r="B425" s="13">
        <v>44.471448299999999</v>
      </c>
      <c r="C425" s="12">
        <v>89.325429999999997</v>
      </c>
      <c r="D425" s="14">
        <v>3</v>
      </c>
      <c r="E425" s="13" t="s">
        <v>42</v>
      </c>
      <c r="F425" s="13">
        <v>44.472119999999997</v>
      </c>
      <c r="G425" s="12">
        <v>89.482460000000003</v>
      </c>
      <c r="H425" s="13" t="s">
        <v>41</v>
      </c>
      <c r="I425" s="13">
        <v>44.474519999999998</v>
      </c>
      <c r="J425" s="12">
        <v>89.295339999999996</v>
      </c>
      <c r="K425" s="13" t="s">
        <v>43</v>
      </c>
      <c r="L425" s="13">
        <v>44.43627</v>
      </c>
      <c r="M425" s="12">
        <v>89.307379999999995</v>
      </c>
      <c r="T425" s="5">
        <f t="shared" si="111"/>
        <v>40880.151682981807</v>
      </c>
      <c r="U425" s="5">
        <f t="shared" si="112"/>
        <v>7912.8802926711396</v>
      </c>
      <c r="V425" s="5">
        <f t="shared" si="113"/>
        <v>13667.189461041302</v>
      </c>
      <c r="W425" s="5" t="str">
        <f t="shared" si="114"/>
        <v>n/a</v>
      </c>
      <c r="X425" s="6" t="str">
        <f t="shared" si="115"/>
        <v>n/a</v>
      </c>
      <c r="Y425" s="16">
        <f t="shared" si="116"/>
        <v>0.10920135239891753</v>
      </c>
      <c r="Z425" s="16">
        <f t="shared" si="117"/>
        <v>0.5641647143568167</v>
      </c>
      <c r="AA425" s="16">
        <f t="shared" si="118"/>
        <v>0.32663393324426582</v>
      </c>
      <c r="AB425" s="16" t="e">
        <f t="shared" si="119"/>
        <v>#VALUE!</v>
      </c>
      <c r="AC425" s="18" t="e">
        <f t="shared" si="120"/>
        <v>#VALUE!</v>
      </c>
      <c r="AD425" s="16">
        <f t="shared" si="121"/>
        <v>2.7294646971244587E-2</v>
      </c>
      <c r="AE425" s="16">
        <f t="shared" si="122"/>
        <v>0.72850625871308627</v>
      </c>
      <c r="AF425" s="16">
        <f t="shared" si="123"/>
        <v>0.24419909431566922</v>
      </c>
      <c r="AG425" s="16" t="e">
        <f t="shared" si="124"/>
        <v>#VALUE!</v>
      </c>
      <c r="AH425" s="16" t="e">
        <f t="shared" si="125"/>
        <v>#VALUE!</v>
      </c>
    </row>
    <row r="426" spans="1:34" x14ac:dyDescent="0.25">
      <c r="A426" s="12">
        <v>68219</v>
      </c>
      <c r="B426" s="13">
        <v>44.471125000000001</v>
      </c>
      <c r="C426" s="12">
        <v>89.330473400000002</v>
      </c>
      <c r="D426" s="14">
        <v>3</v>
      </c>
      <c r="E426" s="13" t="s">
        <v>42</v>
      </c>
      <c r="F426" s="13">
        <v>44.472119999999997</v>
      </c>
      <c r="G426" s="12">
        <v>89.482460000000003</v>
      </c>
      <c r="H426" s="13" t="s">
        <v>41</v>
      </c>
      <c r="I426" s="13">
        <v>44.474519999999998</v>
      </c>
      <c r="J426" s="12">
        <v>89.295339999999996</v>
      </c>
      <c r="K426" s="13" t="s">
        <v>43</v>
      </c>
      <c r="L426" s="13">
        <v>44.43627</v>
      </c>
      <c r="M426" s="12">
        <v>89.307379999999995</v>
      </c>
      <c r="T426" s="5">
        <f t="shared" si="111"/>
        <v>39568.250425672915</v>
      </c>
      <c r="U426" s="5">
        <f t="shared" si="112"/>
        <v>9229.5503366521007</v>
      </c>
      <c r="V426" s="5">
        <f t="shared" si="113"/>
        <v>14065.924127729206</v>
      </c>
      <c r="W426" s="5" t="str">
        <f t="shared" si="114"/>
        <v>n/a</v>
      </c>
      <c r="X426" s="6" t="str">
        <f t="shared" si="115"/>
        <v>n/a</v>
      </c>
      <c r="Y426" s="16">
        <f t="shared" si="116"/>
        <v>0.12345398793673903</v>
      </c>
      <c r="Z426" s="16">
        <f t="shared" si="117"/>
        <v>0.52926287116397186</v>
      </c>
      <c r="AA426" s="16">
        <f t="shared" si="118"/>
        <v>0.34728314089928919</v>
      </c>
      <c r="AB426" s="16" t="e">
        <f t="shared" si="119"/>
        <v>#VALUE!</v>
      </c>
      <c r="AC426" s="18" t="e">
        <f t="shared" si="120"/>
        <v>#VALUE!</v>
      </c>
      <c r="AD426" s="16">
        <f t="shared" si="121"/>
        <v>3.6639773008201357E-2</v>
      </c>
      <c r="AE426" s="16">
        <f t="shared" si="122"/>
        <v>0.67341902913806362</v>
      </c>
      <c r="AF426" s="16">
        <f t="shared" si="123"/>
        <v>0.28994119785373496</v>
      </c>
      <c r="AG426" s="16" t="e">
        <f t="shared" si="124"/>
        <v>#VALUE!</v>
      </c>
      <c r="AH426" s="16" t="e">
        <f t="shared" si="125"/>
        <v>#VALUE!</v>
      </c>
    </row>
    <row r="427" spans="1:34" x14ac:dyDescent="0.25">
      <c r="A427" s="12">
        <v>68220</v>
      </c>
      <c r="B427" s="13">
        <v>44.467633300000003</v>
      </c>
      <c r="C427" s="12">
        <v>89.330038299999998</v>
      </c>
      <c r="D427" s="14">
        <v>3</v>
      </c>
      <c r="E427" s="13" t="s">
        <v>42</v>
      </c>
      <c r="F427" s="13">
        <v>44.472119999999997</v>
      </c>
      <c r="G427" s="12">
        <v>89.482460000000003</v>
      </c>
      <c r="H427" s="13" t="s">
        <v>41</v>
      </c>
      <c r="I427" s="13">
        <v>44.474519999999998</v>
      </c>
      <c r="J427" s="12">
        <v>89.295339999999996</v>
      </c>
      <c r="K427" s="13" t="s">
        <v>43</v>
      </c>
      <c r="L427" s="13">
        <v>44.43627</v>
      </c>
      <c r="M427" s="12">
        <v>89.307379999999995</v>
      </c>
      <c r="T427" s="5">
        <f t="shared" si="111"/>
        <v>39714.78562519978</v>
      </c>
      <c r="U427" s="5">
        <f t="shared" si="112"/>
        <v>9375.9461794025392</v>
      </c>
      <c r="V427" s="5">
        <f t="shared" si="113"/>
        <v>12873.633227028264</v>
      </c>
      <c r="W427" s="5" t="str">
        <f t="shared" si="114"/>
        <v>n/a</v>
      </c>
      <c r="X427" s="6" t="str">
        <f t="shared" si="115"/>
        <v>n/a</v>
      </c>
      <c r="Y427" s="16">
        <f t="shared" si="116"/>
        <v>0.12018093481706961</v>
      </c>
      <c r="Z427" s="16">
        <f t="shared" si="117"/>
        <v>0.50906436227006735</v>
      </c>
      <c r="AA427" s="16">
        <f t="shared" si="118"/>
        <v>0.37075470291286311</v>
      </c>
      <c r="AB427" s="16" t="e">
        <f t="shared" si="119"/>
        <v>#VALUE!</v>
      </c>
      <c r="AC427" s="18" t="e">
        <f t="shared" si="120"/>
        <v>#VALUE!</v>
      </c>
      <c r="AD427" s="16">
        <f t="shared" si="121"/>
        <v>3.5138039449208798E-2</v>
      </c>
      <c r="AE427" s="16">
        <f t="shared" si="122"/>
        <v>0.63045161260811999</v>
      </c>
      <c r="AF427" s="16">
        <f t="shared" si="123"/>
        <v>0.33441034794267127</v>
      </c>
      <c r="AG427" s="16" t="e">
        <f t="shared" si="124"/>
        <v>#VALUE!</v>
      </c>
      <c r="AH427" s="16" t="e">
        <f t="shared" si="125"/>
        <v>#VALUE!</v>
      </c>
    </row>
    <row r="428" spans="1:34" x14ac:dyDescent="0.25">
      <c r="A428" s="12">
        <v>68221</v>
      </c>
      <c r="B428" s="13">
        <v>44.473480000000002</v>
      </c>
      <c r="C428" s="12">
        <v>89.333508300000005</v>
      </c>
      <c r="D428" s="14">
        <v>3</v>
      </c>
      <c r="E428" s="13" t="s">
        <v>42</v>
      </c>
      <c r="F428" s="13">
        <v>44.472119999999997</v>
      </c>
      <c r="G428" s="12">
        <v>89.482460000000003</v>
      </c>
      <c r="H428" s="13" t="s">
        <v>41</v>
      </c>
      <c r="I428" s="13">
        <v>44.474519999999998</v>
      </c>
      <c r="J428" s="12">
        <v>89.295339999999996</v>
      </c>
      <c r="K428" s="13" t="s">
        <v>43</v>
      </c>
      <c r="L428" s="13">
        <v>44.43627</v>
      </c>
      <c r="M428" s="12">
        <v>89.307379999999995</v>
      </c>
      <c r="T428" s="5">
        <f t="shared" si="111"/>
        <v>38778.903505108588</v>
      </c>
      <c r="U428" s="5">
        <f t="shared" si="112"/>
        <v>9943.1696457510498</v>
      </c>
      <c r="V428" s="5">
        <f t="shared" si="113"/>
        <v>15184.376807595196</v>
      </c>
      <c r="W428" s="5" t="str">
        <f t="shared" si="114"/>
        <v>n/a</v>
      </c>
      <c r="X428" s="6" t="str">
        <f t="shared" si="115"/>
        <v>n/a</v>
      </c>
      <c r="Y428" s="16">
        <f t="shared" si="116"/>
        <v>0.1341575414141859</v>
      </c>
      <c r="Z428" s="16">
        <f t="shared" si="117"/>
        <v>0.52322172288455993</v>
      </c>
      <c r="AA428" s="16">
        <f t="shared" si="118"/>
        <v>0.34262073570125401</v>
      </c>
      <c r="AB428" s="16" t="e">
        <f t="shared" si="119"/>
        <v>#VALUE!</v>
      </c>
      <c r="AC428" s="18" t="e">
        <f t="shared" si="120"/>
        <v>#VALUE!</v>
      </c>
      <c r="AD428" s="16">
        <f t="shared" si="121"/>
        <v>4.3989553284584211E-2</v>
      </c>
      <c r="AE428" s="16">
        <f t="shared" si="122"/>
        <v>0.66909980499386756</v>
      </c>
      <c r="AF428" s="16">
        <f t="shared" si="123"/>
        <v>0.28691064172154823</v>
      </c>
      <c r="AG428" s="16" t="e">
        <f t="shared" si="124"/>
        <v>#VALUE!</v>
      </c>
      <c r="AH428" s="16" t="e">
        <f t="shared" si="125"/>
        <v>#VALUE!</v>
      </c>
    </row>
    <row r="429" spans="1:34" x14ac:dyDescent="0.25">
      <c r="A429" s="12">
        <v>68247</v>
      </c>
      <c r="B429" s="13">
        <v>44.474646700000001</v>
      </c>
      <c r="C429" s="12">
        <v>89.334036699999999</v>
      </c>
      <c r="D429" s="13">
        <v>0</v>
      </c>
      <c r="T429" s="5">
        <f t="shared" si="111"/>
        <v>32659788.656084601</v>
      </c>
      <c r="U429" s="5">
        <f t="shared" si="112"/>
        <v>32659788.656084601</v>
      </c>
      <c r="V429" s="5" t="str">
        <f t="shared" si="113"/>
        <v>n/a</v>
      </c>
      <c r="W429" s="5" t="str">
        <f t="shared" si="114"/>
        <v>n/a</v>
      </c>
      <c r="X429" s="6" t="str">
        <f t="shared" si="115"/>
        <v>n/a</v>
      </c>
      <c r="Y429" s="16" t="str">
        <f t="shared" si="116"/>
        <v>error</v>
      </c>
      <c r="Z429" s="16" t="str">
        <f t="shared" si="117"/>
        <v>error</v>
      </c>
      <c r="AA429" s="16" t="str">
        <f t="shared" si="118"/>
        <v>error</v>
      </c>
      <c r="AB429" s="16" t="str">
        <f t="shared" si="119"/>
        <v>error</v>
      </c>
      <c r="AC429" s="18" t="str">
        <f t="shared" si="120"/>
        <v>error</v>
      </c>
      <c r="AD429" s="16" t="str">
        <f t="shared" si="121"/>
        <v>error</v>
      </c>
      <c r="AE429" s="16" t="str">
        <f t="shared" si="122"/>
        <v>error</v>
      </c>
      <c r="AF429" s="16" t="str">
        <f t="shared" si="123"/>
        <v>error</v>
      </c>
      <c r="AG429" s="16" t="str">
        <f t="shared" si="124"/>
        <v>error</v>
      </c>
      <c r="AH429" s="16" t="str">
        <f t="shared" si="125"/>
        <v>error</v>
      </c>
    </row>
    <row r="430" spans="1:34" x14ac:dyDescent="0.25">
      <c r="A430" s="12">
        <v>68294</v>
      </c>
      <c r="B430" s="13">
        <v>44.45626</v>
      </c>
      <c r="C430" s="12">
        <v>89.287739999999999</v>
      </c>
      <c r="D430" s="14">
        <v>3</v>
      </c>
      <c r="E430" s="13" t="s">
        <v>42</v>
      </c>
      <c r="F430" s="13">
        <v>44.472119999999997</v>
      </c>
      <c r="G430" s="12">
        <v>89.482460000000003</v>
      </c>
      <c r="H430" s="13" t="s">
        <v>41</v>
      </c>
      <c r="I430" s="13">
        <v>44.453830000000004</v>
      </c>
      <c r="J430" s="12">
        <v>89.282889999999995</v>
      </c>
      <c r="K430" s="13" t="s">
        <v>43</v>
      </c>
      <c r="L430" s="13">
        <v>44.43627</v>
      </c>
      <c r="M430" s="12">
        <v>89.307379999999995</v>
      </c>
      <c r="T430" s="5">
        <f t="shared" si="111"/>
        <v>51026.891100614281</v>
      </c>
      <c r="U430" s="5">
        <f t="shared" si="112"/>
        <v>1543.0270664875216</v>
      </c>
      <c r="V430" s="5">
        <f t="shared" si="113"/>
        <v>8907.6527682236374</v>
      </c>
      <c r="W430" s="5" t="str">
        <f t="shared" si="114"/>
        <v>n/a</v>
      </c>
      <c r="X430" s="6" t="str">
        <f t="shared" si="115"/>
        <v>n/a</v>
      </c>
      <c r="Y430" s="16">
        <f t="shared" si="116"/>
        <v>2.5127032382574532E-2</v>
      </c>
      <c r="Z430" s="16">
        <f t="shared" si="117"/>
        <v>0.83093444885959045</v>
      </c>
      <c r="AA430" s="16">
        <f t="shared" si="118"/>
        <v>0.14393851875783503</v>
      </c>
      <c r="AB430" s="16" t="e">
        <f t="shared" si="119"/>
        <v>#VALUE!</v>
      </c>
      <c r="AC430" s="18" t="e">
        <f t="shared" si="120"/>
        <v>#VALUE!</v>
      </c>
      <c r="AD430" s="16">
        <f t="shared" si="121"/>
        <v>8.8699947715909064E-4</v>
      </c>
      <c r="AE430" s="16">
        <f t="shared" si="122"/>
        <v>0.97000616289411301</v>
      </c>
      <c r="AF430" s="16">
        <f t="shared" si="123"/>
        <v>2.9106837628727882E-2</v>
      </c>
      <c r="AG430" s="16" t="e">
        <f t="shared" si="124"/>
        <v>#VALUE!</v>
      </c>
      <c r="AH430" s="16" t="e">
        <f t="shared" si="125"/>
        <v>#VALUE!</v>
      </c>
    </row>
    <row r="431" spans="1:34" x14ac:dyDescent="0.25">
      <c r="A431" s="12">
        <v>68295</v>
      </c>
      <c r="B431" s="13">
        <v>44.4544</v>
      </c>
      <c r="C431" s="12">
        <v>89.287499999999994</v>
      </c>
      <c r="D431" s="13">
        <v>0</v>
      </c>
      <c r="T431" s="5">
        <f t="shared" si="111"/>
        <v>32647610.499888774</v>
      </c>
      <c r="U431" s="5">
        <f t="shared" si="112"/>
        <v>32647610.499888774</v>
      </c>
      <c r="V431" s="5" t="str">
        <f t="shared" si="113"/>
        <v>n/a</v>
      </c>
      <c r="W431" s="5" t="str">
        <f t="shared" si="114"/>
        <v>n/a</v>
      </c>
      <c r="X431" s="6" t="str">
        <f t="shared" si="115"/>
        <v>n/a</v>
      </c>
      <c r="Y431" s="16" t="str">
        <f t="shared" si="116"/>
        <v>error</v>
      </c>
      <c r="Z431" s="16" t="str">
        <f t="shared" si="117"/>
        <v>error</v>
      </c>
      <c r="AA431" s="16" t="str">
        <f t="shared" si="118"/>
        <v>error</v>
      </c>
      <c r="AB431" s="16" t="str">
        <f t="shared" si="119"/>
        <v>error</v>
      </c>
      <c r="AC431" s="18" t="str">
        <f t="shared" si="120"/>
        <v>error</v>
      </c>
      <c r="AD431" s="16" t="str">
        <f t="shared" si="121"/>
        <v>error</v>
      </c>
      <c r="AE431" s="16" t="str">
        <f t="shared" si="122"/>
        <v>error</v>
      </c>
      <c r="AF431" s="16" t="str">
        <f t="shared" si="123"/>
        <v>error</v>
      </c>
      <c r="AG431" s="16" t="str">
        <f t="shared" si="124"/>
        <v>error</v>
      </c>
      <c r="AH431" s="16" t="str">
        <f t="shared" si="125"/>
        <v>error</v>
      </c>
    </row>
    <row r="432" spans="1:34" x14ac:dyDescent="0.25">
      <c r="A432" s="12">
        <v>68329</v>
      </c>
      <c r="B432" s="13">
        <v>44.400821999999998</v>
      </c>
      <c r="C432" s="12">
        <v>89.690465200000006</v>
      </c>
      <c r="D432" s="14">
        <v>0</v>
      </c>
      <c r="T432" s="5">
        <f t="shared" si="111"/>
        <v>32752469.098243527</v>
      </c>
      <c r="U432" s="5">
        <f t="shared" si="112"/>
        <v>32752469.098243527</v>
      </c>
      <c r="V432" s="5" t="str">
        <f t="shared" si="113"/>
        <v>n/a</v>
      </c>
      <c r="W432" s="5" t="str">
        <f t="shared" si="114"/>
        <v>n/a</v>
      </c>
      <c r="X432" s="6" t="str">
        <f t="shared" si="115"/>
        <v>n/a</v>
      </c>
      <c r="Y432" s="16" t="str">
        <f t="shared" si="116"/>
        <v>error</v>
      </c>
      <c r="Z432" s="16" t="str">
        <f t="shared" si="117"/>
        <v>error</v>
      </c>
      <c r="AA432" s="16" t="str">
        <f t="shared" si="118"/>
        <v>error</v>
      </c>
      <c r="AB432" s="16" t="str">
        <f t="shared" si="119"/>
        <v>error</v>
      </c>
      <c r="AC432" s="18" t="str">
        <f t="shared" si="120"/>
        <v>error</v>
      </c>
      <c r="AD432" s="16" t="str">
        <f t="shared" si="121"/>
        <v>error</v>
      </c>
      <c r="AE432" s="16" t="str">
        <f t="shared" si="122"/>
        <v>error</v>
      </c>
      <c r="AF432" s="16" t="str">
        <f t="shared" si="123"/>
        <v>error</v>
      </c>
      <c r="AG432" s="16" t="str">
        <f t="shared" si="124"/>
        <v>error</v>
      </c>
      <c r="AH432" s="16" t="str">
        <f t="shared" si="125"/>
        <v>error</v>
      </c>
    </row>
    <row r="433" spans="1:34" x14ac:dyDescent="0.25">
      <c r="A433" s="12">
        <v>68330</v>
      </c>
      <c r="B433" s="13">
        <v>44.400821999999998</v>
      </c>
      <c r="C433" s="12">
        <v>89.690465200000006</v>
      </c>
      <c r="D433" s="13">
        <v>0</v>
      </c>
      <c r="T433" s="5">
        <f t="shared" si="111"/>
        <v>32752469.098243527</v>
      </c>
      <c r="U433" s="5">
        <f t="shared" si="112"/>
        <v>32752469.098243527</v>
      </c>
      <c r="V433" s="5" t="str">
        <f t="shared" si="113"/>
        <v>n/a</v>
      </c>
      <c r="W433" s="5" t="str">
        <f t="shared" si="114"/>
        <v>n/a</v>
      </c>
      <c r="X433" s="6" t="str">
        <f t="shared" si="115"/>
        <v>n/a</v>
      </c>
      <c r="Y433" s="16" t="str">
        <f t="shared" si="116"/>
        <v>error</v>
      </c>
      <c r="Z433" s="16" t="str">
        <f t="shared" si="117"/>
        <v>error</v>
      </c>
      <c r="AA433" s="16" t="str">
        <f t="shared" si="118"/>
        <v>error</v>
      </c>
      <c r="AB433" s="16" t="str">
        <f t="shared" si="119"/>
        <v>error</v>
      </c>
      <c r="AC433" s="18" t="str">
        <f t="shared" si="120"/>
        <v>error</v>
      </c>
      <c r="AD433" s="16" t="str">
        <f t="shared" si="121"/>
        <v>error</v>
      </c>
      <c r="AE433" s="16" t="str">
        <f t="shared" si="122"/>
        <v>error</v>
      </c>
      <c r="AF433" s="16" t="str">
        <f t="shared" si="123"/>
        <v>error</v>
      </c>
      <c r="AG433" s="16" t="str">
        <f t="shared" si="124"/>
        <v>error</v>
      </c>
      <c r="AH433" s="16" t="str">
        <f t="shared" si="125"/>
        <v>error</v>
      </c>
    </row>
    <row r="434" spans="1:34" x14ac:dyDescent="0.25">
      <c r="A434" s="12">
        <v>68331</v>
      </c>
      <c r="B434" s="13">
        <v>44.402333300000002</v>
      </c>
      <c r="C434" s="12">
        <v>89.698300000000003</v>
      </c>
      <c r="D434" s="14">
        <v>0</v>
      </c>
      <c r="T434" s="5">
        <f t="shared" si="111"/>
        <v>32754513.217418514</v>
      </c>
      <c r="U434" s="5">
        <f t="shared" si="112"/>
        <v>32754513.217418514</v>
      </c>
      <c r="V434" s="5" t="str">
        <f t="shared" si="113"/>
        <v>n/a</v>
      </c>
      <c r="W434" s="5" t="str">
        <f t="shared" si="114"/>
        <v>n/a</v>
      </c>
      <c r="X434" s="6" t="str">
        <f t="shared" si="115"/>
        <v>n/a</v>
      </c>
      <c r="Y434" s="16" t="str">
        <f t="shared" si="116"/>
        <v>error</v>
      </c>
      <c r="Z434" s="16" t="str">
        <f t="shared" si="117"/>
        <v>error</v>
      </c>
      <c r="AA434" s="16" t="str">
        <f t="shared" si="118"/>
        <v>error</v>
      </c>
      <c r="AB434" s="16" t="str">
        <f t="shared" si="119"/>
        <v>error</v>
      </c>
      <c r="AC434" s="18" t="str">
        <f t="shared" si="120"/>
        <v>error</v>
      </c>
      <c r="AD434" s="16" t="str">
        <f t="shared" si="121"/>
        <v>error</v>
      </c>
      <c r="AE434" s="16" t="str">
        <f t="shared" si="122"/>
        <v>error</v>
      </c>
      <c r="AF434" s="16" t="str">
        <f t="shared" si="123"/>
        <v>error</v>
      </c>
      <c r="AG434" s="16" t="str">
        <f t="shared" si="124"/>
        <v>error</v>
      </c>
      <c r="AH434" s="16" t="str">
        <f t="shared" si="125"/>
        <v>error</v>
      </c>
    </row>
    <row r="435" spans="1:34" x14ac:dyDescent="0.25">
      <c r="A435" s="12">
        <v>68332</v>
      </c>
      <c r="B435" s="13">
        <v>44.406283299999998</v>
      </c>
      <c r="C435" s="12">
        <v>89.687400100000005</v>
      </c>
      <c r="D435" s="14">
        <v>0</v>
      </c>
      <c r="T435" s="5">
        <f t="shared" si="111"/>
        <v>32751677.806655694</v>
      </c>
      <c r="U435" s="5">
        <f t="shared" si="112"/>
        <v>32751677.806655694</v>
      </c>
      <c r="V435" s="5" t="str">
        <f t="shared" si="113"/>
        <v>n/a</v>
      </c>
      <c r="W435" s="5" t="str">
        <f t="shared" si="114"/>
        <v>n/a</v>
      </c>
      <c r="X435" s="6" t="str">
        <f t="shared" si="115"/>
        <v>n/a</v>
      </c>
      <c r="Y435" s="16" t="str">
        <f t="shared" si="116"/>
        <v>error</v>
      </c>
      <c r="Z435" s="16" t="str">
        <f t="shared" si="117"/>
        <v>error</v>
      </c>
      <c r="AA435" s="16" t="str">
        <f t="shared" si="118"/>
        <v>error</v>
      </c>
      <c r="AB435" s="16" t="str">
        <f t="shared" si="119"/>
        <v>error</v>
      </c>
      <c r="AC435" s="18" t="str">
        <f t="shared" si="120"/>
        <v>error</v>
      </c>
      <c r="AD435" s="16" t="str">
        <f t="shared" si="121"/>
        <v>error</v>
      </c>
      <c r="AE435" s="16" t="str">
        <f t="shared" si="122"/>
        <v>error</v>
      </c>
      <c r="AF435" s="16" t="str">
        <f t="shared" si="123"/>
        <v>error</v>
      </c>
      <c r="AG435" s="16" t="str">
        <f t="shared" si="124"/>
        <v>error</v>
      </c>
      <c r="AH435" s="16" t="str">
        <f t="shared" si="125"/>
        <v>error</v>
      </c>
    </row>
    <row r="436" spans="1:34" x14ac:dyDescent="0.25">
      <c r="A436" s="12">
        <v>68333</v>
      </c>
      <c r="B436" s="13">
        <v>44.435400000000001</v>
      </c>
      <c r="C436" s="12">
        <v>89.579099999999997</v>
      </c>
      <c r="D436" s="14">
        <v>0</v>
      </c>
      <c r="T436" s="5">
        <f t="shared" si="111"/>
        <v>32723507.45455876</v>
      </c>
      <c r="U436" s="5">
        <f t="shared" si="112"/>
        <v>32723507.45455876</v>
      </c>
      <c r="V436" s="5" t="str">
        <f t="shared" si="113"/>
        <v>n/a</v>
      </c>
      <c r="W436" s="5" t="str">
        <f t="shared" si="114"/>
        <v>n/a</v>
      </c>
      <c r="X436" s="6" t="str">
        <f t="shared" si="115"/>
        <v>n/a</v>
      </c>
      <c r="Y436" s="16" t="str">
        <f t="shared" si="116"/>
        <v>error</v>
      </c>
      <c r="Z436" s="16" t="str">
        <f t="shared" si="117"/>
        <v>error</v>
      </c>
      <c r="AA436" s="16" t="str">
        <f t="shared" si="118"/>
        <v>error</v>
      </c>
      <c r="AB436" s="16" t="str">
        <f t="shared" si="119"/>
        <v>error</v>
      </c>
      <c r="AC436" s="18" t="str">
        <f t="shared" si="120"/>
        <v>error</v>
      </c>
      <c r="AD436" s="16" t="str">
        <f t="shared" si="121"/>
        <v>error</v>
      </c>
      <c r="AE436" s="16" t="str">
        <f t="shared" si="122"/>
        <v>error</v>
      </c>
      <c r="AF436" s="16" t="str">
        <f t="shared" si="123"/>
        <v>error</v>
      </c>
      <c r="AG436" s="16" t="str">
        <f t="shared" si="124"/>
        <v>error</v>
      </c>
      <c r="AH436" s="16" t="str">
        <f t="shared" si="125"/>
        <v>error</v>
      </c>
    </row>
    <row r="437" spans="1:34" x14ac:dyDescent="0.25">
      <c r="A437" s="12">
        <v>68475</v>
      </c>
      <c r="B437" s="13">
        <v>44.448734999999999</v>
      </c>
      <c r="C437" s="12">
        <v>89.424151699999996</v>
      </c>
      <c r="D437" s="14">
        <v>3</v>
      </c>
      <c r="E437" s="13" t="s">
        <v>42</v>
      </c>
      <c r="F437" s="13">
        <v>44.469250000000002</v>
      </c>
      <c r="G437" s="12">
        <v>89.483339999999998</v>
      </c>
      <c r="H437" s="13" t="s">
        <v>44</v>
      </c>
      <c r="I437" s="13">
        <v>44.400100000000002</v>
      </c>
      <c r="J437" s="12">
        <v>89.480699999999999</v>
      </c>
      <c r="K437" s="13" t="s">
        <v>43</v>
      </c>
      <c r="L437" s="13">
        <v>44.436549999999997</v>
      </c>
      <c r="M437" s="12">
        <v>89.375739999999993</v>
      </c>
      <c r="T437" s="5">
        <f t="shared" si="111"/>
        <v>17132.880561371992</v>
      </c>
      <c r="U437" s="5">
        <f t="shared" si="112"/>
        <v>23062.224112611806</v>
      </c>
      <c r="V437" s="5">
        <f t="shared" si="113"/>
        <v>13369.866623296124</v>
      </c>
      <c r="W437" s="5" t="str">
        <f t="shared" si="114"/>
        <v>n/a</v>
      </c>
      <c r="X437" s="6" t="str">
        <f t="shared" si="115"/>
        <v>n/a</v>
      </c>
      <c r="Y437" s="16">
        <f t="shared" si="116"/>
        <v>0.33064924652563626</v>
      </c>
      <c r="Z437" s="16">
        <f t="shared" si="117"/>
        <v>0.24563866957365235</v>
      </c>
      <c r="AA437" s="16">
        <f t="shared" si="118"/>
        <v>0.42371208390071147</v>
      </c>
      <c r="AB437" s="16" t="e">
        <f t="shared" si="119"/>
        <v>#VALUE!</v>
      </c>
      <c r="AC437" s="18" t="e">
        <f t="shared" si="120"/>
        <v>#VALUE!</v>
      </c>
      <c r="AD437" s="16">
        <f t="shared" si="121"/>
        <v>0.31308468351386159</v>
      </c>
      <c r="AE437" s="16">
        <f t="shared" si="122"/>
        <v>0.17279064275303466</v>
      </c>
      <c r="AF437" s="16">
        <f t="shared" si="123"/>
        <v>0.51412467373310367</v>
      </c>
      <c r="AG437" s="16" t="e">
        <f t="shared" si="124"/>
        <v>#VALUE!</v>
      </c>
      <c r="AH437" s="16" t="e">
        <f t="shared" si="125"/>
        <v>#VALUE!</v>
      </c>
    </row>
    <row r="438" spans="1:34" x14ac:dyDescent="0.25">
      <c r="A438" s="12">
        <v>68489</v>
      </c>
      <c r="B438" s="13">
        <v>44.419076699999998</v>
      </c>
      <c r="C438" s="12">
        <v>89.688239999999993</v>
      </c>
      <c r="D438" s="14">
        <v>0</v>
      </c>
      <c r="T438" s="5">
        <f t="shared" si="111"/>
        <v>32751914.472672045</v>
      </c>
      <c r="U438" s="5">
        <f t="shared" si="112"/>
        <v>32751914.472672045</v>
      </c>
      <c r="V438" s="5" t="str">
        <f t="shared" si="113"/>
        <v>n/a</v>
      </c>
      <c r="W438" s="5" t="str">
        <f t="shared" si="114"/>
        <v>n/a</v>
      </c>
      <c r="X438" s="6" t="str">
        <f t="shared" si="115"/>
        <v>n/a</v>
      </c>
      <c r="Y438" s="16" t="str">
        <f t="shared" si="116"/>
        <v>error</v>
      </c>
      <c r="Z438" s="16" t="str">
        <f t="shared" si="117"/>
        <v>error</v>
      </c>
      <c r="AA438" s="16" t="str">
        <f t="shared" si="118"/>
        <v>error</v>
      </c>
      <c r="AB438" s="16" t="str">
        <f t="shared" si="119"/>
        <v>error</v>
      </c>
      <c r="AC438" s="18" t="str">
        <f t="shared" si="120"/>
        <v>error</v>
      </c>
      <c r="AD438" s="16" t="str">
        <f t="shared" si="121"/>
        <v>error</v>
      </c>
      <c r="AE438" s="16" t="str">
        <f t="shared" si="122"/>
        <v>error</v>
      </c>
      <c r="AF438" s="16" t="str">
        <f t="shared" si="123"/>
        <v>error</v>
      </c>
      <c r="AG438" s="16" t="str">
        <f t="shared" si="124"/>
        <v>error</v>
      </c>
      <c r="AH438" s="16" t="str">
        <f t="shared" si="125"/>
        <v>error</v>
      </c>
    </row>
    <row r="439" spans="1:34" x14ac:dyDescent="0.25">
      <c r="A439" s="12">
        <v>68529</v>
      </c>
      <c r="B439" s="13">
        <v>44.479916699999997</v>
      </c>
      <c r="C439" s="12">
        <v>89.484333300000003</v>
      </c>
      <c r="D439" s="14">
        <v>2</v>
      </c>
      <c r="E439" s="13" t="s">
        <v>42</v>
      </c>
      <c r="F439" s="13">
        <v>44.479959999999998</v>
      </c>
      <c r="G439" s="12">
        <v>89.479820000000004</v>
      </c>
      <c r="H439" s="13" t="s">
        <v>39</v>
      </c>
      <c r="I439" s="13">
        <v>44.494149999999998</v>
      </c>
      <c r="J439" s="12">
        <v>89.551929999999999</v>
      </c>
      <c r="T439" s="5">
        <f t="shared" si="111"/>
        <v>1174.8837815656714</v>
      </c>
      <c r="U439" s="5">
        <f t="shared" si="112"/>
        <v>18343.045832152755</v>
      </c>
      <c r="V439" s="5" t="str">
        <f t="shared" si="113"/>
        <v>n/a</v>
      </c>
      <c r="W439" s="5" t="str">
        <f t="shared" si="114"/>
        <v>n/a</v>
      </c>
      <c r="X439" s="6" t="str">
        <f t="shared" si="115"/>
        <v>n/a</v>
      </c>
      <c r="Y439" s="16">
        <f t="shared" si="116"/>
        <v>0.93980489709626325</v>
      </c>
      <c r="Z439" s="16">
        <f t="shared" si="117"/>
        <v>6.0195102903736745E-2</v>
      </c>
      <c r="AA439" s="16" t="e">
        <f t="shared" si="118"/>
        <v>#VALUE!</v>
      </c>
      <c r="AB439" s="16" t="e">
        <f t="shared" si="119"/>
        <v>#VALUE!</v>
      </c>
      <c r="AC439" s="18" t="e">
        <f t="shared" si="120"/>
        <v>#VALUE!</v>
      </c>
      <c r="AD439" s="16">
        <f t="shared" si="121"/>
        <v>0.99591427743181116</v>
      </c>
      <c r="AE439" s="16">
        <f t="shared" si="122"/>
        <v>4.0857225681889099E-3</v>
      </c>
      <c r="AF439" s="16" t="e">
        <f t="shared" si="123"/>
        <v>#VALUE!</v>
      </c>
      <c r="AG439" s="16" t="e">
        <f t="shared" si="124"/>
        <v>#VALUE!</v>
      </c>
      <c r="AH439" s="16" t="e">
        <f t="shared" si="125"/>
        <v>#VALUE!</v>
      </c>
    </row>
    <row r="440" spans="1:34" x14ac:dyDescent="0.25">
      <c r="A440" s="12">
        <v>68692</v>
      </c>
      <c r="B440" s="13">
        <v>44.420333300000003</v>
      </c>
      <c r="C440" s="12">
        <v>89.40025</v>
      </c>
      <c r="D440" s="13">
        <v>0</v>
      </c>
      <c r="T440" s="5">
        <f t="shared" si="111"/>
        <v>32676879.279977079</v>
      </c>
      <c r="U440" s="5">
        <f t="shared" si="112"/>
        <v>32676879.279977079</v>
      </c>
      <c r="V440" s="5" t="str">
        <f t="shared" si="113"/>
        <v>n/a</v>
      </c>
      <c r="W440" s="5" t="str">
        <f t="shared" si="114"/>
        <v>n/a</v>
      </c>
      <c r="X440" s="6" t="str">
        <f t="shared" si="115"/>
        <v>n/a</v>
      </c>
      <c r="Y440" s="16" t="str">
        <f t="shared" si="116"/>
        <v>error</v>
      </c>
      <c r="Z440" s="16" t="str">
        <f t="shared" si="117"/>
        <v>error</v>
      </c>
      <c r="AA440" s="16" t="str">
        <f t="shared" si="118"/>
        <v>error</v>
      </c>
      <c r="AB440" s="16" t="str">
        <f t="shared" si="119"/>
        <v>error</v>
      </c>
      <c r="AC440" s="18" t="str">
        <f t="shared" si="120"/>
        <v>error</v>
      </c>
      <c r="AD440" s="16" t="str">
        <f t="shared" si="121"/>
        <v>error</v>
      </c>
      <c r="AE440" s="16" t="str">
        <f t="shared" si="122"/>
        <v>error</v>
      </c>
      <c r="AF440" s="16" t="str">
        <f t="shared" si="123"/>
        <v>error</v>
      </c>
      <c r="AG440" s="16" t="str">
        <f t="shared" si="124"/>
        <v>error</v>
      </c>
      <c r="AH440" s="16" t="str">
        <f t="shared" si="125"/>
        <v>error</v>
      </c>
    </row>
    <row r="441" spans="1:34" x14ac:dyDescent="0.25">
      <c r="A441" s="12">
        <v>68693</v>
      </c>
      <c r="B441" s="13">
        <v>44.420549999999999</v>
      </c>
      <c r="C441" s="12">
        <v>89.400650099999993</v>
      </c>
      <c r="D441" s="14">
        <v>5</v>
      </c>
      <c r="E441" s="13" t="s">
        <v>42</v>
      </c>
      <c r="F441" s="13">
        <v>44.467849999999999</v>
      </c>
      <c r="G441" s="12">
        <v>89.487679999999997</v>
      </c>
      <c r="H441" s="13" t="s">
        <v>44</v>
      </c>
      <c r="I441" s="13">
        <v>44.400129999999997</v>
      </c>
      <c r="J441" s="12">
        <v>89.480549999999994</v>
      </c>
      <c r="K441" s="13" t="s">
        <v>51</v>
      </c>
      <c r="L441" s="13">
        <v>44.37968</v>
      </c>
      <c r="M441" s="12">
        <v>89.436890000000005</v>
      </c>
      <c r="N441" s="13" t="s">
        <v>46</v>
      </c>
      <c r="O441" s="13">
        <v>44.382379999999998</v>
      </c>
      <c r="P441" s="12">
        <v>89.367450000000005</v>
      </c>
      <c r="Q441" s="13" t="s">
        <v>43</v>
      </c>
      <c r="R441" s="13">
        <v>44.436579999999999</v>
      </c>
      <c r="S441" s="12">
        <v>89.376000000000005</v>
      </c>
      <c r="T441" s="5">
        <f t="shared" si="111"/>
        <v>28487.787882730099</v>
      </c>
      <c r="U441" s="5">
        <f t="shared" si="112"/>
        <v>22114.602672353991</v>
      </c>
      <c r="V441" s="5">
        <f t="shared" si="113"/>
        <v>17650.19542805219</v>
      </c>
      <c r="W441" s="5">
        <f t="shared" si="114"/>
        <v>16394.612843252347</v>
      </c>
      <c r="X441" s="6">
        <f t="shared" si="115"/>
        <v>8685.5651472507743</v>
      </c>
      <c r="Y441" s="16">
        <f t="shared" si="116"/>
        <v>0.11211087300459599</v>
      </c>
      <c r="Z441" s="16">
        <f t="shared" si="117"/>
        <v>0.14441999328775004</v>
      </c>
      <c r="AA441" s="16">
        <f t="shared" si="118"/>
        <v>0.18094931484025373</v>
      </c>
      <c r="AB441" s="16">
        <f t="shared" si="119"/>
        <v>0.19480733092255453</v>
      </c>
      <c r="AC441" s="18">
        <f t="shared" si="120"/>
        <v>0.36771248794484573</v>
      </c>
      <c r="AD441" s="16">
        <f t="shared" si="121"/>
        <v>5.2516587854015709E-2</v>
      </c>
      <c r="AE441" s="16">
        <f t="shared" si="122"/>
        <v>8.7147648515598322E-2</v>
      </c>
      <c r="AF441" s="16">
        <f t="shared" si="123"/>
        <v>0.13680907867396672</v>
      </c>
      <c r="AG441" s="16">
        <f t="shared" si="124"/>
        <v>0.15856656722173648</v>
      </c>
      <c r="AH441" s="16">
        <f t="shared" si="125"/>
        <v>0.56496011773468291</v>
      </c>
    </row>
    <row r="442" spans="1:34" x14ac:dyDescent="0.25">
      <c r="A442" s="12">
        <v>68694</v>
      </c>
      <c r="B442" s="13">
        <v>44.420116700000001</v>
      </c>
      <c r="C442" s="12">
        <v>89.405699900000002</v>
      </c>
      <c r="D442" s="13">
        <v>0</v>
      </c>
      <c r="T442" s="5">
        <f t="shared" si="111"/>
        <v>32678298.684376348</v>
      </c>
      <c r="U442" s="5">
        <f t="shared" si="112"/>
        <v>32678298.684376348</v>
      </c>
      <c r="V442" s="5" t="str">
        <f t="shared" si="113"/>
        <v>n/a</v>
      </c>
      <c r="W442" s="5" t="str">
        <f t="shared" si="114"/>
        <v>n/a</v>
      </c>
      <c r="X442" s="6" t="str">
        <f t="shared" si="115"/>
        <v>n/a</v>
      </c>
      <c r="Y442" s="16" t="str">
        <f t="shared" si="116"/>
        <v>error</v>
      </c>
      <c r="Z442" s="16" t="str">
        <f t="shared" si="117"/>
        <v>error</v>
      </c>
      <c r="AA442" s="16" t="str">
        <f t="shared" si="118"/>
        <v>error</v>
      </c>
      <c r="AB442" s="16" t="str">
        <f t="shared" si="119"/>
        <v>error</v>
      </c>
      <c r="AC442" s="18" t="str">
        <f t="shared" si="120"/>
        <v>error</v>
      </c>
      <c r="AD442" s="16" t="str">
        <f t="shared" si="121"/>
        <v>error</v>
      </c>
      <c r="AE442" s="16" t="str">
        <f t="shared" si="122"/>
        <v>error</v>
      </c>
      <c r="AF442" s="16" t="str">
        <f t="shared" si="123"/>
        <v>error</v>
      </c>
      <c r="AG442" s="16" t="str">
        <f t="shared" si="124"/>
        <v>error</v>
      </c>
      <c r="AH442" s="16" t="str">
        <f t="shared" si="125"/>
        <v>error</v>
      </c>
    </row>
    <row r="443" spans="1:34" x14ac:dyDescent="0.25">
      <c r="A443" s="12">
        <v>68695</v>
      </c>
      <c r="B443" s="13">
        <v>44.414116700000001</v>
      </c>
      <c r="C443" s="12">
        <v>89.406216700000002</v>
      </c>
      <c r="D443" s="14">
        <v>5</v>
      </c>
      <c r="E443" s="13" t="s">
        <v>42</v>
      </c>
      <c r="F443" s="13">
        <v>44.467849999999999</v>
      </c>
      <c r="G443" s="12">
        <v>89.487679999999997</v>
      </c>
      <c r="H443" s="13" t="s">
        <v>44</v>
      </c>
      <c r="I443" s="13">
        <v>44.400129999999997</v>
      </c>
      <c r="J443" s="12">
        <v>89.480549999999994</v>
      </c>
      <c r="K443" s="13" t="s">
        <v>51</v>
      </c>
      <c r="L443" s="13">
        <v>44.37968</v>
      </c>
      <c r="M443" s="12">
        <v>89.436890000000005</v>
      </c>
      <c r="N443" s="13" t="s">
        <v>46</v>
      </c>
      <c r="O443" s="13">
        <v>44.382379999999998</v>
      </c>
      <c r="P443" s="12">
        <v>89.367450000000005</v>
      </c>
      <c r="Q443" s="13" t="s">
        <v>43</v>
      </c>
      <c r="R443" s="13">
        <v>44.436579999999999</v>
      </c>
      <c r="S443" s="12">
        <v>89.376000000000005</v>
      </c>
      <c r="T443" s="5">
        <f t="shared" si="111"/>
        <v>28887.422535736521</v>
      </c>
      <c r="U443" s="5">
        <f t="shared" si="112"/>
        <v>20033.231462130741</v>
      </c>
      <c r="V443" s="5">
        <f t="shared" si="113"/>
        <v>14891.398606458486</v>
      </c>
      <c r="W443" s="5">
        <f t="shared" si="114"/>
        <v>15367.362993090414</v>
      </c>
      <c r="X443" s="6">
        <f t="shared" si="115"/>
        <v>11363.675167384012</v>
      </c>
      <c r="Y443" s="16">
        <f t="shared" si="116"/>
        <v>0.11358830565914244</v>
      </c>
      <c r="Z443" s="16">
        <f t="shared" si="117"/>
        <v>0.16379151745422113</v>
      </c>
      <c r="AA443" s="16">
        <f t="shared" si="118"/>
        <v>0.22034689067223892</v>
      </c>
      <c r="AB443" s="16">
        <f t="shared" si="119"/>
        <v>0.21352221472020863</v>
      </c>
      <c r="AC443" s="18">
        <f t="shared" si="120"/>
        <v>0.28875107149418883</v>
      </c>
      <c r="AD443" s="16">
        <f t="shared" si="121"/>
        <v>5.9388750919082314E-2</v>
      </c>
      <c r="AE443" s="16">
        <f t="shared" si="122"/>
        <v>0.12348657953651603</v>
      </c>
      <c r="AF443" s="16">
        <f t="shared" si="123"/>
        <v>0.22348624642979809</v>
      </c>
      <c r="AG443" s="16">
        <f t="shared" si="124"/>
        <v>0.20985681591902897</v>
      </c>
      <c r="AH443" s="16">
        <f t="shared" si="125"/>
        <v>0.38378160719557469</v>
      </c>
    </row>
    <row r="444" spans="1:34" x14ac:dyDescent="0.25">
      <c r="A444" s="12">
        <v>68696</v>
      </c>
      <c r="B444" s="13">
        <v>44.483499999999999</v>
      </c>
      <c r="C444" s="12">
        <v>89.498916699999995</v>
      </c>
      <c r="D444" s="13">
        <v>0</v>
      </c>
      <c r="T444" s="5">
        <f t="shared" si="111"/>
        <v>32702728.246002506</v>
      </c>
      <c r="U444" s="5">
        <f t="shared" si="112"/>
        <v>32702728.246002506</v>
      </c>
      <c r="V444" s="5" t="str">
        <f t="shared" si="113"/>
        <v>n/a</v>
      </c>
      <c r="W444" s="5" t="str">
        <f t="shared" si="114"/>
        <v>n/a</v>
      </c>
      <c r="X444" s="6" t="str">
        <f t="shared" si="115"/>
        <v>n/a</v>
      </c>
      <c r="Y444" s="16" t="str">
        <f t="shared" si="116"/>
        <v>error</v>
      </c>
      <c r="Z444" s="16" t="str">
        <f t="shared" si="117"/>
        <v>error</v>
      </c>
      <c r="AA444" s="16" t="str">
        <f t="shared" si="118"/>
        <v>error</v>
      </c>
      <c r="AB444" s="16" t="str">
        <f t="shared" si="119"/>
        <v>error</v>
      </c>
      <c r="AC444" s="18" t="str">
        <f t="shared" si="120"/>
        <v>error</v>
      </c>
      <c r="AD444" s="16" t="str">
        <f t="shared" si="121"/>
        <v>error</v>
      </c>
      <c r="AE444" s="16" t="str">
        <f t="shared" si="122"/>
        <v>error</v>
      </c>
      <c r="AF444" s="16" t="str">
        <f t="shared" si="123"/>
        <v>error</v>
      </c>
      <c r="AG444" s="16" t="str">
        <f t="shared" si="124"/>
        <v>error</v>
      </c>
      <c r="AH444" s="16" t="str">
        <f t="shared" si="125"/>
        <v>error</v>
      </c>
    </row>
    <row r="445" spans="1:34" x14ac:dyDescent="0.25">
      <c r="A445" s="12">
        <v>68697</v>
      </c>
      <c r="B445" s="13">
        <v>44.4852068</v>
      </c>
      <c r="C445" s="12">
        <v>89.496005600000004</v>
      </c>
      <c r="D445" s="13">
        <v>0</v>
      </c>
      <c r="T445" s="5">
        <f t="shared" si="111"/>
        <v>32701974.407392193</v>
      </c>
      <c r="U445" s="5">
        <f t="shared" si="112"/>
        <v>32701974.407392193</v>
      </c>
      <c r="V445" s="5" t="str">
        <f t="shared" si="113"/>
        <v>n/a</v>
      </c>
      <c r="W445" s="5" t="str">
        <f t="shared" si="114"/>
        <v>n/a</v>
      </c>
      <c r="X445" s="6" t="str">
        <f t="shared" si="115"/>
        <v>n/a</v>
      </c>
      <c r="Y445" s="16" t="str">
        <f t="shared" si="116"/>
        <v>error</v>
      </c>
      <c r="Z445" s="16" t="str">
        <f t="shared" si="117"/>
        <v>error</v>
      </c>
      <c r="AA445" s="16" t="str">
        <f t="shared" si="118"/>
        <v>error</v>
      </c>
      <c r="AB445" s="16" t="str">
        <f t="shared" si="119"/>
        <v>error</v>
      </c>
      <c r="AC445" s="18" t="str">
        <f t="shared" si="120"/>
        <v>error</v>
      </c>
      <c r="AD445" s="16" t="str">
        <f t="shared" si="121"/>
        <v>error</v>
      </c>
      <c r="AE445" s="16" t="str">
        <f t="shared" si="122"/>
        <v>error</v>
      </c>
      <c r="AF445" s="16" t="str">
        <f t="shared" si="123"/>
        <v>error</v>
      </c>
      <c r="AG445" s="16" t="str">
        <f t="shared" si="124"/>
        <v>error</v>
      </c>
      <c r="AH445" s="16" t="str">
        <f t="shared" si="125"/>
        <v>error</v>
      </c>
    </row>
    <row r="446" spans="1:34" x14ac:dyDescent="0.25">
      <c r="A446" s="12">
        <v>68740</v>
      </c>
      <c r="B446" s="13">
        <v>44.495616699999999</v>
      </c>
      <c r="C446" s="12">
        <v>89.530950000000004</v>
      </c>
      <c r="D446" s="13">
        <v>0</v>
      </c>
      <c r="T446" s="5">
        <f t="shared" si="111"/>
        <v>32711090.973105699</v>
      </c>
      <c r="U446" s="5">
        <f t="shared" si="112"/>
        <v>32711090.973105699</v>
      </c>
      <c r="V446" s="5" t="str">
        <f t="shared" si="113"/>
        <v>n/a</v>
      </c>
      <c r="W446" s="5" t="str">
        <f t="shared" si="114"/>
        <v>n/a</v>
      </c>
      <c r="X446" s="6" t="str">
        <f t="shared" si="115"/>
        <v>n/a</v>
      </c>
      <c r="Y446" s="16" t="str">
        <f t="shared" si="116"/>
        <v>error</v>
      </c>
      <c r="Z446" s="16" t="str">
        <f t="shared" si="117"/>
        <v>error</v>
      </c>
      <c r="AA446" s="16" t="str">
        <f t="shared" si="118"/>
        <v>error</v>
      </c>
      <c r="AB446" s="16" t="str">
        <f t="shared" si="119"/>
        <v>error</v>
      </c>
      <c r="AC446" s="18" t="str">
        <f t="shared" si="120"/>
        <v>error</v>
      </c>
      <c r="AD446" s="16" t="str">
        <f t="shared" si="121"/>
        <v>error</v>
      </c>
      <c r="AE446" s="16" t="str">
        <f t="shared" si="122"/>
        <v>error</v>
      </c>
      <c r="AF446" s="16" t="str">
        <f t="shared" si="123"/>
        <v>error</v>
      </c>
      <c r="AG446" s="16" t="str">
        <f t="shared" si="124"/>
        <v>error</v>
      </c>
      <c r="AH446" s="16" t="str">
        <f t="shared" si="125"/>
        <v>error</v>
      </c>
    </row>
    <row r="447" spans="1:34" x14ac:dyDescent="0.25">
      <c r="A447" s="12">
        <v>68777</v>
      </c>
      <c r="B447" s="13">
        <v>44.404730000000001</v>
      </c>
      <c r="C447" s="12">
        <v>89.619669999999999</v>
      </c>
      <c r="D447" s="14">
        <v>0</v>
      </c>
      <c r="T447" s="5">
        <f t="shared" si="111"/>
        <v>32734023.463577338</v>
      </c>
      <c r="U447" s="5">
        <f t="shared" si="112"/>
        <v>32734023.463577338</v>
      </c>
      <c r="V447" s="5" t="str">
        <f t="shared" si="113"/>
        <v>n/a</v>
      </c>
      <c r="W447" s="5" t="str">
        <f t="shared" si="114"/>
        <v>n/a</v>
      </c>
      <c r="X447" s="6" t="str">
        <f t="shared" si="115"/>
        <v>n/a</v>
      </c>
      <c r="Y447" s="16" t="str">
        <f t="shared" si="116"/>
        <v>error</v>
      </c>
      <c r="Z447" s="16" t="str">
        <f t="shared" si="117"/>
        <v>error</v>
      </c>
      <c r="AA447" s="16" t="str">
        <f t="shared" si="118"/>
        <v>error</v>
      </c>
      <c r="AB447" s="16" t="str">
        <f t="shared" si="119"/>
        <v>error</v>
      </c>
      <c r="AC447" s="18" t="str">
        <f t="shared" si="120"/>
        <v>error</v>
      </c>
      <c r="AD447" s="16" t="str">
        <f t="shared" si="121"/>
        <v>error</v>
      </c>
      <c r="AE447" s="16" t="str">
        <f t="shared" si="122"/>
        <v>error</v>
      </c>
      <c r="AF447" s="16" t="str">
        <f t="shared" si="123"/>
        <v>error</v>
      </c>
      <c r="AG447" s="16" t="str">
        <f t="shared" si="124"/>
        <v>error</v>
      </c>
      <c r="AH447" s="16" t="str">
        <f t="shared" si="125"/>
        <v>error</v>
      </c>
    </row>
    <row r="448" spans="1:34" x14ac:dyDescent="0.25">
      <c r="A448" s="12">
        <v>68855</v>
      </c>
      <c r="B448" s="13">
        <v>44.439133300000002</v>
      </c>
      <c r="C448" s="12">
        <v>89.652883399999993</v>
      </c>
      <c r="D448" s="14">
        <v>0</v>
      </c>
      <c r="T448" s="5">
        <f t="shared" si="111"/>
        <v>32742732.930231426</v>
      </c>
      <c r="U448" s="5">
        <f t="shared" si="112"/>
        <v>32742732.930231426</v>
      </c>
      <c r="V448" s="5" t="str">
        <f t="shared" si="113"/>
        <v>n/a</v>
      </c>
      <c r="W448" s="5" t="str">
        <f t="shared" si="114"/>
        <v>n/a</v>
      </c>
      <c r="X448" s="6" t="str">
        <f t="shared" si="115"/>
        <v>n/a</v>
      </c>
      <c r="Y448" s="16" t="str">
        <f t="shared" si="116"/>
        <v>error</v>
      </c>
      <c r="Z448" s="16" t="str">
        <f t="shared" si="117"/>
        <v>error</v>
      </c>
      <c r="AA448" s="16" t="str">
        <f t="shared" si="118"/>
        <v>error</v>
      </c>
      <c r="AB448" s="16" t="str">
        <f t="shared" si="119"/>
        <v>error</v>
      </c>
      <c r="AC448" s="18" t="str">
        <f t="shared" si="120"/>
        <v>error</v>
      </c>
      <c r="AD448" s="16" t="str">
        <f t="shared" si="121"/>
        <v>error</v>
      </c>
      <c r="AE448" s="16" t="str">
        <f t="shared" si="122"/>
        <v>error</v>
      </c>
      <c r="AF448" s="16" t="str">
        <f t="shared" si="123"/>
        <v>error</v>
      </c>
      <c r="AG448" s="16" t="str">
        <f t="shared" si="124"/>
        <v>error</v>
      </c>
      <c r="AH448" s="16" t="str">
        <f t="shared" si="125"/>
        <v>error</v>
      </c>
    </row>
    <row r="449" spans="1:34" x14ac:dyDescent="0.25">
      <c r="A449" s="12">
        <v>68856</v>
      </c>
      <c r="B449" s="13">
        <v>44.435318299999999</v>
      </c>
      <c r="C449" s="12">
        <v>89.642156799999995</v>
      </c>
      <c r="D449" s="14">
        <v>0</v>
      </c>
      <c r="T449" s="5">
        <f t="shared" si="111"/>
        <v>32739932.866262365</v>
      </c>
      <c r="U449" s="5">
        <f t="shared" si="112"/>
        <v>32739932.866262365</v>
      </c>
      <c r="V449" s="5" t="str">
        <f t="shared" si="113"/>
        <v>n/a</v>
      </c>
      <c r="W449" s="5" t="str">
        <f t="shared" si="114"/>
        <v>n/a</v>
      </c>
      <c r="X449" s="6" t="str">
        <f t="shared" si="115"/>
        <v>n/a</v>
      </c>
      <c r="Y449" s="16" t="str">
        <f t="shared" si="116"/>
        <v>error</v>
      </c>
      <c r="Z449" s="16" t="str">
        <f t="shared" si="117"/>
        <v>error</v>
      </c>
      <c r="AA449" s="16" t="str">
        <f t="shared" si="118"/>
        <v>error</v>
      </c>
      <c r="AB449" s="16" t="str">
        <f t="shared" si="119"/>
        <v>error</v>
      </c>
      <c r="AC449" s="18" t="str">
        <f t="shared" si="120"/>
        <v>error</v>
      </c>
      <c r="AD449" s="16" t="str">
        <f t="shared" si="121"/>
        <v>error</v>
      </c>
      <c r="AE449" s="16" t="str">
        <f t="shared" si="122"/>
        <v>error</v>
      </c>
      <c r="AF449" s="16" t="str">
        <f t="shared" si="123"/>
        <v>error</v>
      </c>
      <c r="AG449" s="16" t="str">
        <f t="shared" si="124"/>
        <v>error</v>
      </c>
      <c r="AH449" s="16" t="str">
        <f t="shared" si="125"/>
        <v>error</v>
      </c>
    </row>
    <row r="450" spans="1:34" x14ac:dyDescent="0.25">
      <c r="A450" s="12">
        <v>68872</v>
      </c>
      <c r="B450" s="13">
        <v>44.428576999999997</v>
      </c>
      <c r="C450" s="12">
        <v>89.514335000000003</v>
      </c>
      <c r="D450" s="14">
        <v>4</v>
      </c>
      <c r="E450" s="13" t="s">
        <v>42</v>
      </c>
      <c r="F450" s="13">
        <v>44.469799999999999</v>
      </c>
      <c r="G450" s="12">
        <v>89.511669999999995</v>
      </c>
      <c r="H450" s="13" t="s">
        <v>48</v>
      </c>
      <c r="I450" s="13">
        <v>44.462269999999997</v>
      </c>
      <c r="J450" s="12">
        <v>89.556250000000006</v>
      </c>
      <c r="K450" s="13" t="s">
        <v>50</v>
      </c>
      <c r="L450" s="13">
        <v>44.42971</v>
      </c>
      <c r="M450" s="12">
        <v>89.569090000000003</v>
      </c>
      <c r="N450" s="13" t="s">
        <v>44</v>
      </c>
      <c r="O450" s="13">
        <v>44.395130000000002</v>
      </c>
      <c r="P450" s="12">
        <v>89.512289999999993</v>
      </c>
      <c r="T450" s="5">
        <f t="shared" si="111"/>
        <v>15054.682836151029</v>
      </c>
      <c r="U450" s="5">
        <f t="shared" si="112"/>
        <v>16439.483162341246</v>
      </c>
      <c r="V450" s="5">
        <f t="shared" si="113"/>
        <v>14270.698062635147</v>
      </c>
      <c r="W450" s="5">
        <f t="shared" si="114"/>
        <v>12213.524183063812</v>
      </c>
      <c r="X450" s="6" t="str">
        <f t="shared" si="115"/>
        <v>n/a</v>
      </c>
      <c r="Y450" s="16">
        <f t="shared" si="116"/>
        <v>0.23790692800552943</v>
      </c>
      <c r="Z450" s="16">
        <f t="shared" si="117"/>
        <v>0.21786654180533152</v>
      </c>
      <c r="AA450" s="16">
        <f t="shared" si="118"/>
        <v>0.25097674479035975</v>
      </c>
      <c r="AB450" s="16">
        <f t="shared" si="119"/>
        <v>0.29324978539877916</v>
      </c>
      <c r="AC450" s="18" t="e">
        <f t="shared" si="120"/>
        <v>#VALUE!</v>
      </c>
      <c r="AD450" s="16">
        <f t="shared" si="121"/>
        <v>0.22366978622975572</v>
      </c>
      <c r="AE450" s="16">
        <f t="shared" si="122"/>
        <v>0.18757468429505922</v>
      </c>
      <c r="AF450" s="16">
        <f t="shared" si="123"/>
        <v>0.24892018129086868</v>
      </c>
      <c r="AG450" s="16">
        <f t="shared" si="124"/>
        <v>0.33983534818431649</v>
      </c>
      <c r="AH450" s="16" t="e">
        <f t="shared" si="125"/>
        <v>#VALUE!</v>
      </c>
    </row>
    <row r="451" spans="1:34" x14ac:dyDescent="0.25">
      <c r="A451" s="12">
        <v>68917</v>
      </c>
      <c r="B451" s="13">
        <v>44.494266699999997</v>
      </c>
      <c r="C451" s="12">
        <v>89.355166699999998</v>
      </c>
      <c r="D451" s="14">
        <v>3</v>
      </c>
      <c r="E451" s="13" t="s">
        <v>42</v>
      </c>
      <c r="F451" s="13">
        <v>44.482199999999999</v>
      </c>
      <c r="G451" s="12">
        <v>89.479680000000002</v>
      </c>
      <c r="H451" s="13" t="s">
        <v>41</v>
      </c>
      <c r="I451" s="13">
        <v>44.500590000000003</v>
      </c>
      <c r="J451" s="12">
        <v>89.321280000000002</v>
      </c>
      <c r="K451" s="13" t="s">
        <v>43</v>
      </c>
      <c r="L451" s="13">
        <v>44.437359999999998</v>
      </c>
      <c r="M451" s="12">
        <v>89.338470000000001</v>
      </c>
      <c r="T451" s="5">
        <f t="shared" si="111"/>
        <v>32702.884554356548</v>
      </c>
      <c r="U451" s="5">
        <f t="shared" si="112"/>
        <v>9114.55464264886</v>
      </c>
      <c r="V451" s="5">
        <f t="shared" si="113"/>
        <v>21210.532613414154</v>
      </c>
      <c r="W451" s="5" t="str">
        <f t="shared" si="114"/>
        <v>n/a</v>
      </c>
      <c r="X451" s="6" t="str">
        <f t="shared" si="115"/>
        <v>n/a</v>
      </c>
      <c r="Y451" s="16">
        <f t="shared" si="116"/>
        <v>0.16313725210646912</v>
      </c>
      <c r="Z451" s="16">
        <f t="shared" si="117"/>
        <v>0.58533399944622533</v>
      </c>
      <c r="AA451" s="16">
        <f t="shared" si="118"/>
        <v>0.25152874844730555</v>
      </c>
      <c r="AB451" s="16" t="e">
        <f t="shared" si="119"/>
        <v>#VALUE!</v>
      </c>
      <c r="AC451" s="18" t="e">
        <f t="shared" si="120"/>
        <v>#VALUE!</v>
      </c>
      <c r="AD451" s="16">
        <f t="shared" si="121"/>
        <v>6.1535229344222821E-2</v>
      </c>
      <c r="AE451" s="16">
        <f t="shared" si="122"/>
        <v>0.79218212788232667</v>
      </c>
      <c r="AF451" s="16">
        <f t="shared" si="123"/>
        <v>0.14628264277345057</v>
      </c>
      <c r="AG451" s="16" t="e">
        <f t="shared" si="124"/>
        <v>#VALUE!</v>
      </c>
      <c r="AH451" s="16" t="e">
        <f t="shared" si="125"/>
        <v>#VALUE!</v>
      </c>
    </row>
    <row r="452" spans="1:34" x14ac:dyDescent="0.25">
      <c r="A452" s="12">
        <v>68925</v>
      </c>
      <c r="B452" s="13">
        <v>44.523538299999998</v>
      </c>
      <c r="C452" s="12">
        <v>89.476214999999996</v>
      </c>
      <c r="D452" s="14">
        <v>4</v>
      </c>
      <c r="E452" s="13" t="s">
        <v>42</v>
      </c>
      <c r="F452" s="13">
        <v>44.482559999999999</v>
      </c>
      <c r="G452" s="12">
        <v>89.479280000000003</v>
      </c>
      <c r="H452" s="13" t="s">
        <v>39</v>
      </c>
      <c r="I452" s="13">
        <v>4453428</v>
      </c>
      <c r="J452" s="12">
        <v>89.521349999999998</v>
      </c>
      <c r="K452" s="13" t="s">
        <v>40</v>
      </c>
      <c r="L452" s="13">
        <v>44.546990000000001</v>
      </c>
      <c r="M452" s="12">
        <v>89.499669999999995</v>
      </c>
      <c r="N452" s="13" t="s">
        <v>41</v>
      </c>
      <c r="O452" s="13">
        <v>44.527839999999998</v>
      </c>
      <c r="P452" s="12">
        <v>89.339889999999997</v>
      </c>
      <c r="T452" s="5">
        <f t="shared" si="111"/>
        <v>14970.662151456248</v>
      </c>
      <c r="U452" s="5">
        <f t="shared" si="112"/>
        <v>64397986.678174295</v>
      </c>
      <c r="V452" s="5">
        <f t="shared" si="113"/>
        <v>10507.068235032846</v>
      </c>
      <c r="W452" s="5">
        <f t="shared" si="114"/>
        <v>35491.230061923852</v>
      </c>
      <c r="X452" s="6" t="str">
        <f t="shared" si="115"/>
        <v>n/a</v>
      </c>
      <c r="Y452" s="16">
        <f t="shared" si="116"/>
        <v>0.35126374597525645</v>
      </c>
      <c r="Z452" s="16">
        <f t="shared" si="117"/>
        <v>8.1658622238150961E-5</v>
      </c>
      <c r="AA452" s="16">
        <f t="shared" si="118"/>
        <v>0.50048698166031036</v>
      </c>
      <c r="AB452" s="16">
        <f t="shared" si="119"/>
        <v>0.148167613742195</v>
      </c>
      <c r="AC452" s="18" t="e">
        <f t="shared" si="120"/>
        <v>#VALUE!</v>
      </c>
      <c r="AD452" s="16">
        <f t="shared" si="121"/>
        <v>0.31171747323907206</v>
      </c>
      <c r="AE452" s="16">
        <f t="shared" si="122"/>
        <v>1.6846069441991605E-8</v>
      </c>
      <c r="AF452" s="16">
        <f t="shared" si="123"/>
        <v>0.63281980280862016</v>
      </c>
      <c r="AG452" s="16">
        <f t="shared" si="124"/>
        <v>5.5462707106238296E-2</v>
      </c>
      <c r="AH452" s="16" t="e">
        <f t="shared" si="125"/>
        <v>#VALUE!</v>
      </c>
    </row>
    <row r="453" spans="1:34" x14ac:dyDescent="0.25">
      <c r="A453" s="12">
        <v>68926</v>
      </c>
      <c r="B453" s="13">
        <v>44.524383299999997</v>
      </c>
      <c r="C453" s="12">
        <v>89.475966700000001</v>
      </c>
      <c r="D453" s="14">
        <v>4</v>
      </c>
      <c r="E453" s="13" t="s">
        <v>42</v>
      </c>
      <c r="F453" s="13">
        <v>44.482559999999999</v>
      </c>
      <c r="G453" s="12">
        <v>89.479280000000003</v>
      </c>
      <c r="H453" s="13" t="s">
        <v>39</v>
      </c>
      <c r="I453" s="13">
        <v>4453428</v>
      </c>
      <c r="J453" s="12">
        <v>89.521349999999998</v>
      </c>
      <c r="K453" s="13" t="s">
        <v>40</v>
      </c>
      <c r="L453" s="13">
        <v>44.546990000000001</v>
      </c>
      <c r="M453" s="12">
        <v>89.499669999999995</v>
      </c>
      <c r="N453" s="13" t="s">
        <v>41</v>
      </c>
      <c r="O453" s="13">
        <v>44.527839999999998</v>
      </c>
      <c r="P453" s="12">
        <v>89.339889999999997</v>
      </c>
      <c r="T453" s="5">
        <f t="shared" si="111"/>
        <v>15282.008033985092</v>
      </c>
      <c r="U453" s="5">
        <f t="shared" si="112"/>
        <v>64398294.37025775</v>
      </c>
      <c r="V453" s="5">
        <f t="shared" si="113"/>
        <v>10296.118321826436</v>
      </c>
      <c r="W453" s="5">
        <f t="shared" si="114"/>
        <v>35414.14055285816</v>
      </c>
      <c r="X453" s="6" t="str">
        <f t="shared" si="115"/>
        <v>n/a</v>
      </c>
      <c r="Y453" s="16">
        <f t="shared" si="116"/>
        <v>0.34293440708687029</v>
      </c>
      <c r="Z453" s="16">
        <f t="shared" si="117"/>
        <v>8.1379893916132761E-5</v>
      </c>
      <c r="AA453" s="16">
        <f t="shared" si="118"/>
        <v>0.50900020769203913</v>
      </c>
      <c r="AB453" s="16">
        <f t="shared" si="119"/>
        <v>0.14798400532717443</v>
      </c>
      <c r="AC453" s="18" t="e">
        <f t="shared" si="120"/>
        <v>#VALUE!</v>
      </c>
      <c r="AD453" s="16">
        <f t="shared" si="121"/>
        <v>0.29505414808342789</v>
      </c>
      <c r="AE453" s="16">
        <f t="shared" si="122"/>
        <v>1.6615516348139411E-8</v>
      </c>
      <c r="AF453" s="16">
        <f t="shared" si="123"/>
        <v>0.65000324144094179</v>
      </c>
      <c r="AG453" s="16">
        <f t="shared" si="124"/>
        <v>5.4942593860114027E-2</v>
      </c>
      <c r="AH453" s="16" t="e">
        <f t="shared" si="125"/>
        <v>#VALUE!</v>
      </c>
    </row>
    <row r="454" spans="1:34" x14ac:dyDescent="0.25">
      <c r="A454" s="12">
        <v>68936</v>
      </c>
      <c r="B454" s="13">
        <v>44.440944999999999</v>
      </c>
      <c r="C454" s="12">
        <v>89.609083299999995</v>
      </c>
      <c r="D454" s="14">
        <v>0</v>
      </c>
      <c r="T454" s="5">
        <f t="shared" si="111"/>
        <v>32731327.401152007</v>
      </c>
      <c r="U454" s="5">
        <f t="shared" si="112"/>
        <v>32731327.401152007</v>
      </c>
      <c r="V454" s="5" t="str">
        <f t="shared" si="113"/>
        <v>n/a</v>
      </c>
      <c r="W454" s="5" t="str">
        <f t="shared" si="114"/>
        <v>n/a</v>
      </c>
      <c r="X454" s="6" t="str">
        <f t="shared" si="115"/>
        <v>n/a</v>
      </c>
      <c r="Y454" s="16" t="str">
        <f t="shared" si="116"/>
        <v>error</v>
      </c>
      <c r="Z454" s="16" t="str">
        <f t="shared" si="117"/>
        <v>error</v>
      </c>
      <c r="AA454" s="16" t="str">
        <f t="shared" si="118"/>
        <v>error</v>
      </c>
      <c r="AB454" s="16" t="str">
        <f t="shared" si="119"/>
        <v>error</v>
      </c>
      <c r="AC454" s="18" t="str">
        <f t="shared" si="120"/>
        <v>error</v>
      </c>
      <c r="AD454" s="16" t="str">
        <f t="shared" si="121"/>
        <v>error</v>
      </c>
      <c r="AE454" s="16" t="str">
        <f t="shared" si="122"/>
        <v>error</v>
      </c>
      <c r="AF454" s="16" t="str">
        <f t="shared" si="123"/>
        <v>error</v>
      </c>
      <c r="AG454" s="16" t="str">
        <f t="shared" si="124"/>
        <v>error</v>
      </c>
      <c r="AH454" s="16" t="str">
        <f t="shared" si="125"/>
        <v>error</v>
      </c>
    </row>
    <row r="455" spans="1:34" x14ac:dyDescent="0.25">
      <c r="A455" s="12">
        <v>68937</v>
      </c>
      <c r="B455" s="13">
        <v>44.416861699999998</v>
      </c>
      <c r="C455" s="12">
        <v>89.693055000000001</v>
      </c>
      <c r="D455" s="14">
        <v>0</v>
      </c>
      <c r="T455" s="5">
        <f t="shared" si="111"/>
        <v>32753166.048367616</v>
      </c>
      <c r="U455" s="5">
        <f t="shared" si="112"/>
        <v>32753166.048367616</v>
      </c>
      <c r="V455" s="5" t="str">
        <f t="shared" si="113"/>
        <v>n/a</v>
      </c>
      <c r="W455" s="5" t="str">
        <f t="shared" si="114"/>
        <v>n/a</v>
      </c>
      <c r="X455" s="6" t="str">
        <f t="shared" si="115"/>
        <v>n/a</v>
      </c>
      <c r="Y455" s="16" t="str">
        <f t="shared" si="116"/>
        <v>error</v>
      </c>
      <c r="Z455" s="16" t="str">
        <f t="shared" si="117"/>
        <v>error</v>
      </c>
      <c r="AA455" s="16" t="str">
        <f t="shared" si="118"/>
        <v>error</v>
      </c>
      <c r="AB455" s="16" t="str">
        <f t="shared" si="119"/>
        <v>error</v>
      </c>
      <c r="AC455" s="18" t="str">
        <f t="shared" si="120"/>
        <v>error</v>
      </c>
      <c r="AD455" s="16" t="str">
        <f t="shared" si="121"/>
        <v>error</v>
      </c>
      <c r="AE455" s="16" t="str">
        <f t="shared" si="122"/>
        <v>error</v>
      </c>
      <c r="AF455" s="16" t="str">
        <f t="shared" si="123"/>
        <v>error</v>
      </c>
      <c r="AG455" s="16" t="str">
        <f t="shared" si="124"/>
        <v>error</v>
      </c>
      <c r="AH455" s="16" t="str">
        <f t="shared" si="125"/>
        <v>error</v>
      </c>
    </row>
    <row r="456" spans="1:34" x14ac:dyDescent="0.25">
      <c r="A456" s="12">
        <v>68940</v>
      </c>
      <c r="B456" s="13">
        <v>44.420945000000003</v>
      </c>
      <c r="C456" s="12">
        <v>89.6220833</v>
      </c>
      <c r="D456" s="14">
        <v>0</v>
      </c>
      <c r="T456" s="5">
        <f t="shared" si="111"/>
        <v>32734679.735121395</v>
      </c>
      <c r="U456" s="5">
        <f t="shared" si="112"/>
        <v>32734679.735121395</v>
      </c>
      <c r="V456" s="5" t="str">
        <f t="shared" si="113"/>
        <v>n/a</v>
      </c>
      <c r="W456" s="5" t="str">
        <f t="shared" si="114"/>
        <v>n/a</v>
      </c>
      <c r="X456" s="6" t="str">
        <f t="shared" si="115"/>
        <v>n/a</v>
      </c>
      <c r="Y456" s="16" t="str">
        <f t="shared" si="116"/>
        <v>error</v>
      </c>
      <c r="Z456" s="16" t="str">
        <f t="shared" si="117"/>
        <v>error</v>
      </c>
      <c r="AA456" s="16" t="str">
        <f t="shared" si="118"/>
        <v>error</v>
      </c>
      <c r="AB456" s="16" t="str">
        <f t="shared" si="119"/>
        <v>error</v>
      </c>
      <c r="AC456" s="18" t="str">
        <f t="shared" si="120"/>
        <v>error</v>
      </c>
      <c r="AD456" s="16" t="str">
        <f t="shared" si="121"/>
        <v>error</v>
      </c>
      <c r="AE456" s="16" t="str">
        <f t="shared" si="122"/>
        <v>error</v>
      </c>
      <c r="AF456" s="16" t="str">
        <f t="shared" si="123"/>
        <v>error</v>
      </c>
      <c r="AG456" s="16" t="str">
        <f t="shared" si="124"/>
        <v>error</v>
      </c>
      <c r="AH456" s="16" t="str">
        <f t="shared" si="125"/>
        <v>error</v>
      </c>
    </row>
    <row r="457" spans="1:34" x14ac:dyDescent="0.25">
      <c r="A457" s="12">
        <v>68961</v>
      </c>
      <c r="B457" s="13">
        <v>44.521320000000003</v>
      </c>
      <c r="C457" s="12">
        <v>89.460311700000005</v>
      </c>
      <c r="D457" s="13">
        <v>0</v>
      </c>
      <c r="T457" s="5">
        <f t="shared" si="111"/>
        <v>32692771.57113206</v>
      </c>
      <c r="U457" s="5">
        <f t="shared" si="112"/>
        <v>32692771.57113206</v>
      </c>
      <c r="V457" s="5" t="str">
        <f t="shared" si="113"/>
        <v>n/a</v>
      </c>
      <c r="W457" s="5" t="str">
        <f t="shared" si="114"/>
        <v>n/a</v>
      </c>
      <c r="X457" s="6" t="str">
        <f t="shared" si="115"/>
        <v>n/a</v>
      </c>
      <c r="Y457" s="16" t="str">
        <f t="shared" si="116"/>
        <v>error</v>
      </c>
      <c r="Z457" s="16" t="str">
        <f t="shared" si="117"/>
        <v>error</v>
      </c>
      <c r="AA457" s="16" t="str">
        <f t="shared" si="118"/>
        <v>error</v>
      </c>
      <c r="AB457" s="16" t="str">
        <f t="shared" si="119"/>
        <v>error</v>
      </c>
      <c r="AC457" s="18" t="str">
        <f t="shared" si="120"/>
        <v>error</v>
      </c>
      <c r="AD457" s="16" t="str">
        <f t="shared" si="121"/>
        <v>error</v>
      </c>
      <c r="AE457" s="16" t="str">
        <f t="shared" si="122"/>
        <v>error</v>
      </c>
      <c r="AF457" s="16" t="str">
        <f t="shared" si="123"/>
        <v>error</v>
      </c>
      <c r="AG457" s="16" t="str">
        <f t="shared" si="124"/>
        <v>error</v>
      </c>
      <c r="AH457" s="16" t="str">
        <f t="shared" si="125"/>
        <v>error</v>
      </c>
    </row>
    <row r="458" spans="1:34" x14ac:dyDescent="0.25">
      <c r="A458" s="12">
        <v>69044</v>
      </c>
      <c r="B458" s="13">
        <v>44.392222199999999</v>
      </c>
      <c r="C458" s="12">
        <v>89.543611100000007</v>
      </c>
      <c r="D458" s="14">
        <v>0</v>
      </c>
      <c r="T458" s="5">
        <f t="shared" si="111"/>
        <v>32714175.239201326</v>
      </c>
      <c r="U458" s="5">
        <f t="shared" si="112"/>
        <v>32714175.239201326</v>
      </c>
      <c r="V458" s="5" t="str">
        <f t="shared" si="113"/>
        <v>n/a</v>
      </c>
      <c r="W458" s="5" t="str">
        <f t="shared" si="114"/>
        <v>n/a</v>
      </c>
      <c r="X458" s="6" t="str">
        <f t="shared" si="115"/>
        <v>n/a</v>
      </c>
      <c r="Y458" s="16" t="str">
        <f t="shared" si="116"/>
        <v>error</v>
      </c>
      <c r="Z458" s="16" t="str">
        <f t="shared" si="117"/>
        <v>error</v>
      </c>
      <c r="AA458" s="16" t="str">
        <f t="shared" si="118"/>
        <v>error</v>
      </c>
      <c r="AB458" s="16" t="str">
        <f t="shared" si="119"/>
        <v>error</v>
      </c>
      <c r="AC458" s="18" t="str">
        <f t="shared" si="120"/>
        <v>error</v>
      </c>
      <c r="AD458" s="16" t="str">
        <f t="shared" si="121"/>
        <v>error</v>
      </c>
      <c r="AE458" s="16" t="str">
        <f t="shared" si="122"/>
        <v>error</v>
      </c>
      <c r="AF458" s="16" t="str">
        <f t="shared" si="123"/>
        <v>error</v>
      </c>
      <c r="AG458" s="16" t="str">
        <f t="shared" si="124"/>
        <v>error</v>
      </c>
      <c r="AH458" s="16" t="str">
        <f t="shared" si="125"/>
        <v>error</v>
      </c>
    </row>
    <row r="459" spans="1:34" x14ac:dyDescent="0.25">
      <c r="A459" s="12">
        <v>69049</v>
      </c>
      <c r="B459" s="13">
        <v>44.484349999999999</v>
      </c>
      <c r="C459" s="12">
        <v>89.4756</v>
      </c>
      <c r="D459" s="14">
        <v>3</v>
      </c>
      <c r="E459" s="13" t="s">
        <v>42</v>
      </c>
      <c r="F459" s="13">
        <v>44.481520000000003</v>
      </c>
      <c r="G459" s="12">
        <v>89.479870000000005</v>
      </c>
      <c r="H459" s="13" t="s">
        <v>41</v>
      </c>
      <c r="I459" s="13">
        <v>44.489049999999999</v>
      </c>
      <c r="J459" s="12">
        <v>89.307159999999996</v>
      </c>
      <c r="K459" s="13" t="s">
        <v>43</v>
      </c>
      <c r="L459" s="13">
        <v>44.436599999999999</v>
      </c>
      <c r="M459" s="12">
        <v>89.375630000000001</v>
      </c>
      <c r="T459" s="5">
        <f t="shared" si="111"/>
        <v>1516.931784247344</v>
      </c>
      <c r="U459" s="5">
        <f t="shared" si="112"/>
        <v>43872.076811018072</v>
      </c>
      <c r="V459" s="5">
        <f t="shared" si="113"/>
        <v>31321.175045966105</v>
      </c>
      <c r="W459" s="5" t="str">
        <f t="shared" si="114"/>
        <v>n/a</v>
      </c>
      <c r="X459" s="6" t="str">
        <f t="shared" si="115"/>
        <v>n/a</v>
      </c>
      <c r="Y459" s="16">
        <f t="shared" si="116"/>
        <v>0.92335442073397911</v>
      </c>
      <c r="Z459" s="16">
        <f t="shared" si="117"/>
        <v>3.19261309413304E-2</v>
      </c>
      <c r="AA459" s="16">
        <f t="shared" si="118"/>
        <v>4.4719448324690526E-2</v>
      </c>
      <c r="AB459" s="16" t="e">
        <f t="shared" si="119"/>
        <v>#VALUE!</v>
      </c>
      <c r="AC459" s="18" t="e">
        <f t="shared" si="120"/>
        <v>#VALUE!</v>
      </c>
      <c r="AD459" s="16">
        <f t="shared" si="121"/>
        <v>0.99647136734710617</v>
      </c>
      <c r="AE459" s="16">
        <f t="shared" si="122"/>
        <v>1.1912983482428707E-3</v>
      </c>
      <c r="AF459" s="16">
        <f t="shared" si="123"/>
        <v>2.337334304651011E-3</v>
      </c>
      <c r="AG459" s="16" t="e">
        <f t="shared" si="124"/>
        <v>#VALUE!</v>
      </c>
      <c r="AH459" s="16" t="e">
        <f t="shared" si="125"/>
        <v>#VALUE!</v>
      </c>
    </row>
    <row r="460" spans="1:34" x14ac:dyDescent="0.25">
      <c r="A460" s="12">
        <v>69062</v>
      </c>
      <c r="B460" s="13">
        <v>44.560785000000003</v>
      </c>
      <c r="C460" s="12">
        <v>89.451976700000003</v>
      </c>
      <c r="D460" s="13">
        <v>0</v>
      </c>
      <c r="T460" s="5">
        <f t="shared" si="111"/>
        <v>32690700.213312283</v>
      </c>
      <c r="U460" s="5">
        <f t="shared" si="112"/>
        <v>32690700.213312283</v>
      </c>
      <c r="V460" s="5" t="str">
        <f t="shared" si="113"/>
        <v>n/a</v>
      </c>
      <c r="W460" s="5" t="str">
        <f t="shared" si="114"/>
        <v>n/a</v>
      </c>
      <c r="X460" s="6" t="str">
        <f t="shared" si="115"/>
        <v>n/a</v>
      </c>
      <c r="Y460" s="16" t="str">
        <f t="shared" si="116"/>
        <v>error</v>
      </c>
      <c r="Z460" s="16" t="str">
        <f t="shared" si="117"/>
        <v>error</v>
      </c>
      <c r="AA460" s="16" t="str">
        <f t="shared" si="118"/>
        <v>error</v>
      </c>
      <c r="AB460" s="16" t="str">
        <f t="shared" si="119"/>
        <v>error</v>
      </c>
      <c r="AC460" s="18" t="str">
        <f t="shared" si="120"/>
        <v>error</v>
      </c>
      <c r="AD460" s="16" t="str">
        <f t="shared" si="121"/>
        <v>error</v>
      </c>
      <c r="AE460" s="16" t="str">
        <f t="shared" si="122"/>
        <v>error</v>
      </c>
      <c r="AF460" s="16" t="str">
        <f t="shared" si="123"/>
        <v>error</v>
      </c>
      <c r="AG460" s="16" t="str">
        <f t="shared" si="124"/>
        <v>error</v>
      </c>
      <c r="AH460" s="16" t="str">
        <f t="shared" si="125"/>
        <v>error</v>
      </c>
    </row>
    <row r="461" spans="1:34" x14ac:dyDescent="0.25">
      <c r="A461" s="12">
        <v>69063</v>
      </c>
      <c r="B461" s="13">
        <v>44.478948299999999</v>
      </c>
      <c r="C461" s="12">
        <v>89.406154999999998</v>
      </c>
      <c r="D461" s="13">
        <v>0</v>
      </c>
      <c r="T461" s="5">
        <f t="shared" si="111"/>
        <v>32678573.04016944</v>
      </c>
      <c r="U461" s="5">
        <f t="shared" si="112"/>
        <v>32678573.04016944</v>
      </c>
      <c r="V461" s="5" t="str">
        <f t="shared" si="113"/>
        <v>n/a</v>
      </c>
      <c r="W461" s="5" t="str">
        <f t="shared" si="114"/>
        <v>n/a</v>
      </c>
      <c r="X461" s="6" t="str">
        <f t="shared" si="115"/>
        <v>n/a</v>
      </c>
      <c r="Y461" s="16" t="str">
        <f t="shared" si="116"/>
        <v>error</v>
      </c>
      <c r="Z461" s="16" t="str">
        <f t="shared" si="117"/>
        <v>error</v>
      </c>
      <c r="AA461" s="16" t="str">
        <f t="shared" si="118"/>
        <v>error</v>
      </c>
      <c r="AB461" s="16" t="str">
        <f t="shared" si="119"/>
        <v>error</v>
      </c>
      <c r="AC461" s="18" t="str">
        <f t="shared" si="120"/>
        <v>error</v>
      </c>
      <c r="AD461" s="16" t="str">
        <f t="shared" si="121"/>
        <v>error</v>
      </c>
      <c r="AE461" s="16" t="str">
        <f t="shared" si="122"/>
        <v>error</v>
      </c>
      <c r="AF461" s="16" t="str">
        <f t="shared" si="123"/>
        <v>error</v>
      </c>
      <c r="AG461" s="16" t="str">
        <f t="shared" si="124"/>
        <v>error</v>
      </c>
      <c r="AH461" s="16" t="str">
        <f t="shared" si="125"/>
        <v>error</v>
      </c>
    </row>
    <row r="462" spans="1:34" x14ac:dyDescent="0.25">
      <c r="A462" s="12">
        <v>69064</v>
      </c>
      <c r="B462" s="13">
        <v>44.480670600000003</v>
      </c>
      <c r="C462" s="12">
        <v>89.408553800000007</v>
      </c>
      <c r="D462" s="13">
        <v>0</v>
      </c>
      <c r="T462" s="5">
        <f t="shared" si="111"/>
        <v>32679201.968165867</v>
      </c>
      <c r="U462" s="5">
        <f t="shared" si="112"/>
        <v>32679201.968165867</v>
      </c>
      <c r="V462" s="5" t="str">
        <f t="shared" si="113"/>
        <v>n/a</v>
      </c>
      <c r="W462" s="5" t="str">
        <f t="shared" si="114"/>
        <v>n/a</v>
      </c>
      <c r="X462" s="6" t="str">
        <f t="shared" si="115"/>
        <v>n/a</v>
      </c>
      <c r="Y462" s="16" t="str">
        <f t="shared" si="116"/>
        <v>error</v>
      </c>
      <c r="Z462" s="16" t="str">
        <f t="shared" si="117"/>
        <v>error</v>
      </c>
      <c r="AA462" s="16" t="str">
        <f t="shared" si="118"/>
        <v>error</v>
      </c>
      <c r="AB462" s="16" t="str">
        <f t="shared" si="119"/>
        <v>error</v>
      </c>
      <c r="AC462" s="18" t="str">
        <f t="shared" si="120"/>
        <v>error</v>
      </c>
      <c r="AD462" s="16" t="str">
        <f t="shared" si="121"/>
        <v>error</v>
      </c>
      <c r="AE462" s="16" t="str">
        <f t="shared" si="122"/>
        <v>error</v>
      </c>
      <c r="AF462" s="16" t="str">
        <f t="shared" si="123"/>
        <v>error</v>
      </c>
      <c r="AG462" s="16" t="str">
        <f t="shared" si="124"/>
        <v>error</v>
      </c>
      <c r="AH462" s="16" t="str">
        <f t="shared" si="125"/>
        <v>error</v>
      </c>
    </row>
    <row r="463" spans="1:34" x14ac:dyDescent="0.25">
      <c r="A463" s="12">
        <v>69065</v>
      </c>
      <c r="B463" s="13">
        <v>44.435788799999997</v>
      </c>
      <c r="C463" s="12">
        <v>89.449252999999999</v>
      </c>
      <c r="D463" s="14">
        <v>5</v>
      </c>
      <c r="E463" s="13" t="s">
        <v>42</v>
      </c>
      <c r="F463" s="13">
        <v>44.4679</v>
      </c>
      <c r="G463" s="12">
        <v>89.487129999999993</v>
      </c>
      <c r="H463" s="13" t="s">
        <v>44</v>
      </c>
      <c r="I463" s="13">
        <v>44.400039999999997</v>
      </c>
      <c r="J463" s="12">
        <v>89.480410000000006</v>
      </c>
      <c r="K463" s="13" t="s">
        <v>51</v>
      </c>
      <c r="L463" s="13">
        <v>44.379460000000002</v>
      </c>
      <c r="M463" s="12">
        <v>89.439179999999993</v>
      </c>
      <c r="N463" s="13" t="s">
        <v>46</v>
      </c>
      <c r="O463" s="13">
        <v>44.38214</v>
      </c>
      <c r="P463" s="12">
        <v>89.366290000000006</v>
      </c>
      <c r="Q463" s="13" t="s">
        <v>43</v>
      </c>
      <c r="R463" s="13">
        <v>44.436340000000001</v>
      </c>
      <c r="S463" s="12">
        <v>89.375249999999994</v>
      </c>
      <c r="T463" s="5">
        <f t="shared" si="111"/>
        <v>15314.261564084785</v>
      </c>
      <c r="U463" s="5">
        <f t="shared" si="112"/>
        <v>15362.115162954473</v>
      </c>
      <c r="V463" s="5">
        <f t="shared" si="113"/>
        <v>20716.467387355664</v>
      </c>
      <c r="W463" s="5">
        <f t="shared" si="114"/>
        <v>29163.619074630671</v>
      </c>
      <c r="X463" s="6">
        <f t="shared" si="115"/>
        <v>19277.943773374176</v>
      </c>
      <c r="Y463" s="16">
        <f t="shared" si="116"/>
        <v>0.24657115428198492</v>
      </c>
      <c r="Z463" s="16">
        <f t="shared" si="117"/>
        <v>0.24580307534333068</v>
      </c>
      <c r="AA463" s="16">
        <f t="shared" si="118"/>
        <v>0.18227312022981987</v>
      </c>
      <c r="AB463" s="16">
        <f t="shared" si="119"/>
        <v>0.12947827706738216</v>
      </c>
      <c r="AC463" s="18">
        <f t="shared" si="120"/>
        <v>0.19587437307748232</v>
      </c>
      <c r="AD463" s="16">
        <f t="shared" si="121"/>
        <v>0.29010324240568364</v>
      </c>
      <c r="AE463" s="16">
        <f t="shared" si="122"/>
        <v>0.28829869117025392</v>
      </c>
      <c r="AF463" s="16">
        <f t="shared" si="123"/>
        <v>0.15853067269908619</v>
      </c>
      <c r="AG463" s="16">
        <f t="shared" si="124"/>
        <v>7.9994820786034704E-2</v>
      </c>
      <c r="AH463" s="16">
        <f t="shared" si="125"/>
        <v>0.1830725729389415</v>
      </c>
    </row>
    <row r="464" spans="1:34" x14ac:dyDescent="0.25">
      <c r="A464" s="12">
        <v>69281</v>
      </c>
      <c r="B464" s="13">
        <v>44.454529000000001</v>
      </c>
      <c r="C464" s="12">
        <v>89.459285399999999</v>
      </c>
      <c r="D464" s="13">
        <v>0</v>
      </c>
      <c r="T464" s="5">
        <f t="shared" si="111"/>
        <v>32692343.48767158</v>
      </c>
      <c r="U464" s="5">
        <f t="shared" si="112"/>
        <v>32692343.48767158</v>
      </c>
      <c r="V464" s="5" t="str">
        <f t="shared" si="113"/>
        <v>n/a</v>
      </c>
      <c r="W464" s="5" t="str">
        <f t="shared" si="114"/>
        <v>n/a</v>
      </c>
      <c r="X464" s="6" t="str">
        <f t="shared" si="115"/>
        <v>n/a</v>
      </c>
      <c r="Y464" s="16" t="str">
        <f t="shared" si="116"/>
        <v>error</v>
      </c>
      <c r="Z464" s="16" t="str">
        <f t="shared" si="117"/>
        <v>error</v>
      </c>
      <c r="AA464" s="16" t="str">
        <f t="shared" si="118"/>
        <v>error</v>
      </c>
      <c r="AB464" s="16" t="str">
        <f t="shared" si="119"/>
        <v>error</v>
      </c>
      <c r="AC464" s="18" t="str">
        <f t="shared" si="120"/>
        <v>error</v>
      </c>
      <c r="AD464" s="16" t="str">
        <f t="shared" si="121"/>
        <v>error</v>
      </c>
      <c r="AE464" s="16" t="str">
        <f t="shared" si="122"/>
        <v>error</v>
      </c>
      <c r="AF464" s="16" t="str">
        <f t="shared" si="123"/>
        <v>error</v>
      </c>
      <c r="AG464" s="16" t="str">
        <f t="shared" si="124"/>
        <v>error</v>
      </c>
      <c r="AH464" s="16" t="str">
        <f t="shared" si="125"/>
        <v>error</v>
      </c>
    </row>
    <row r="465" spans="1:34" x14ac:dyDescent="0.25">
      <c r="A465" s="12">
        <v>69282</v>
      </c>
      <c r="B465" s="13">
        <v>44.459433300000001</v>
      </c>
      <c r="C465" s="12">
        <v>89.451733399999995</v>
      </c>
      <c r="D465" s="14">
        <v>3</v>
      </c>
      <c r="E465" s="13" t="s">
        <v>42</v>
      </c>
      <c r="F465" s="13">
        <v>44.469470000000001</v>
      </c>
      <c r="G465" s="12">
        <v>89.483149999999995</v>
      </c>
      <c r="H465" s="13" t="s">
        <v>43</v>
      </c>
      <c r="I465" s="13">
        <v>44.43647</v>
      </c>
      <c r="J465" s="12">
        <v>89.375969999999995</v>
      </c>
      <c r="K465" s="13" t="s">
        <v>44</v>
      </c>
      <c r="L465" s="13">
        <v>44.40016</v>
      </c>
      <c r="M465" s="12">
        <v>89.480519999999999</v>
      </c>
      <c r="T465" s="5">
        <f t="shared" si="111"/>
        <v>8961.7926681354293</v>
      </c>
      <c r="U465" s="5">
        <f t="shared" si="112"/>
        <v>21436.16227711162</v>
      </c>
      <c r="V465" s="5">
        <f t="shared" si="113"/>
        <v>22887.179795296543</v>
      </c>
      <c r="W465" s="5" t="str">
        <f t="shared" si="114"/>
        <v>n/a</v>
      </c>
      <c r="X465" s="6" t="str">
        <f t="shared" si="115"/>
        <v>n/a</v>
      </c>
      <c r="Y465" s="16">
        <f t="shared" si="116"/>
        <v>0.55259830622817019</v>
      </c>
      <c r="Z465" s="16">
        <f t="shared" si="117"/>
        <v>0.23102416305494386</v>
      </c>
      <c r="AA465" s="16">
        <f t="shared" si="118"/>
        <v>0.21637753071688606</v>
      </c>
      <c r="AB465" s="16" t="e">
        <f t="shared" si="119"/>
        <v>#VALUE!</v>
      </c>
      <c r="AC465" s="18" t="e">
        <f t="shared" si="120"/>
        <v>#VALUE!</v>
      </c>
      <c r="AD465" s="16">
        <f t="shared" si="121"/>
        <v>0.75295315906059102</v>
      </c>
      <c r="AE465" s="16">
        <f t="shared" si="122"/>
        <v>0.1316023583555945</v>
      </c>
      <c r="AF465" s="16">
        <f t="shared" si="123"/>
        <v>0.11544448258381446</v>
      </c>
      <c r="AG465" s="16" t="e">
        <f t="shared" si="124"/>
        <v>#VALUE!</v>
      </c>
      <c r="AH465" s="16" t="e">
        <f t="shared" si="125"/>
        <v>#VALUE!</v>
      </c>
    </row>
    <row r="466" spans="1:34" x14ac:dyDescent="0.25">
      <c r="A466" s="12">
        <v>69288</v>
      </c>
      <c r="B466" s="13">
        <v>44.485369800000001</v>
      </c>
      <c r="C466" s="12">
        <v>89.357883099999995</v>
      </c>
      <c r="D466" s="14">
        <v>4</v>
      </c>
      <c r="E466" s="13" t="s">
        <v>42</v>
      </c>
      <c r="F466" s="13">
        <v>44.472119999999997</v>
      </c>
      <c r="G466" s="12">
        <v>89.482460000000003</v>
      </c>
      <c r="H466" s="13" t="s">
        <v>41</v>
      </c>
      <c r="I466" s="13">
        <v>44.474519999999998</v>
      </c>
      <c r="J466" s="12">
        <v>89.295339999999996</v>
      </c>
      <c r="K466" s="13" t="s">
        <v>43</v>
      </c>
      <c r="L466" s="13">
        <v>44.43627</v>
      </c>
      <c r="M466" s="12">
        <v>89.307379999999995</v>
      </c>
      <c r="N466" s="13" t="s">
        <v>45</v>
      </c>
      <c r="O466" s="13">
        <v>44.49091</v>
      </c>
      <c r="P466" s="12">
        <v>89.345470000000006</v>
      </c>
      <c r="T466" s="5">
        <f t="shared" si="111"/>
        <v>32785.361617051916</v>
      </c>
      <c r="U466" s="5">
        <f t="shared" si="112"/>
        <v>16753.766721020431</v>
      </c>
      <c r="V466" s="5">
        <f t="shared" si="113"/>
        <v>22220.876577539668</v>
      </c>
      <c r="W466" s="5">
        <f t="shared" si="114"/>
        <v>3810.7273691238911</v>
      </c>
      <c r="X466" s="6" t="str">
        <f t="shared" si="115"/>
        <v>n/a</v>
      </c>
      <c r="Y466" s="16">
        <f t="shared" si="116"/>
        <v>7.6712031057351054E-2</v>
      </c>
      <c r="Z466" s="16">
        <f t="shared" si="117"/>
        <v>0.15011738676283704</v>
      </c>
      <c r="AA466" s="16">
        <f t="shared" si="118"/>
        <v>0.11318327923822348</v>
      </c>
      <c r="AB466" s="16">
        <f t="shared" si="119"/>
        <v>0.65998730294158847</v>
      </c>
      <c r="AC466" s="18" t="e">
        <f t="shared" si="120"/>
        <v>#VALUE!</v>
      </c>
      <c r="AD466" s="16">
        <f t="shared" si="121"/>
        <v>1.2341793449723675E-2</v>
      </c>
      <c r="AE466" s="16">
        <f t="shared" si="122"/>
        <v>4.72621312824449E-2</v>
      </c>
      <c r="AF466" s="16">
        <f t="shared" si="123"/>
        <v>2.6866794655409233E-2</v>
      </c>
      <c r="AG466" s="16">
        <f t="shared" si="124"/>
        <v>0.91352928061242211</v>
      </c>
      <c r="AH466" s="16" t="e">
        <f t="shared" si="125"/>
        <v>#VALUE!</v>
      </c>
    </row>
    <row r="467" spans="1:34" x14ac:dyDescent="0.25">
      <c r="A467" s="12">
        <v>69289</v>
      </c>
      <c r="B467" s="13">
        <v>44.485416700000002</v>
      </c>
      <c r="C467" s="12">
        <v>89.3506383</v>
      </c>
      <c r="D467" s="14">
        <v>4</v>
      </c>
      <c r="E467" s="13" t="s">
        <v>42</v>
      </c>
      <c r="F467" s="13">
        <v>44.472119999999997</v>
      </c>
      <c r="G467" s="12">
        <v>89.482460000000003</v>
      </c>
      <c r="H467" s="13" t="s">
        <v>41</v>
      </c>
      <c r="I467" s="13">
        <v>44.474519999999998</v>
      </c>
      <c r="J467" s="12">
        <v>89.295339999999996</v>
      </c>
      <c r="K467" s="13" t="s">
        <v>43</v>
      </c>
      <c r="L467" s="13">
        <v>44.43627</v>
      </c>
      <c r="M467" s="12">
        <v>89.307379999999995</v>
      </c>
      <c r="N467" s="13" t="s">
        <v>45</v>
      </c>
      <c r="O467" s="13">
        <v>44.49091</v>
      </c>
      <c r="P467" s="12">
        <v>89.345470000000006</v>
      </c>
      <c r="T467" s="5">
        <f t="shared" si="111"/>
        <v>34654.049981945725</v>
      </c>
      <c r="U467" s="5">
        <f t="shared" si="112"/>
        <v>14932.574202701659</v>
      </c>
      <c r="V467" s="5">
        <f t="shared" si="113"/>
        <v>21173.745767561912</v>
      </c>
      <c r="W467" s="5">
        <f t="shared" si="114"/>
        <v>2413.5778975939265</v>
      </c>
      <c r="X467" s="6" t="str">
        <f t="shared" si="115"/>
        <v>n/a</v>
      </c>
      <c r="Y467" s="16">
        <f t="shared" si="116"/>
        <v>5.17723983539796E-2</v>
      </c>
      <c r="Z467" s="16">
        <f t="shared" si="117"/>
        <v>0.12014829164012551</v>
      </c>
      <c r="AA467" s="16">
        <f t="shared" si="118"/>
        <v>8.4733391056040872E-2</v>
      </c>
      <c r="AB467" s="16">
        <f t="shared" si="119"/>
        <v>0.74334591894985391</v>
      </c>
      <c r="AC467" s="18" t="e">
        <f t="shared" si="120"/>
        <v>#VALUE!</v>
      </c>
      <c r="AD467" s="16">
        <f t="shared" si="121"/>
        <v>4.6465110444411624E-3</v>
      </c>
      <c r="AE467" s="16">
        <f t="shared" si="122"/>
        <v>2.5024511339381727E-2</v>
      </c>
      <c r="AF467" s="16">
        <f t="shared" si="123"/>
        <v>1.2446280381056784E-2</v>
      </c>
      <c r="AG467" s="16">
        <f t="shared" si="124"/>
        <v>0.95788269723512032</v>
      </c>
      <c r="AH467" s="16" t="e">
        <f t="shared" si="125"/>
        <v>#VALUE!</v>
      </c>
    </row>
    <row r="468" spans="1:34" x14ac:dyDescent="0.25">
      <c r="A468" s="12">
        <v>69480</v>
      </c>
      <c r="B468" s="13">
        <v>44.473565000000001</v>
      </c>
      <c r="C468" s="12">
        <v>89.371036799999999</v>
      </c>
      <c r="D468" s="14">
        <v>3</v>
      </c>
      <c r="E468" s="13" t="s">
        <v>42</v>
      </c>
      <c r="F468" s="13">
        <v>44.47598</v>
      </c>
      <c r="G468" s="12">
        <v>89.479780000000005</v>
      </c>
      <c r="H468" s="13" t="s">
        <v>41</v>
      </c>
      <c r="I468" s="13">
        <v>44.476460000000003</v>
      </c>
      <c r="J468" s="12">
        <v>89.297479999999993</v>
      </c>
      <c r="K468" s="13" t="s">
        <v>43</v>
      </c>
      <c r="L468" s="13">
        <v>44.436639999999997</v>
      </c>
      <c r="M468" s="12">
        <v>89.375500000000002</v>
      </c>
      <c r="T468" s="5">
        <f t="shared" si="111"/>
        <v>28321.236450301865</v>
      </c>
      <c r="U468" s="5">
        <f t="shared" si="112"/>
        <v>19176.994077304018</v>
      </c>
      <c r="V468" s="5">
        <f t="shared" si="113"/>
        <v>13520.755610628128</v>
      </c>
      <c r="W468" s="5" t="str">
        <f t="shared" si="114"/>
        <v>n/a</v>
      </c>
      <c r="X468" s="6" t="str">
        <f t="shared" si="115"/>
        <v>n/a</v>
      </c>
      <c r="Y468" s="16">
        <f t="shared" si="116"/>
        <v>0.21874739930956416</v>
      </c>
      <c r="Z468" s="16">
        <f t="shared" si="117"/>
        <v>0.32305359191129879</v>
      </c>
      <c r="AA468" s="16">
        <f t="shared" si="118"/>
        <v>0.45819900877913711</v>
      </c>
      <c r="AB468" s="16" t="e">
        <f t="shared" si="119"/>
        <v>#VALUE!</v>
      </c>
      <c r="AC468" s="18" t="e">
        <f t="shared" si="120"/>
        <v>#VALUE!</v>
      </c>
      <c r="AD468" s="16">
        <f t="shared" si="121"/>
        <v>0.13212495734032326</v>
      </c>
      <c r="AE468" s="16">
        <f t="shared" si="122"/>
        <v>0.28816963181541333</v>
      </c>
      <c r="AF468" s="16">
        <f t="shared" si="123"/>
        <v>0.57970541084426341</v>
      </c>
      <c r="AG468" s="16" t="e">
        <f t="shared" si="124"/>
        <v>#VALUE!</v>
      </c>
      <c r="AH468" s="16" t="e">
        <f t="shared" si="125"/>
        <v>#VALUE!</v>
      </c>
    </row>
    <row r="469" spans="1:34" x14ac:dyDescent="0.25">
      <c r="A469" s="12">
        <v>69507</v>
      </c>
      <c r="B469" s="13">
        <v>44.594166700000002</v>
      </c>
      <c r="C469" s="12">
        <v>89.397499999999994</v>
      </c>
      <c r="D469" s="13">
        <v>0</v>
      </c>
      <c r="T469" s="5">
        <f t="shared" si="111"/>
        <v>32676630.240495216</v>
      </c>
      <c r="U469" s="5">
        <f t="shared" si="112"/>
        <v>32676630.240495216</v>
      </c>
      <c r="V469" s="5" t="str">
        <f t="shared" si="113"/>
        <v>n/a</v>
      </c>
      <c r="W469" s="5" t="str">
        <f t="shared" si="114"/>
        <v>n/a</v>
      </c>
      <c r="X469" s="6" t="str">
        <f t="shared" si="115"/>
        <v>n/a</v>
      </c>
      <c r="Y469" s="16" t="str">
        <f t="shared" si="116"/>
        <v>error</v>
      </c>
      <c r="Z469" s="16" t="str">
        <f t="shared" si="117"/>
        <v>error</v>
      </c>
      <c r="AA469" s="16" t="str">
        <f t="shared" si="118"/>
        <v>error</v>
      </c>
      <c r="AB469" s="16" t="str">
        <f t="shared" si="119"/>
        <v>error</v>
      </c>
      <c r="AC469" s="18" t="str">
        <f t="shared" si="120"/>
        <v>error</v>
      </c>
      <c r="AD469" s="16" t="str">
        <f t="shared" si="121"/>
        <v>error</v>
      </c>
      <c r="AE469" s="16" t="str">
        <f t="shared" si="122"/>
        <v>error</v>
      </c>
      <c r="AF469" s="16" t="str">
        <f t="shared" si="123"/>
        <v>error</v>
      </c>
      <c r="AG469" s="16" t="str">
        <f t="shared" si="124"/>
        <v>error</v>
      </c>
      <c r="AH469" s="16" t="str">
        <f t="shared" si="125"/>
        <v>error</v>
      </c>
    </row>
    <row r="470" spans="1:34" x14ac:dyDescent="0.25">
      <c r="A470" s="12">
        <v>69508</v>
      </c>
      <c r="B470" s="13">
        <v>44.590089999999996</v>
      </c>
      <c r="C470" s="12">
        <v>89.394970000000001</v>
      </c>
      <c r="D470" s="14">
        <v>4</v>
      </c>
      <c r="E470" s="13" t="s">
        <v>42</v>
      </c>
      <c r="F470" s="13">
        <v>44.481119999999997</v>
      </c>
      <c r="G470" s="12">
        <v>89.479669999999999</v>
      </c>
      <c r="H470" s="13" t="s">
        <v>39</v>
      </c>
      <c r="I470" s="13">
        <v>44.58616</v>
      </c>
      <c r="J470" s="12">
        <v>89.487179999999995</v>
      </c>
      <c r="K470" s="13" t="s">
        <v>40</v>
      </c>
      <c r="L470" s="13">
        <v>44.554780000000001</v>
      </c>
      <c r="M470" s="13">
        <v>89.461330000000004</v>
      </c>
      <c r="N470" s="13" t="s">
        <v>41</v>
      </c>
      <c r="O470" s="13">
        <v>44.598619999999997</v>
      </c>
      <c r="P470" s="12">
        <v>89.366849999999999</v>
      </c>
      <c r="T470" s="5">
        <f t="shared" si="111"/>
        <v>45447.596450589954</v>
      </c>
      <c r="U470" s="5">
        <f t="shared" si="112"/>
        <v>23999.873236119736</v>
      </c>
      <c r="V470" s="5">
        <f t="shared" si="113"/>
        <v>21525.439824551013</v>
      </c>
      <c r="W470" s="5">
        <f t="shared" si="114"/>
        <v>7940.241338197754</v>
      </c>
      <c r="X470" s="6" t="str">
        <f t="shared" si="115"/>
        <v>n/a</v>
      </c>
      <c r="Y470" s="16">
        <f t="shared" si="116"/>
        <v>9.3207868259300247E-2</v>
      </c>
      <c r="Z470" s="16">
        <f t="shared" si="117"/>
        <v>0.17650399820833854</v>
      </c>
      <c r="AA470" s="16">
        <f t="shared" si="118"/>
        <v>0.19679382243502139</v>
      </c>
      <c r="AB470" s="16">
        <f t="shared" si="119"/>
        <v>0.5334943110973398</v>
      </c>
      <c r="AC470" s="18" t="e">
        <f t="shared" si="120"/>
        <v>#VALUE!</v>
      </c>
      <c r="AD470" s="16">
        <f t="shared" si="121"/>
        <v>2.3920861750914284E-2</v>
      </c>
      <c r="AE470" s="16">
        <f t="shared" si="122"/>
        <v>8.5778957814413498E-2</v>
      </c>
      <c r="AF470" s="16">
        <f t="shared" si="123"/>
        <v>0.10663372805002781</v>
      </c>
      <c r="AG470" s="16">
        <f t="shared" si="124"/>
        <v>0.78366645238464439</v>
      </c>
      <c r="AH470" s="16" t="e">
        <f t="shared" si="125"/>
        <v>#VALUE!</v>
      </c>
    </row>
    <row r="471" spans="1:34" x14ac:dyDescent="0.25">
      <c r="A471" s="12">
        <v>69576</v>
      </c>
      <c r="B471" s="13">
        <v>44.544899999999998</v>
      </c>
      <c r="C471" s="12">
        <v>89.396019999999993</v>
      </c>
      <c r="D471" s="14">
        <v>4</v>
      </c>
      <c r="E471" s="13" t="s">
        <v>42</v>
      </c>
      <c r="F471" s="13">
        <v>44.481119999999997</v>
      </c>
      <c r="G471" s="12">
        <v>89.479669999999999</v>
      </c>
      <c r="H471" s="13" t="s">
        <v>39</v>
      </c>
      <c r="I471" s="13">
        <v>44.558810000000001</v>
      </c>
      <c r="J471" s="12">
        <v>89.506240000000005</v>
      </c>
      <c r="K471" s="13" t="s">
        <v>40</v>
      </c>
      <c r="L471" s="13">
        <v>44.554780000000001</v>
      </c>
      <c r="M471" s="13">
        <v>89.461330000000004</v>
      </c>
      <c r="N471" s="13" t="s">
        <v>41</v>
      </c>
      <c r="O471" s="13">
        <v>44.54806</v>
      </c>
      <c r="P471" s="12">
        <v>89.354929999999996</v>
      </c>
      <c r="T471" s="5">
        <f t="shared" si="111"/>
        <v>31858.033238928467</v>
      </c>
      <c r="U471" s="5">
        <f t="shared" si="112"/>
        <v>29099.912306711809</v>
      </c>
      <c r="V471" s="5">
        <f t="shared" si="113"/>
        <v>17357.663391124614</v>
      </c>
      <c r="W471" s="5">
        <f t="shared" si="114"/>
        <v>10745.227312901272</v>
      </c>
      <c r="X471" s="6" t="str">
        <f t="shared" si="115"/>
        <v>n/a</v>
      </c>
      <c r="Y471" s="16">
        <f t="shared" si="116"/>
        <v>0.14503215780506851</v>
      </c>
      <c r="Z471" s="16">
        <f t="shared" si="117"/>
        <v>0.15877846143892677</v>
      </c>
      <c r="AA471" s="16">
        <f t="shared" si="118"/>
        <v>0.26619016626569286</v>
      </c>
      <c r="AB471" s="16">
        <f t="shared" si="119"/>
        <v>0.42999921449031187</v>
      </c>
      <c r="AC471" s="18" t="e">
        <f t="shared" si="120"/>
        <v>#VALUE!</v>
      </c>
      <c r="AD471" s="16">
        <f t="shared" si="121"/>
        <v>6.9649753009642545E-2</v>
      </c>
      <c r="AE471" s="16">
        <f t="shared" si="122"/>
        <v>8.347840496011201E-2</v>
      </c>
      <c r="AF471" s="16">
        <f t="shared" si="123"/>
        <v>0.23462537441708631</v>
      </c>
      <c r="AG471" s="16">
        <f t="shared" si="124"/>
        <v>0.61224646761315915</v>
      </c>
      <c r="AH471" s="16" t="e">
        <f t="shared" si="125"/>
        <v>#VALUE!</v>
      </c>
    </row>
    <row r="472" spans="1:34" x14ac:dyDescent="0.25">
      <c r="A472" s="12">
        <v>69635</v>
      </c>
      <c r="B472" s="13">
        <v>44.497783300000002</v>
      </c>
      <c r="C472" s="12">
        <v>89.334716700000001</v>
      </c>
      <c r="D472" s="14">
        <v>2</v>
      </c>
      <c r="E472" s="13" t="s">
        <v>42</v>
      </c>
      <c r="F472" s="13">
        <v>44.482050000000001</v>
      </c>
      <c r="G472" s="12">
        <v>89.480069999999998</v>
      </c>
      <c r="H472" s="13" t="s">
        <v>41</v>
      </c>
      <c r="I472" s="13">
        <v>44.501300000000001</v>
      </c>
      <c r="J472" s="12">
        <v>89.321460000000002</v>
      </c>
      <c r="T472" s="5">
        <f t="shared" si="111"/>
        <v>38260.850612537346</v>
      </c>
      <c r="U472" s="5">
        <f t="shared" si="112"/>
        <v>3680.3111566873458</v>
      </c>
      <c r="V472" s="5" t="str">
        <f t="shared" si="113"/>
        <v>n/a</v>
      </c>
      <c r="W472" s="5" t="str">
        <f t="shared" si="114"/>
        <v>n/a</v>
      </c>
      <c r="X472" s="6" t="str">
        <f t="shared" si="115"/>
        <v>n/a</v>
      </c>
      <c r="Y472" s="16">
        <f t="shared" si="116"/>
        <v>8.774938512523181E-2</v>
      </c>
      <c r="Z472" s="16">
        <f t="shared" si="117"/>
        <v>0.91225061487476822</v>
      </c>
      <c r="AA472" s="16" t="e">
        <f t="shared" si="118"/>
        <v>#VALUE!</v>
      </c>
      <c r="AB472" s="16" t="e">
        <f t="shared" si="119"/>
        <v>#VALUE!</v>
      </c>
      <c r="AC472" s="18" t="e">
        <f t="shared" si="120"/>
        <v>#VALUE!</v>
      </c>
      <c r="AD472" s="16">
        <f t="shared" si="121"/>
        <v>9.1676915686440992E-3</v>
      </c>
      <c r="AE472" s="16">
        <f t="shared" si="122"/>
        <v>0.99083230843135595</v>
      </c>
      <c r="AF472" s="16" t="e">
        <f t="shared" si="123"/>
        <v>#VALUE!</v>
      </c>
      <c r="AG472" s="16" t="e">
        <f t="shared" si="124"/>
        <v>#VALUE!</v>
      </c>
      <c r="AH472" s="16" t="e">
        <f t="shared" si="125"/>
        <v>#VALUE!</v>
      </c>
    </row>
    <row r="473" spans="1:34" x14ac:dyDescent="0.25">
      <c r="A473" s="12">
        <v>69636</v>
      </c>
      <c r="B473" s="13">
        <v>44.495806700000003</v>
      </c>
      <c r="C473" s="12">
        <v>89.337286800000001</v>
      </c>
      <c r="D473" s="14">
        <v>2</v>
      </c>
      <c r="E473" s="13" t="s">
        <v>42</v>
      </c>
      <c r="F473" s="13">
        <v>44.482050000000001</v>
      </c>
      <c r="G473" s="12">
        <v>89.480069999999998</v>
      </c>
      <c r="H473" s="13" t="s">
        <v>41</v>
      </c>
      <c r="I473" s="13">
        <v>44.501300000000001</v>
      </c>
      <c r="J473" s="12">
        <v>89.321460000000002</v>
      </c>
      <c r="T473" s="5">
        <f t="shared" si="111"/>
        <v>37497.011084507511</v>
      </c>
      <c r="U473" s="5">
        <f t="shared" si="112"/>
        <v>4579.9952330833967</v>
      </c>
      <c r="V473" s="5" t="str">
        <f t="shared" si="113"/>
        <v>n/a</v>
      </c>
      <c r="W473" s="5" t="str">
        <f t="shared" si="114"/>
        <v>n/a</v>
      </c>
      <c r="X473" s="6" t="str">
        <f t="shared" si="115"/>
        <v>n/a</v>
      </c>
      <c r="Y473" s="16">
        <f t="shared" si="116"/>
        <v>0.10884793463000392</v>
      </c>
      <c r="Z473" s="16">
        <f t="shared" si="117"/>
        <v>0.89115206536999614</v>
      </c>
      <c r="AA473" s="16" t="e">
        <f t="shared" si="118"/>
        <v>#VALUE!</v>
      </c>
      <c r="AB473" s="16" t="e">
        <f t="shared" si="119"/>
        <v>#VALUE!</v>
      </c>
      <c r="AC473" s="18" t="e">
        <f t="shared" si="120"/>
        <v>#VALUE!</v>
      </c>
      <c r="AD473" s="16">
        <f t="shared" si="121"/>
        <v>1.4699596388110754E-2</v>
      </c>
      <c r="AE473" s="16">
        <f t="shared" si="122"/>
        <v>0.9853004036118892</v>
      </c>
      <c r="AF473" s="16" t="e">
        <f t="shared" si="123"/>
        <v>#VALUE!</v>
      </c>
      <c r="AG473" s="16" t="e">
        <f t="shared" si="124"/>
        <v>#VALUE!</v>
      </c>
      <c r="AH473" s="16" t="e">
        <f t="shared" si="125"/>
        <v>#VALUE!</v>
      </c>
    </row>
    <row r="474" spans="1:34" x14ac:dyDescent="0.25">
      <c r="A474" s="12">
        <v>69637</v>
      </c>
      <c r="B474" s="13">
        <v>44.502651700000001</v>
      </c>
      <c r="C474" s="12">
        <v>89.342518299999995</v>
      </c>
      <c r="D474" s="13">
        <v>0</v>
      </c>
      <c r="T474" s="5">
        <f t="shared" si="111"/>
        <v>32662078.637071732</v>
      </c>
      <c r="U474" s="5">
        <f t="shared" si="112"/>
        <v>32662078.637071732</v>
      </c>
      <c r="V474" s="5" t="str">
        <f t="shared" si="113"/>
        <v>n/a</v>
      </c>
      <c r="W474" s="5" t="str">
        <f t="shared" si="114"/>
        <v>n/a</v>
      </c>
      <c r="X474" s="6" t="str">
        <f t="shared" si="115"/>
        <v>n/a</v>
      </c>
      <c r="Y474" s="16" t="str">
        <f t="shared" si="116"/>
        <v>error</v>
      </c>
      <c r="Z474" s="16" t="str">
        <f t="shared" si="117"/>
        <v>error</v>
      </c>
      <c r="AA474" s="16" t="str">
        <f t="shared" si="118"/>
        <v>error</v>
      </c>
      <c r="AB474" s="16" t="str">
        <f t="shared" si="119"/>
        <v>error</v>
      </c>
      <c r="AC474" s="18" t="str">
        <f t="shared" si="120"/>
        <v>error</v>
      </c>
      <c r="AD474" s="16" t="str">
        <f t="shared" si="121"/>
        <v>error</v>
      </c>
      <c r="AE474" s="16" t="str">
        <f t="shared" si="122"/>
        <v>error</v>
      </c>
      <c r="AF474" s="16" t="str">
        <f t="shared" si="123"/>
        <v>error</v>
      </c>
      <c r="AG474" s="16" t="str">
        <f t="shared" si="124"/>
        <v>error</v>
      </c>
      <c r="AH474" s="16" t="str">
        <f t="shared" si="125"/>
        <v>error</v>
      </c>
    </row>
    <row r="475" spans="1:34" x14ac:dyDescent="0.25">
      <c r="A475" s="12">
        <v>69638</v>
      </c>
      <c r="B475" s="13">
        <v>44.495809999999999</v>
      </c>
      <c r="C475" s="12">
        <v>89.337291800000003</v>
      </c>
      <c r="D475" s="14">
        <v>2</v>
      </c>
      <c r="E475" s="13" t="s">
        <v>42</v>
      </c>
      <c r="F475" s="13">
        <v>44.482050000000001</v>
      </c>
      <c r="G475" s="12">
        <v>89.480069999999998</v>
      </c>
      <c r="H475" s="13" t="s">
        <v>41</v>
      </c>
      <c r="I475" s="13">
        <v>44.501300000000001</v>
      </c>
      <c r="J475" s="12">
        <v>89.321460000000002</v>
      </c>
      <c r="T475" s="5">
        <f t="shared" si="111"/>
        <v>37495.881643228706</v>
      </c>
      <c r="U475" s="5">
        <f t="shared" si="112"/>
        <v>4580.6385391953563</v>
      </c>
      <c r="V475" s="5" t="str">
        <f t="shared" si="113"/>
        <v>n/a</v>
      </c>
      <c r="W475" s="5" t="str">
        <f t="shared" si="114"/>
        <v>n/a</v>
      </c>
      <c r="X475" s="6" t="str">
        <f t="shared" si="115"/>
        <v>n/a</v>
      </c>
      <c r="Y475" s="16">
        <f t="shared" si="116"/>
        <v>0.10886448117229884</v>
      </c>
      <c r="Z475" s="16">
        <f t="shared" si="117"/>
        <v>0.89113551882770115</v>
      </c>
      <c r="AA475" s="16" t="e">
        <f t="shared" si="118"/>
        <v>#VALUE!</v>
      </c>
      <c r="AB475" s="16" t="e">
        <f t="shared" si="119"/>
        <v>#VALUE!</v>
      </c>
      <c r="AC475" s="18" t="e">
        <f t="shared" si="120"/>
        <v>#VALUE!</v>
      </c>
      <c r="AD475" s="16">
        <f t="shared" si="121"/>
        <v>1.4704538154781895E-2</v>
      </c>
      <c r="AE475" s="16">
        <f t="shared" si="122"/>
        <v>0.98529546184521821</v>
      </c>
      <c r="AF475" s="16" t="e">
        <f t="shared" si="123"/>
        <v>#VALUE!</v>
      </c>
      <c r="AG475" s="16" t="e">
        <f t="shared" si="124"/>
        <v>#VALUE!</v>
      </c>
      <c r="AH475" s="16" t="e">
        <f t="shared" si="125"/>
        <v>#VALUE!</v>
      </c>
    </row>
    <row r="476" spans="1:34" x14ac:dyDescent="0.25">
      <c r="A476" s="12">
        <v>69668</v>
      </c>
      <c r="B476" s="13">
        <v>44.463940000000001</v>
      </c>
      <c r="C476" s="12">
        <v>89.298400000000001</v>
      </c>
      <c r="D476" s="13">
        <v>0</v>
      </c>
      <c r="T476" s="5">
        <f t="shared" si="111"/>
        <v>32650478.671883892</v>
      </c>
      <c r="U476" s="5">
        <f t="shared" si="112"/>
        <v>32650478.671883892</v>
      </c>
      <c r="V476" s="5" t="str">
        <f t="shared" si="113"/>
        <v>n/a</v>
      </c>
      <c r="W476" s="5" t="str">
        <f t="shared" si="114"/>
        <v>n/a</v>
      </c>
      <c r="X476" s="6" t="str">
        <f t="shared" si="115"/>
        <v>n/a</v>
      </c>
      <c r="Y476" s="16" t="str">
        <f t="shared" si="116"/>
        <v>error</v>
      </c>
      <c r="Z476" s="16" t="str">
        <f t="shared" si="117"/>
        <v>error</v>
      </c>
      <c r="AA476" s="16" t="str">
        <f t="shared" si="118"/>
        <v>error</v>
      </c>
      <c r="AB476" s="16" t="str">
        <f t="shared" si="119"/>
        <v>error</v>
      </c>
      <c r="AC476" s="18" t="str">
        <f t="shared" si="120"/>
        <v>error</v>
      </c>
      <c r="AD476" s="16" t="str">
        <f t="shared" si="121"/>
        <v>error</v>
      </c>
      <c r="AE476" s="16" t="str">
        <f t="shared" si="122"/>
        <v>error</v>
      </c>
      <c r="AF476" s="16" t="str">
        <f t="shared" si="123"/>
        <v>error</v>
      </c>
      <c r="AG476" s="16" t="str">
        <f t="shared" si="124"/>
        <v>error</v>
      </c>
      <c r="AH476" s="16" t="str">
        <f t="shared" si="125"/>
        <v>error</v>
      </c>
    </row>
    <row r="477" spans="1:34" x14ac:dyDescent="0.25">
      <c r="A477" s="12">
        <v>69669</v>
      </c>
      <c r="B477" s="13">
        <v>44.464388300000003</v>
      </c>
      <c r="C477" s="12">
        <v>89.298195000000007</v>
      </c>
      <c r="D477" s="14">
        <v>3</v>
      </c>
      <c r="E477" s="13" t="s">
        <v>42</v>
      </c>
      <c r="F477" s="13">
        <v>44.472119999999997</v>
      </c>
      <c r="G477" s="12">
        <v>89.482460000000003</v>
      </c>
      <c r="H477" s="13" t="s">
        <v>41</v>
      </c>
      <c r="I477" s="13">
        <v>44.453830000000004</v>
      </c>
      <c r="J477" s="12">
        <v>89.282889999999995</v>
      </c>
      <c r="K477" s="13" t="s">
        <v>43</v>
      </c>
      <c r="L477" s="13">
        <v>44.43627</v>
      </c>
      <c r="M477" s="12">
        <v>89.307379999999995</v>
      </c>
      <c r="T477" s="5">
        <f t="shared" si="111"/>
        <v>48055.218335378973</v>
      </c>
      <c r="U477" s="5">
        <f t="shared" si="112"/>
        <v>5542.3979443279277</v>
      </c>
      <c r="V477" s="5">
        <f t="shared" si="113"/>
        <v>10533.112717170972</v>
      </c>
      <c r="W477" s="5" t="str">
        <f t="shared" si="114"/>
        <v>n/a</v>
      </c>
      <c r="X477" s="6" t="str">
        <f t="shared" si="115"/>
        <v>n/a</v>
      </c>
      <c r="Y477" s="16">
        <f t="shared" si="116"/>
        <v>7.0260372197693641E-2</v>
      </c>
      <c r="Z477" s="16">
        <f t="shared" si="117"/>
        <v>0.60919074382606042</v>
      </c>
      <c r="AA477" s="16">
        <f t="shared" si="118"/>
        <v>0.32054888397624592</v>
      </c>
      <c r="AB477" s="16" t="e">
        <f t="shared" si="119"/>
        <v>#VALUE!</v>
      </c>
      <c r="AC477" s="18" t="e">
        <f t="shared" si="120"/>
        <v>#VALUE!</v>
      </c>
      <c r="AD477" s="16">
        <f t="shared" si="121"/>
        <v>1.0310160302451764E-2</v>
      </c>
      <c r="AE477" s="16">
        <f t="shared" si="122"/>
        <v>0.77508818617242525</v>
      </c>
      <c r="AF477" s="16">
        <f t="shared" si="123"/>
        <v>0.21460165352512298</v>
      </c>
      <c r="AG477" s="16" t="e">
        <f t="shared" si="124"/>
        <v>#VALUE!</v>
      </c>
      <c r="AH477" s="16" t="e">
        <f t="shared" si="125"/>
        <v>#VALUE!</v>
      </c>
    </row>
    <row r="478" spans="1:34" x14ac:dyDescent="0.25">
      <c r="A478" s="12">
        <v>69970</v>
      </c>
      <c r="B478" s="13">
        <v>44.476783300000001</v>
      </c>
      <c r="C478" s="12">
        <v>89.498333299999999</v>
      </c>
      <c r="D478" s="14">
        <v>2</v>
      </c>
      <c r="E478" s="13" t="s">
        <v>42</v>
      </c>
      <c r="F478" s="13">
        <v>44.469279999999998</v>
      </c>
      <c r="G478" s="12">
        <v>89.497129999999999</v>
      </c>
      <c r="H478" s="13" t="s">
        <v>39</v>
      </c>
      <c r="I478" s="13">
        <v>44.495849999999997</v>
      </c>
      <c r="J478" s="12">
        <v>89.549909999999997</v>
      </c>
      <c r="T478" s="5">
        <f t="shared" si="111"/>
        <v>2755.1646518492903</v>
      </c>
      <c r="U478" s="5">
        <f t="shared" si="112"/>
        <v>15118.683787915787</v>
      </c>
      <c r="V478" s="5" t="str">
        <f t="shared" si="113"/>
        <v>n/a</v>
      </c>
      <c r="W478" s="5" t="str">
        <f t="shared" si="114"/>
        <v>n/a</v>
      </c>
      <c r="X478" s="6" t="str">
        <f t="shared" si="115"/>
        <v>n/a</v>
      </c>
      <c r="Y478" s="16">
        <f t="shared" si="116"/>
        <v>0.84585498410517446</v>
      </c>
      <c r="Z478" s="16">
        <f t="shared" si="117"/>
        <v>0.15414501589482554</v>
      </c>
      <c r="AA478" s="16" t="e">
        <f t="shared" si="118"/>
        <v>#VALUE!</v>
      </c>
      <c r="AB478" s="16" t="e">
        <f t="shared" si="119"/>
        <v>#VALUE!</v>
      </c>
      <c r="AC478" s="18" t="e">
        <f t="shared" si="120"/>
        <v>#VALUE!</v>
      </c>
      <c r="AD478" s="16">
        <f t="shared" si="121"/>
        <v>0.96785757767891401</v>
      </c>
      <c r="AE478" s="16">
        <f t="shared" si="122"/>
        <v>3.2142422321086078E-2</v>
      </c>
      <c r="AF478" s="16" t="e">
        <f t="shared" si="123"/>
        <v>#VALUE!</v>
      </c>
      <c r="AG478" s="16" t="e">
        <f t="shared" si="124"/>
        <v>#VALUE!</v>
      </c>
      <c r="AH478" s="16" t="e">
        <f t="shared" si="125"/>
        <v>#VALUE!</v>
      </c>
    </row>
    <row r="479" spans="1:34" x14ac:dyDescent="0.25">
      <c r="A479" s="12">
        <v>69990</v>
      </c>
      <c r="B479" s="13">
        <v>44.534466700000003</v>
      </c>
      <c r="C479" s="12">
        <v>89.485116700000006</v>
      </c>
      <c r="D479" s="14">
        <v>4</v>
      </c>
      <c r="E479" s="13" t="s">
        <v>42</v>
      </c>
      <c r="F479" s="13">
        <v>44.48265</v>
      </c>
      <c r="G479" s="12">
        <v>89.479759999999999</v>
      </c>
      <c r="H479" s="13" t="s">
        <v>39</v>
      </c>
      <c r="I479" s="13">
        <v>44.534660000000002</v>
      </c>
      <c r="J479" s="12">
        <v>89.52122</v>
      </c>
      <c r="K479" s="13" t="s">
        <v>40</v>
      </c>
      <c r="L479" s="13">
        <v>44.548949999999998</v>
      </c>
      <c r="M479" s="12">
        <v>89.493009999999998</v>
      </c>
      <c r="N479" s="13" t="s">
        <v>41</v>
      </c>
      <c r="O479" s="13">
        <v>44.548099999999998</v>
      </c>
      <c r="P479" s="12">
        <v>89.35521</v>
      </c>
      <c r="T479" s="5">
        <f t="shared" si="111"/>
        <v>18954.694679695476</v>
      </c>
      <c r="U479" s="5">
        <f t="shared" si="112"/>
        <v>9388.8759847056026</v>
      </c>
      <c r="V479" s="5">
        <f t="shared" si="113"/>
        <v>5668.3074257594999</v>
      </c>
      <c r="W479" s="5">
        <f t="shared" si="114"/>
        <v>34142.349065379312</v>
      </c>
      <c r="X479" s="6" t="str">
        <f t="shared" si="115"/>
        <v>n/a</v>
      </c>
      <c r="Y479" s="16">
        <f t="shared" si="116"/>
        <v>0.1445506452812261</v>
      </c>
      <c r="Z479" s="16">
        <f t="shared" si="117"/>
        <v>0.29182549130714897</v>
      </c>
      <c r="AA479" s="16">
        <f t="shared" si="118"/>
        <v>0.48337416114855164</v>
      </c>
      <c r="AB479" s="16">
        <f t="shared" si="119"/>
        <v>8.024970226307318E-2</v>
      </c>
      <c r="AC479" s="18" t="e">
        <f t="shared" si="120"/>
        <v>#VALUE!</v>
      </c>
      <c r="AD479" s="16">
        <f t="shared" si="121"/>
        <v>6.0364101910542201E-2</v>
      </c>
      <c r="AE479" s="16">
        <f t="shared" si="122"/>
        <v>0.24602833351452136</v>
      </c>
      <c r="AF479" s="16">
        <f t="shared" si="123"/>
        <v>0.67500274195506837</v>
      </c>
      <c r="AG479" s="16">
        <f t="shared" si="124"/>
        <v>1.8604822619868074E-2</v>
      </c>
      <c r="AH479" s="16" t="e">
        <f t="shared" si="125"/>
        <v>#VALUE!</v>
      </c>
    </row>
    <row r="480" spans="1:34" x14ac:dyDescent="0.25">
      <c r="A480" s="12">
        <v>70117</v>
      </c>
      <c r="B480" s="13">
        <v>44.497100000000003</v>
      </c>
      <c r="C480" s="12">
        <v>89.507433399999996</v>
      </c>
      <c r="D480" s="13">
        <v>0</v>
      </c>
      <c r="T480" s="5">
        <f t="shared" si="111"/>
        <v>32704974.792859413</v>
      </c>
      <c r="U480" s="5">
        <f t="shared" si="112"/>
        <v>32704974.792859413</v>
      </c>
      <c r="V480" s="5" t="str">
        <f t="shared" si="113"/>
        <v>n/a</v>
      </c>
      <c r="W480" s="5" t="str">
        <f t="shared" si="114"/>
        <v>n/a</v>
      </c>
      <c r="X480" s="6" t="str">
        <f t="shared" si="115"/>
        <v>n/a</v>
      </c>
      <c r="Y480" s="16" t="str">
        <f t="shared" si="116"/>
        <v>error</v>
      </c>
      <c r="Z480" s="16" t="str">
        <f t="shared" si="117"/>
        <v>error</v>
      </c>
      <c r="AA480" s="16" t="str">
        <f t="shared" si="118"/>
        <v>error</v>
      </c>
      <c r="AB480" s="16" t="str">
        <f t="shared" si="119"/>
        <v>error</v>
      </c>
      <c r="AC480" s="18" t="str">
        <f t="shared" si="120"/>
        <v>error</v>
      </c>
      <c r="AD480" s="16" t="str">
        <f t="shared" si="121"/>
        <v>error</v>
      </c>
      <c r="AE480" s="16" t="str">
        <f t="shared" si="122"/>
        <v>error</v>
      </c>
      <c r="AF480" s="16" t="str">
        <f t="shared" si="123"/>
        <v>error</v>
      </c>
      <c r="AG480" s="16" t="str">
        <f t="shared" si="124"/>
        <v>error</v>
      </c>
      <c r="AH480" s="16" t="str">
        <f t="shared" si="125"/>
        <v>error</v>
      </c>
    </row>
    <row r="481" spans="1:34" x14ac:dyDescent="0.25">
      <c r="A481" s="12">
        <v>70118</v>
      </c>
      <c r="B481" s="13">
        <v>44.496589999999998</v>
      </c>
      <c r="C481" s="12">
        <v>89.506834999999995</v>
      </c>
      <c r="D481" s="13">
        <v>0</v>
      </c>
      <c r="T481" s="5">
        <f t="shared" si="111"/>
        <v>32704817.960148081</v>
      </c>
      <c r="U481" s="5">
        <f t="shared" si="112"/>
        <v>32704817.960148081</v>
      </c>
      <c r="V481" s="5" t="str">
        <f t="shared" si="113"/>
        <v>n/a</v>
      </c>
      <c r="W481" s="5" t="str">
        <f t="shared" si="114"/>
        <v>n/a</v>
      </c>
      <c r="X481" s="6" t="str">
        <f t="shared" si="115"/>
        <v>n/a</v>
      </c>
      <c r="Y481" s="16" t="str">
        <f t="shared" si="116"/>
        <v>error</v>
      </c>
      <c r="Z481" s="16" t="str">
        <f t="shared" si="117"/>
        <v>error</v>
      </c>
      <c r="AA481" s="16" t="str">
        <f t="shared" si="118"/>
        <v>error</v>
      </c>
      <c r="AB481" s="16" t="str">
        <f t="shared" si="119"/>
        <v>error</v>
      </c>
      <c r="AC481" s="18" t="str">
        <f t="shared" si="120"/>
        <v>error</v>
      </c>
      <c r="AD481" s="16" t="str">
        <f t="shared" si="121"/>
        <v>error</v>
      </c>
      <c r="AE481" s="16" t="str">
        <f t="shared" si="122"/>
        <v>error</v>
      </c>
      <c r="AF481" s="16" t="str">
        <f t="shared" si="123"/>
        <v>error</v>
      </c>
      <c r="AG481" s="16" t="str">
        <f t="shared" si="124"/>
        <v>error</v>
      </c>
      <c r="AH481" s="16" t="str">
        <f t="shared" si="125"/>
        <v>error</v>
      </c>
    </row>
    <row r="482" spans="1:34" x14ac:dyDescent="0.25">
      <c r="A482" s="12">
        <v>70119</v>
      </c>
      <c r="B482" s="13">
        <v>44.4900667</v>
      </c>
      <c r="C482" s="12">
        <v>89.507349899999994</v>
      </c>
      <c r="D482" s="14">
        <v>2</v>
      </c>
      <c r="E482" s="13" t="s">
        <v>42</v>
      </c>
      <c r="F482" s="13">
        <v>44.472000000000001</v>
      </c>
      <c r="G482" s="12">
        <v>89.520039999999995</v>
      </c>
      <c r="H482" s="13" t="s">
        <v>39</v>
      </c>
      <c r="I482" s="13">
        <v>44.497709999999998</v>
      </c>
      <c r="J482" s="12">
        <v>89.547160000000005</v>
      </c>
      <c r="T482" s="5">
        <f t="shared" si="111"/>
        <v>7372.3189307199045</v>
      </c>
      <c r="U482" s="5">
        <f t="shared" si="112"/>
        <v>10728.477158662748</v>
      </c>
      <c r="V482" s="5" t="str">
        <f t="shared" si="113"/>
        <v>n/a</v>
      </c>
      <c r="W482" s="5" t="str">
        <f t="shared" si="114"/>
        <v>n/a</v>
      </c>
      <c r="X482" s="6" t="str">
        <f t="shared" si="115"/>
        <v>n/a</v>
      </c>
      <c r="Y482" s="16">
        <f t="shared" si="116"/>
        <v>0.5927074757201275</v>
      </c>
      <c r="Z482" s="16">
        <f t="shared" si="117"/>
        <v>0.40729252427987245</v>
      </c>
      <c r="AA482" s="16" t="e">
        <f t="shared" si="118"/>
        <v>#VALUE!</v>
      </c>
      <c r="AB482" s="16" t="e">
        <f t="shared" si="119"/>
        <v>#VALUE!</v>
      </c>
      <c r="AC482" s="18" t="e">
        <f t="shared" si="120"/>
        <v>#VALUE!</v>
      </c>
      <c r="AD482" s="16">
        <f t="shared" si="121"/>
        <v>0.67925248333539856</v>
      </c>
      <c r="AE482" s="16">
        <f t="shared" si="122"/>
        <v>0.3207475166646015</v>
      </c>
      <c r="AF482" s="16" t="e">
        <f t="shared" si="123"/>
        <v>#VALUE!</v>
      </c>
      <c r="AG482" s="16" t="e">
        <f t="shared" si="124"/>
        <v>#VALUE!</v>
      </c>
      <c r="AH482" s="16" t="e">
        <f t="shared" si="125"/>
        <v>#VALUE!</v>
      </c>
    </row>
    <row r="483" spans="1:34" x14ac:dyDescent="0.25">
      <c r="A483" s="12">
        <v>70120</v>
      </c>
      <c r="B483" s="13">
        <v>44.497341900000002</v>
      </c>
      <c r="C483" s="12">
        <v>89.502360499999995</v>
      </c>
      <c r="D483" s="14">
        <v>2</v>
      </c>
      <c r="E483" s="13" t="s">
        <v>42</v>
      </c>
      <c r="F483" s="13">
        <v>44.482469999999999</v>
      </c>
      <c r="G483" s="12">
        <v>89.479839999999996</v>
      </c>
      <c r="H483" s="13" t="s">
        <v>39</v>
      </c>
      <c r="I483" s="13">
        <v>44.506900000000002</v>
      </c>
      <c r="J483" s="12">
        <v>89.541250000000005</v>
      </c>
      <c r="T483" s="5">
        <f t="shared" si="111"/>
        <v>7986.6076366018769</v>
      </c>
      <c r="U483" s="5">
        <f t="shared" si="112"/>
        <v>10702.734051056954</v>
      </c>
      <c r="V483" s="5" t="str">
        <f t="shared" si="113"/>
        <v>n/a</v>
      </c>
      <c r="W483" s="5" t="str">
        <f t="shared" si="114"/>
        <v>n/a</v>
      </c>
      <c r="X483" s="6" t="str">
        <f t="shared" si="115"/>
        <v>n/a</v>
      </c>
      <c r="Y483" s="16">
        <f t="shared" si="116"/>
        <v>0.57266511736602854</v>
      </c>
      <c r="Z483" s="16">
        <f t="shared" si="117"/>
        <v>0.42733488263397146</v>
      </c>
      <c r="AA483" s="16" t="e">
        <f t="shared" si="118"/>
        <v>#VALUE!</v>
      </c>
      <c r="AB483" s="16" t="e">
        <f t="shared" si="119"/>
        <v>#VALUE!</v>
      </c>
      <c r="AC483" s="18" t="e">
        <f t="shared" si="120"/>
        <v>#VALUE!</v>
      </c>
      <c r="AD483" s="16">
        <f t="shared" si="121"/>
        <v>0.64232422232019715</v>
      </c>
      <c r="AE483" s="16">
        <f t="shared" si="122"/>
        <v>0.35767577767980274</v>
      </c>
      <c r="AF483" s="16" t="e">
        <f t="shared" si="123"/>
        <v>#VALUE!</v>
      </c>
      <c r="AG483" s="16" t="e">
        <f t="shared" si="124"/>
        <v>#VALUE!</v>
      </c>
      <c r="AH483" s="16" t="e">
        <f t="shared" si="125"/>
        <v>#VALUE!</v>
      </c>
    </row>
    <row r="484" spans="1:34" x14ac:dyDescent="0.25">
      <c r="A484" s="12">
        <v>70185</v>
      </c>
      <c r="B484" s="13">
        <v>44.481945000000003</v>
      </c>
      <c r="C484" s="12">
        <v>89.459055000000006</v>
      </c>
      <c r="D484" s="13">
        <v>0</v>
      </c>
      <c r="T484" s="5">
        <f t="shared" ref="T484:T547" si="126">ACOS( SIN($B484*PI()/180)*SIN(F484*PI()/180) + COS($B484*PI()/180) *COS(F484*PI()/180) *COS(G484*PI()/180 - $C484*PI()/180))*20902230.97</f>
        <v>32692349.640715797</v>
      </c>
      <c r="U484" s="5">
        <f t="shared" ref="U484:U547" si="127">ACOS( SIN($B484*PI()/180)*SIN(I484*PI()/180) + COS($B484*PI()/180) *COS(I484*PI()/180) *COS(J484*PI()/180 - $C484*PI()/180))*20902230.97</f>
        <v>32692349.640715797</v>
      </c>
      <c r="V484" s="5" t="str">
        <f t="shared" ref="V484:V547" si="128">IF(D484&lt;3,"n/a",ACOS( SIN($B484*PI()/180)*SIN(L484*PI()/180) + COS($B484*PI()/180) *COS(L484*PI()/180) *COS(M484*PI()/180 - $C484*PI()/180))*20902230.97)</f>
        <v>n/a</v>
      </c>
      <c r="W484" s="5" t="str">
        <f t="shared" ref="W484:W547" si="129">IF(D484&lt;4,"n/a",ACOS( SIN($B484*PI()/180)*SIN(O484*PI()/180) + COS($B484*PI()/180) *COS(O484*PI()/180) *COS(P484*PI()/180 - $C484*PI()/180))*20902230.97)</f>
        <v>n/a</v>
      </c>
      <c r="X484" s="6" t="str">
        <f t="shared" ref="X484:X547" si="130">IF(D484&lt;5,"n/a", ACOS( SIN($B484*PI()/180)*SIN(R484*PI()/180) + COS($B484*PI()/180) *COS(R484*PI()/180) *COS(S484*PI()/180 - $C484*PI()/180))*20902230.97)</f>
        <v>n/a</v>
      </c>
      <c r="Y484" s="16" t="str">
        <f t="shared" ref="Y484:Y547" si="131">IF($D484=2,(1/T484)/((1/$T484)+(1/$U484)),IF($D484=3,(1/T484)/((1/$T484)+(1/$U484)+(1/$V484)),IF($D484=4,(1/T484)/((1/$T484)+(1/$U484)+(1/$V484)+(1/$W484)),IF($D484=5,(1/T484)/((1/$T484)+(1/$U484)+(1/$V484)+(1/$W484)+(1/$X484)),"error"))))</f>
        <v>error</v>
      </c>
      <c r="Z484" s="16" t="str">
        <f t="shared" ref="Z484:Z547" si="132">IF($D484=2,(1/U484)/((1/$T484)+(1/$U484)),IF($D484=3,(1/U484)/((1/$T484)+(1/$U484)+(1/$V484)),IF($D484=4,(1/U484)/((1/$T484)+(1/$U484)+(1/$V484)+(1/$W484)),IF($D484=5,(1/U484)/((1/$T484)+(1/$U484)+(1/$V484)+(1/$W484)+(1/$X484)),"error"))))</f>
        <v>error</v>
      </c>
      <c r="AA484" s="16" t="str">
        <f t="shared" ref="AA484:AA547" si="133">IF($D484=2,(1/V484)/((1/$T484)+(1/$U484)),IF($D484=3,(1/V484)/((1/$T484)+(1/$U484)+(1/$V484)),IF($D484=4,(1/V484)/((1/$T484)+(1/$U484)+(1/$V484)+(1/$W484)),IF($D484=5,(1/V484)/((1/$T484)+(1/$U484)+(1/$V484)+(1/$W484)+(1/$X484)),"error"))))</f>
        <v>error</v>
      </c>
      <c r="AB484" s="16" t="str">
        <f t="shared" ref="AB484:AB547" si="134">IF($D484=2,(1/W484)/((1/$T484)+(1/$U484)),IF($D484=3,(1/W484)/((1/$T484)+(1/$U484)+(1/$V484)),IF($D484=4,(1/W484)/((1/$T484)+(1/$U484)+(1/$V484)+(1/$W484)),IF($D484=5,(1/W484)/((1/$T484)+(1/$U484)+(1/$V484)+(1/$W484)+(1/$X484)),"error"))))</f>
        <v>error</v>
      </c>
      <c r="AC484" s="18" t="str">
        <f t="shared" ref="AC484:AC547" si="135">IF($D484=2,(1/X484)/((1/$T484)+(1/$U484)),IF($D484=3,(1/X484)/((1/$T484)+(1/$U484)+(1/$V484)),IF($D484=4,(1/X484)/((1/$T484)+(1/$U484)+(1/$V484)+(1/$W484)),IF($D484=5,(1/X484)/((1/$T484)+(1/$U484)+(1/$V484)+(1/$W484)+(1/$X484)),"error"))))</f>
        <v>error</v>
      </c>
      <c r="AD484" s="16" t="str">
        <f t="shared" ref="AD484:AD547" si="136">IF($D484=2,(1/T484^2)/((1/$T484^2)+(1/$U484^2)),IF($D484=3,(1/T484^2)/((1/$T484^2)+(1/$U484^2)+(1/$V484^2)),IF($D484=4,(1/T484^2)/((1/$T484^2)+(1/$U484^2)+(1/$V484^2)+(1/$W484^2)),IF($D484=5,(1/T484^2)/((1/$T484^2)+(1/$U484^2)+(1/$V484^2)+(1/$W484^2)+(1/$X484^2)),"error"))))</f>
        <v>error</v>
      </c>
      <c r="AE484" s="16" t="str">
        <f t="shared" ref="AE484:AE547" si="137">IF($D484=2,(1/U484^2)/((1/$T484^2)+(1/$U484^2)),IF($D484=3,(1/U484^2)/((1/$T484^2)+(1/$U484^2)+(1/$V484^2)),IF($D484=4,(1/U484^2)/((1/$T484^2)+(1/$U484^2)+(1/$V484^2)+(1/$W484^2)),IF($D484=5,(1/U484^2)/((1/$T484^2)+(1/$U484^2)+(1/$V484^2)+(1/$W484^2)+(1/$X484^2)),"error"))))</f>
        <v>error</v>
      </c>
      <c r="AF484" s="16" t="str">
        <f t="shared" ref="AF484:AF547" si="138">IF($D484=2,(1/V484^2)/((1/$T484^2)+(1/$U484^2)),IF($D484=3,(1/V484^2)/((1/$T484^2)+(1/$U484^2)+(1/$V484^2)),IF($D484=4,(1/V484^2)/((1/$T484^2)+(1/$U484^2)+(1/$V484^2)+(1/$W484^2)),IF($D484=5,(1/V484^2)/((1/$T484^2)+(1/$U484^2)+(1/$V484^2)+(1/$W484^2)+(1/$X484^2)),"error"))))</f>
        <v>error</v>
      </c>
      <c r="AG484" s="16" t="str">
        <f t="shared" ref="AG484:AG547" si="139">IF($D484=2,(1/W484^2)/((1/$T484^2)+(1/$U484^2)),IF($D484=3,(1/W484^2)/((1/$T484^2)+(1/$U484^2)+(1/$V484^2)),IF($D484=4,(1/W484^2)/((1/$T484^2)+(1/$U484^2)+(1/$V484^2)+(1/$W484^2)),IF($D484=5,(1/W484^2)/((1/$T484^2)+(1/$U484^2)+(1/$V484^2)+(1/$W484^2)+(1/$X484^2)),"error"))))</f>
        <v>error</v>
      </c>
      <c r="AH484" s="16" t="str">
        <f t="shared" ref="AH484:AH547" si="140">IF($D484=2,(1/X484^2)/((1/$T484^2)+(1/$U484^2)),IF($D484=3,(1/X484^2)/((1/$T484^2)+(1/$U484^2)+(1/$V484^2)),IF($D484=4,(1/X484^2)/((1/$T484^2)+(1/$U484^2)+(1/$V484^2)+(1/$W484^2)),IF($D484=5,(1/X484^2)/((1/$T484^2)+(1/$U484^2)+(1/$V484^2)+(1/$W484^2)+(1/$X484^2)),"error"))))</f>
        <v>error</v>
      </c>
    </row>
    <row r="485" spans="1:34" x14ac:dyDescent="0.25">
      <c r="A485" s="12">
        <v>70186</v>
      </c>
      <c r="B485" s="13">
        <v>44.484013300000001</v>
      </c>
      <c r="C485" s="12">
        <v>89.461961700000003</v>
      </c>
      <c r="D485" s="14">
        <v>3</v>
      </c>
      <c r="E485" s="13" t="s">
        <v>42</v>
      </c>
      <c r="F485" s="13">
        <v>44.481520000000003</v>
      </c>
      <c r="G485" s="12">
        <v>89.479870000000005</v>
      </c>
      <c r="H485" s="13" t="s">
        <v>41</v>
      </c>
      <c r="I485" s="13">
        <v>44.489049999999999</v>
      </c>
      <c r="J485" s="12">
        <v>89.307159999999996</v>
      </c>
      <c r="K485" s="13" t="s">
        <v>43</v>
      </c>
      <c r="L485" s="13">
        <v>44.436599999999999</v>
      </c>
      <c r="M485" s="12">
        <v>89.375630000000001</v>
      </c>
      <c r="T485" s="5">
        <f t="shared" si="126"/>
        <v>4749.0879508178768</v>
      </c>
      <c r="U485" s="5">
        <f t="shared" si="127"/>
        <v>40331.020592270761</v>
      </c>
      <c r="V485" s="5">
        <f t="shared" si="128"/>
        <v>28363.57884361687</v>
      </c>
      <c r="W485" s="5" t="str">
        <f t="shared" si="129"/>
        <v>n/a</v>
      </c>
      <c r="X485" s="6" t="str">
        <f t="shared" si="130"/>
        <v>n/a</v>
      </c>
      <c r="Y485" s="16">
        <f t="shared" si="131"/>
        <v>0.77809575363200467</v>
      </c>
      <c r="Z485" s="16">
        <f t="shared" si="132"/>
        <v>9.1622902517485116E-2</v>
      </c>
      <c r="AA485" s="16">
        <f t="shared" si="133"/>
        <v>0.13028134385051029</v>
      </c>
      <c r="AB485" s="16" t="e">
        <f t="shared" si="134"/>
        <v>#VALUE!</v>
      </c>
      <c r="AC485" s="18" t="e">
        <f t="shared" si="135"/>
        <v>#VALUE!</v>
      </c>
      <c r="AD485" s="16">
        <f t="shared" si="136"/>
        <v>0.95978448772521419</v>
      </c>
      <c r="AE485" s="16">
        <f t="shared" si="137"/>
        <v>1.330808994200435E-2</v>
      </c>
      <c r="AF485" s="16">
        <f t="shared" si="138"/>
        <v>2.6907422332781507E-2</v>
      </c>
      <c r="AG485" s="16" t="e">
        <f t="shared" si="139"/>
        <v>#VALUE!</v>
      </c>
      <c r="AH485" s="16" t="e">
        <f t="shared" si="140"/>
        <v>#VALUE!</v>
      </c>
    </row>
    <row r="486" spans="1:34" x14ac:dyDescent="0.25">
      <c r="A486" s="12">
        <v>70188</v>
      </c>
      <c r="B486" s="13">
        <v>44.431699999999999</v>
      </c>
      <c r="C486" s="12">
        <v>89.637283300000007</v>
      </c>
      <c r="D486" s="14">
        <v>0</v>
      </c>
      <c r="T486" s="5">
        <f t="shared" si="126"/>
        <v>32738657.523760814</v>
      </c>
      <c r="U486" s="5">
        <f t="shared" si="127"/>
        <v>32738657.523760814</v>
      </c>
      <c r="V486" s="5" t="str">
        <f t="shared" si="128"/>
        <v>n/a</v>
      </c>
      <c r="W486" s="5" t="str">
        <f t="shared" si="129"/>
        <v>n/a</v>
      </c>
      <c r="X486" s="6" t="str">
        <f t="shared" si="130"/>
        <v>n/a</v>
      </c>
      <c r="Y486" s="16" t="str">
        <f t="shared" si="131"/>
        <v>error</v>
      </c>
      <c r="Z486" s="16" t="str">
        <f t="shared" si="132"/>
        <v>error</v>
      </c>
      <c r="AA486" s="16" t="str">
        <f t="shared" si="133"/>
        <v>error</v>
      </c>
      <c r="AB486" s="16" t="str">
        <f t="shared" si="134"/>
        <v>error</v>
      </c>
      <c r="AC486" s="18" t="str">
        <f t="shared" si="135"/>
        <v>error</v>
      </c>
      <c r="AD486" s="16" t="str">
        <f t="shared" si="136"/>
        <v>error</v>
      </c>
      <c r="AE486" s="16" t="str">
        <f t="shared" si="137"/>
        <v>error</v>
      </c>
      <c r="AF486" s="16" t="str">
        <f t="shared" si="138"/>
        <v>error</v>
      </c>
      <c r="AG486" s="16" t="str">
        <f t="shared" si="139"/>
        <v>error</v>
      </c>
      <c r="AH486" s="16" t="str">
        <f t="shared" si="140"/>
        <v>error</v>
      </c>
    </row>
    <row r="487" spans="1:34" x14ac:dyDescent="0.25">
      <c r="A487" s="12">
        <v>70191</v>
      </c>
      <c r="B487" s="13">
        <v>44.544550000000001</v>
      </c>
      <c r="C487" s="12">
        <v>89.447650100000004</v>
      </c>
      <c r="D487" s="14">
        <v>4</v>
      </c>
      <c r="E487" s="13" t="s">
        <v>42</v>
      </c>
      <c r="F487" s="13">
        <v>44.481119999999997</v>
      </c>
      <c r="G487" s="12">
        <v>89.479669999999999</v>
      </c>
      <c r="H487" s="13" t="s">
        <v>39</v>
      </c>
      <c r="I487" s="13">
        <v>44.558810000000001</v>
      </c>
      <c r="J487" s="12">
        <v>89.506240000000005</v>
      </c>
      <c r="K487" s="13" t="s">
        <v>40</v>
      </c>
      <c r="L487" s="13">
        <v>44.554780000000001</v>
      </c>
      <c r="M487" s="13">
        <v>89.461330000000004</v>
      </c>
      <c r="N487" s="13" t="s">
        <v>41</v>
      </c>
      <c r="O487" s="13">
        <v>44.54806</v>
      </c>
      <c r="P487" s="12">
        <v>89.354929999999996</v>
      </c>
      <c r="T487" s="5">
        <f t="shared" si="126"/>
        <v>24593.680005411115</v>
      </c>
      <c r="U487" s="5">
        <f t="shared" si="127"/>
        <v>16095.623315565224</v>
      </c>
      <c r="V487" s="5">
        <f t="shared" si="128"/>
        <v>5155.2773595146919</v>
      </c>
      <c r="W487" s="5">
        <f t="shared" si="129"/>
        <v>24140.849459644014</v>
      </c>
      <c r="X487" s="6" t="str">
        <f t="shared" si="130"/>
        <v>n/a</v>
      </c>
      <c r="Y487" s="16">
        <f t="shared" si="131"/>
        <v>0.12023111871910504</v>
      </c>
      <c r="Z487" s="16">
        <f t="shared" si="132"/>
        <v>0.18370991930525468</v>
      </c>
      <c r="AA487" s="16">
        <f t="shared" si="133"/>
        <v>0.57357256540482682</v>
      </c>
      <c r="AB487" s="16">
        <f t="shared" si="134"/>
        <v>0.12248639657081342</v>
      </c>
      <c r="AC487" s="18" t="e">
        <f t="shared" si="135"/>
        <v>#VALUE!</v>
      </c>
      <c r="AD487" s="16">
        <f t="shared" si="136"/>
        <v>3.68581598101528E-2</v>
      </c>
      <c r="AE487" s="16">
        <f t="shared" si="137"/>
        <v>8.6052815703568444E-2</v>
      </c>
      <c r="AF487" s="16">
        <f t="shared" si="138"/>
        <v>0.83883513586024572</v>
      </c>
      <c r="AG487" s="16">
        <f t="shared" si="139"/>
        <v>3.8253888626033038E-2</v>
      </c>
      <c r="AH487" s="16" t="e">
        <f t="shared" si="140"/>
        <v>#VALUE!</v>
      </c>
    </row>
    <row r="488" spans="1:34" x14ac:dyDescent="0.25">
      <c r="A488" s="12">
        <v>70263</v>
      </c>
      <c r="B488" s="13">
        <v>44.479528299999998</v>
      </c>
      <c r="C488" s="12">
        <v>89.329500100000004</v>
      </c>
      <c r="D488" s="14">
        <v>4</v>
      </c>
      <c r="E488" s="13" t="s">
        <v>42</v>
      </c>
      <c r="F488" s="13">
        <v>44.472119999999997</v>
      </c>
      <c r="G488" s="12">
        <v>89.482460000000003</v>
      </c>
      <c r="H488" s="13" t="s">
        <v>41</v>
      </c>
      <c r="I488" s="13">
        <v>44.474519999999998</v>
      </c>
      <c r="J488" s="12">
        <v>89.295339999999996</v>
      </c>
      <c r="K488" s="13" t="s">
        <v>43</v>
      </c>
      <c r="L488" s="13">
        <v>44.43627</v>
      </c>
      <c r="M488" s="12">
        <v>89.307379999999995</v>
      </c>
      <c r="N488" s="13" t="s">
        <v>45</v>
      </c>
      <c r="O488" s="13">
        <v>44.491999999999997</v>
      </c>
      <c r="P488" s="12">
        <v>89.325400000000002</v>
      </c>
      <c r="T488" s="5">
        <f t="shared" si="126"/>
        <v>39908.714472040403</v>
      </c>
      <c r="U488" s="5">
        <f t="shared" si="127"/>
        <v>9077.8274876482137</v>
      </c>
      <c r="V488" s="5">
        <f t="shared" si="128"/>
        <v>16799.455215531834</v>
      </c>
      <c r="W488" s="5">
        <f t="shared" si="129"/>
        <v>4673.3009228067349</v>
      </c>
      <c r="X488" s="6" t="str">
        <f t="shared" si="130"/>
        <v>n/a</v>
      </c>
      <c r="Y488" s="16">
        <f t="shared" si="131"/>
        <v>6.1306035901718757E-2</v>
      </c>
      <c r="Z488" s="16">
        <f t="shared" si="132"/>
        <v>0.26951879021091674</v>
      </c>
      <c r="AA488" s="16">
        <f t="shared" si="133"/>
        <v>0.14563835855536084</v>
      </c>
      <c r="AB488" s="16">
        <f t="shared" si="134"/>
        <v>0.52353681533200369</v>
      </c>
      <c r="AC488" s="18" t="e">
        <f t="shared" si="135"/>
        <v>#VALUE!</v>
      </c>
      <c r="AD488" s="16">
        <f t="shared" si="136"/>
        <v>1.0111457236160136E-2</v>
      </c>
      <c r="AE488" s="16">
        <f t="shared" si="137"/>
        <v>0.19542736492126528</v>
      </c>
      <c r="AF488" s="16">
        <f t="shared" si="138"/>
        <v>5.7063555760280868E-2</v>
      </c>
      <c r="AG488" s="16">
        <f t="shared" si="139"/>
        <v>0.73739762208229365</v>
      </c>
      <c r="AH488" s="16" t="e">
        <f t="shared" si="140"/>
        <v>#VALUE!</v>
      </c>
    </row>
    <row r="489" spans="1:34" x14ac:dyDescent="0.25">
      <c r="A489" s="12">
        <v>70444</v>
      </c>
      <c r="B489" s="13">
        <v>44.410339999999998</v>
      </c>
      <c r="C489" s="12">
        <v>89.492519999999999</v>
      </c>
      <c r="D489" s="13">
        <v>0</v>
      </c>
      <c r="T489" s="5">
        <f t="shared" si="126"/>
        <v>32700897.830116004</v>
      </c>
      <c r="U489" s="5">
        <f t="shared" si="127"/>
        <v>32700897.830116004</v>
      </c>
      <c r="V489" s="5" t="str">
        <f t="shared" si="128"/>
        <v>n/a</v>
      </c>
      <c r="W489" s="5" t="str">
        <f t="shared" si="129"/>
        <v>n/a</v>
      </c>
      <c r="X489" s="6" t="str">
        <f t="shared" si="130"/>
        <v>n/a</v>
      </c>
      <c r="Y489" s="16" t="str">
        <f t="shared" si="131"/>
        <v>error</v>
      </c>
      <c r="Z489" s="16" t="str">
        <f t="shared" si="132"/>
        <v>error</v>
      </c>
      <c r="AA489" s="16" t="str">
        <f t="shared" si="133"/>
        <v>error</v>
      </c>
      <c r="AB489" s="16" t="str">
        <f t="shared" si="134"/>
        <v>error</v>
      </c>
      <c r="AC489" s="18" t="str">
        <f t="shared" si="135"/>
        <v>error</v>
      </c>
      <c r="AD489" s="16" t="str">
        <f t="shared" si="136"/>
        <v>error</v>
      </c>
      <c r="AE489" s="16" t="str">
        <f t="shared" si="137"/>
        <v>error</v>
      </c>
      <c r="AF489" s="16" t="str">
        <f t="shared" si="138"/>
        <v>error</v>
      </c>
      <c r="AG489" s="16" t="str">
        <f t="shared" si="139"/>
        <v>error</v>
      </c>
      <c r="AH489" s="16" t="str">
        <f t="shared" si="140"/>
        <v>error</v>
      </c>
    </row>
    <row r="490" spans="1:34" x14ac:dyDescent="0.25">
      <c r="A490" s="12">
        <v>70448</v>
      </c>
      <c r="B490" s="13">
        <v>44.4101517</v>
      </c>
      <c r="C490" s="12">
        <v>89.489398300000005</v>
      </c>
      <c r="D490" s="13">
        <v>0</v>
      </c>
      <c r="T490" s="5">
        <f t="shared" si="126"/>
        <v>32700083.894062903</v>
      </c>
      <c r="U490" s="5">
        <f t="shared" si="127"/>
        <v>32700083.894062903</v>
      </c>
      <c r="V490" s="5" t="str">
        <f t="shared" si="128"/>
        <v>n/a</v>
      </c>
      <c r="W490" s="5" t="str">
        <f t="shared" si="129"/>
        <v>n/a</v>
      </c>
      <c r="X490" s="6" t="str">
        <f t="shared" si="130"/>
        <v>n/a</v>
      </c>
      <c r="Y490" s="16" t="str">
        <f t="shared" si="131"/>
        <v>error</v>
      </c>
      <c r="Z490" s="16" t="str">
        <f t="shared" si="132"/>
        <v>error</v>
      </c>
      <c r="AA490" s="16" t="str">
        <f t="shared" si="133"/>
        <v>error</v>
      </c>
      <c r="AB490" s="16" t="str">
        <f t="shared" si="134"/>
        <v>error</v>
      </c>
      <c r="AC490" s="18" t="str">
        <f t="shared" si="135"/>
        <v>error</v>
      </c>
      <c r="AD490" s="16" t="str">
        <f t="shared" si="136"/>
        <v>error</v>
      </c>
      <c r="AE490" s="16" t="str">
        <f t="shared" si="137"/>
        <v>error</v>
      </c>
      <c r="AF490" s="16" t="str">
        <f t="shared" si="138"/>
        <v>error</v>
      </c>
      <c r="AG490" s="16" t="str">
        <f t="shared" si="139"/>
        <v>error</v>
      </c>
      <c r="AH490" s="16" t="str">
        <f t="shared" si="140"/>
        <v>error</v>
      </c>
    </row>
    <row r="491" spans="1:34" x14ac:dyDescent="0.25">
      <c r="A491" s="12">
        <v>70500</v>
      </c>
      <c r="B491" s="13">
        <v>44.423195</v>
      </c>
      <c r="C491" s="12">
        <v>89.677221599999996</v>
      </c>
      <c r="D491" s="14">
        <v>0</v>
      </c>
      <c r="T491" s="5">
        <f t="shared" si="126"/>
        <v>32749049.422784854</v>
      </c>
      <c r="U491" s="5">
        <f t="shared" si="127"/>
        <v>32749049.422784854</v>
      </c>
      <c r="V491" s="5" t="str">
        <f t="shared" si="128"/>
        <v>n/a</v>
      </c>
      <c r="W491" s="5" t="str">
        <f t="shared" si="129"/>
        <v>n/a</v>
      </c>
      <c r="X491" s="6" t="str">
        <f t="shared" si="130"/>
        <v>n/a</v>
      </c>
      <c r="Y491" s="16" t="str">
        <f t="shared" si="131"/>
        <v>error</v>
      </c>
      <c r="Z491" s="16" t="str">
        <f t="shared" si="132"/>
        <v>error</v>
      </c>
      <c r="AA491" s="16" t="str">
        <f t="shared" si="133"/>
        <v>error</v>
      </c>
      <c r="AB491" s="16" t="str">
        <f t="shared" si="134"/>
        <v>error</v>
      </c>
      <c r="AC491" s="18" t="str">
        <f t="shared" si="135"/>
        <v>error</v>
      </c>
      <c r="AD491" s="16" t="str">
        <f t="shared" si="136"/>
        <v>error</v>
      </c>
      <c r="AE491" s="16" t="str">
        <f t="shared" si="137"/>
        <v>error</v>
      </c>
      <c r="AF491" s="16" t="str">
        <f t="shared" si="138"/>
        <v>error</v>
      </c>
      <c r="AG491" s="16" t="str">
        <f t="shared" si="139"/>
        <v>error</v>
      </c>
      <c r="AH491" s="16" t="str">
        <f t="shared" si="140"/>
        <v>error</v>
      </c>
    </row>
    <row r="492" spans="1:34" x14ac:dyDescent="0.25">
      <c r="A492" s="12">
        <v>70502</v>
      </c>
      <c r="B492" s="13">
        <v>44.417693300000003</v>
      </c>
      <c r="C492" s="12">
        <v>89.668666799999997</v>
      </c>
      <c r="D492" s="14">
        <v>0</v>
      </c>
      <c r="T492" s="5">
        <f t="shared" si="126"/>
        <v>32746812.403086394</v>
      </c>
      <c r="U492" s="5">
        <f t="shared" si="127"/>
        <v>32746812.403086394</v>
      </c>
      <c r="V492" s="5" t="str">
        <f t="shared" si="128"/>
        <v>n/a</v>
      </c>
      <c r="W492" s="5" t="str">
        <f t="shared" si="129"/>
        <v>n/a</v>
      </c>
      <c r="X492" s="6" t="str">
        <f t="shared" si="130"/>
        <v>n/a</v>
      </c>
      <c r="Y492" s="16" t="str">
        <f t="shared" si="131"/>
        <v>error</v>
      </c>
      <c r="Z492" s="16" t="str">
        <f t="shared" si="132"/>
        <v>error</v>
      </c>
      <c r="AA492" s="16" t="str">
        <f t="shared" si="133"/>
        <v>error</v>
      </c>
      <c r="AB492" s="16" t="str">
        <f t="shared" si="134"/>
        <v>error</v>
      </c>
      <c r="AC492" s="18" t="str">
        <f t="shared" si="135"/>
        <v>error</v>
      </c>
      <c r="AD492" s="16" t="str">
        <f t="shared" si="136"/>
        <v>error</v>
      </c>
      <c r="AE492" s="16" t="str">
        <f t="shared" si="137"/>
        <v>error</v>
      </c>
      <c r="AF492" s="16" t="str">
        <f t="shared" si="138"/>
        <v>error</v>
      </c>
      <c r="AG492" s="16" t="str">
        <f t="shared" si="139"/>
        <v>error</v>
      </c>
      <c r="AH492" s="16" t="str">
        <f t="shared" si="140"/>
        <v>error</v>
      </c>
    </row>
    <row r="493" spans="1:34" x14ac:dyDescent="0.25">
      <c r="A493" s="12">
        <v>70516</v>
      </c>
      <c r="B493" s="13">
        <v>44.583583300000001</v>
      </c>
      <c r="C493" s="12">
        <v>89.446766699999998</v>
      </c>
      <c r="D493" s="13">
        <v>0</v>
      </c>
      <c r="T493" s="5">
        <f t="shared" si="126"/>
        <v>32689402.362412415</v>
      </c>
      <c r="U493" s="5">
        <f t="shared" si="127"/>
        <v>32689402.362412415</v>
      </c>
      <c r="V493" s="5" t="str">
        <f t="shared" si="128"/>
        <v>n/a</v>
      </c>
      <c r="W493" s="5" t="str">
        <f t="shared" si="129"/>
        <v>n/a</v>
      </c>
      <c r="X493" s="6" t="str">
        <f t="shared" si="130"/>
        <v>n/a</v>
      </c>
      <c r="Y493" s="16" t="str">
        <f t="shared" si="131"/>
        <v>error</v>
      </c>
      <c r="Z493" s="16" t="str">
        <f t="shared" si="132"/>
        <v>error</v>
      </c>
      <c r="AA493" s="16" t="str">
        <f t="shared" si="133"/>
        <v>error</v>
      </c>
      <c r="AB493" s="16" t="str">
        <f t="shared" si="134"/>
        <v>error</v>
      </c>
      <c r="AC493" s="18" t="str">
        <f t="shared" si="135"/>
        <v>error</v>
      </c>
      <c r="AD493" s="16" t="str">
        <f t="shared" si="136"/>
        <v>error</v>
      </c>
      <c r="AE493" s="16" t="str">
        <f t="shared" si="137"/>
        <v>error</v>
      </c>
      <c r="AF493" s="16" t="str">
        <f t="shared" si="138"/>
        <v>error</v>
      </c>
      <c r="AG493" s="16" t="str">
        <f t="shared" si="139"/>
        <v>error</v>
      </c>
      <c r="AH493" s="16" t="str">
        <f t="shared" si="140"/>
        <v>error</v>
      </c>
    </row>
    <row r="494" spans="1:34" x14ac:dyDescent="0.25">
      <c r="A494" s="12">
        <v>70517</v>
      </c>
      <c r="B494" s="13">
        <v>44.583533299999999</v>
      </c>
      <c r="C494" s="12">
        <v>89.447199999999995</v>
      </c>
      <c r="D494" s="14">
        <v>4</v>
      </c>
      <c r="E494" s="13" t="s">
        <v>42</v>
      </c>
      <c r="F494" s="13">
        <v>44.481119999999997</v>
      </c>
      <c r="G494" s="12">
        <v>89.479669999999999</v>
      </c>
      <c r="H494" s="13" t="s">
        <v>39</v>
      </c>
      <c r="I494" s="13">
        <v>44.58616</v>
      </c>
      <c r="J494" s="12">
        <v>89.487179999999995</v>
      </c>
      <c r="K494" s="13" t="s">
        <v>40</v>
      </c>
      <c r="L494" s="13">
        <v>44.554780000000001</v>
      </c>
      <c r="M494" s="13">
        <v>89.461330000000004</v>
      </c>
      <c r="N494" s="13" t="s">
        <v>41</v>
      </c>
      <c r="O494" s="13">
        <v>44.570529999999998</v>
      </c>
      <c r="P494" s="12">
        <v>89.378259999999997</v>
      </c>
      <c r="T494" s="5">
        <f t="shared" si="126"/>
        <v>38304.017193135893</v>
      </c>
      <c r="U494" s="5">
        <f t="shared" si="127"/>
        <v>10431.865174551242</v>
      </c>
      <c r="V494" s="5">
        <f t="shared" si="128"/>
        <v>11113.815511012555</v>
      </c>
      <c r="W494" s="5">
        <f t="shared" si="129"/>
        <v>18532.098764076301</v>
      </c>
      <c r="X494" s="6" t="str">
        <f t="shared" si="130"/>
        <v>n/a</v>
      </c>
      <c r="Y494" s="16">
        <f t="shared" si="131"/>
        <v>9.8181172924348456E-2</v>
      </c>
      <c r="Z494" s="16">
        <f t="shared" si="132"/>
        <v>0.36050440384437493</v>
      </c>
      <c r="AA494" s="16">
        <f t="shared" si="133"/>
        <v>0.33838363899508883</v>
      </c>
      <c r="AB494" s="16">
        <f t="shared" si="134"/>
        <v>0.20293078423618785</v>
      </c>
      <c r="AC494" s="18" t="e">
        <f t="shared" si="135"/>
        <v>#VALUE!</v>
      </c>
      <c r="AD494" s="16">
        <f t="shared" si="136"/>
        <v>3.2644617007352036E-2</v>
      </c>
      <c r="AE494" s="16">
        <f t="shared" si="137"/>
        <v>0.44012525956604998</v>
      </c>
      <c r="AF494" s="16">
        <f t="shared" si="138"/>
        <v>0.38776968923663807</v>
      </c>
      <c r="AG494" s="16">
        <f t="shared" si="139"/>
        <v>0.1394604341899599</v>
      </c>
      <c r="AH494" s="16" t="e">
        <f t="shared" si="140"/>
        <v>#VALUE!</v>
      </c>
    </row>
    <row r="495" spans="1:34" x14ac:dyDescent="0.25">
      <c r="A495" s="12">
        <v>70519</v>
      </c>
      <c r="B495" s="13">
        <v>44.583533299999999</v>
      </c>
      <c r="C495" s="12">
        <v>89.447050000000004</v>
      </c>
      <c r="D495" s="14">
        <v>4</v>
      </c>
      <c r="E495" s="13" t="s">
        <v>42</v>
      </c>
      <c r="F495" s="13">
        <v>44.481119999999997</v>
      </c>
      <c r="G495" s="12">
        <v>89.479669999999999</v>
      </c>
      <c r="H495" s="13" t="s">
        <v>39</v>
      </c>
      <c r="I495" s="13">
        <v>44.58616</v>
      </c>
      <c r="J495" s="12">
        <v>89.487179999999995</v>
      </c>
      <c r="K495" s="13" t="s">
        <v>40</v>
      </c>
      <c r="L495" s="13">
        <v>44.554780000000001</v>
      </c>
      <c r="M495" s="13">
        <v>89.461330000000004</v>
      </c>
      <c r="N495" s="13" t="s">
        <v>41</v>
      </c>
      <c r="O495" s="13">
        <v>44.570529999999998</v>
      </c>
      <c r="P495" s="12">
        <v>89.378259999999997</v>
      </c>
      <c r="T495" s="5">
        <f t="shared" si="126"/>
        <v>38312.635544472985</v>
      </c>
      <c r="U495" s="5">
        <f t="shared" si="127"/>
        <v>10470.674594569175</v>
      </c>
      <c r="V495" s="5">
        <f t="shared" si="128"/>
        <v>11126.757740687019</v>
      </c>
      <c r="W495" s="5">
        <f t="shared" si="129"/>
        <v>18494.421283468655</v>
      </c>
      <c r="X495" s="6" t="str">
        <f t="shared" si="130"/>
        <v>n/a</v>
      </c>
      <c r="Y495" s="16">
        <f t="shared" si="131"/>
        <v>9.8290646161223252E-2</v>
      </c>
      <c r="Z495" s="16">
        <f t="shared" si="132"/>
        <v>0.35964957842915807</v>
      </c>
      <c r="AA495" s="16">
        <f t="shared" si="133"/>
        <v>0.33844303898479433</v>
      </c>
      <c r="AB495" s="16">
        <f t="shared" si="134"/>
        <v>0.20361673642482436</v>
      </c>
      <c r="AC495" s="18" t="e">
        <f t="shared" si="135"/>
        <v>#VALUE!</v>
      </c>
      <c r="AD495" s="16">
        <f t="shared" si="136"/>
        <v>3.2747956378533311E-2</v>
      </c>
      <c r="AE495" s="16">
        <f t="shared" si="137"/>
        <v>0.43844884879370577</v>
      </c>
      <c r="AF495" s="16">
        <f t="shared" si="138"/>
        <v>0.3882674604191238</v>
      </c>
      <c r="AG495" s="16">
        <f t="shared" si="139"/>
        <v>0.14053573440863723</v>
      </c>
      <c r="AH495" s="16" t="e">
        <f t="shared" si="140"/>
        <v>#VALUE!</v>
      </c>
    </row>
    <row r="496" spans="1:34" x14ac:dyDescent="0.25">
      <c r="A496" s="12">
        <v>70520</v>
      </c>
      <c r="B496" s="13">
        <v>44.583583300000001</v>
      </c>
      <c r="C496" s="12">
        <v>89.446766699999998</v>
      </c>
      <c r="D496" s="14">
        <v>4</v>
      </c>
      <c r="E496" s="13" t="s">
        <v>42</v>
      </c>
      <c r="F496" s="13">
        <v>44.481119999999997</v>
      </c>
      <c r="G496" s="12">
        <v>89.479669999999999</v>
      </c>
      <c r="H496" s="13" t="s">
        <v>39</v>
      </c>
      <c r="I496" s="13">
        <v>44.58616</v>
      </c>
      <c r="J496" s="12">
        <v>89.487179999999995</v>
      </c>
      <c r="K496" s="13" t="s">
        <v>40</v>
      </c>
      <c r="L496" s="13">
        <v>44.554780000000001</v>
      </c>
      <c r="M496" s="13">
        <v>89.461330000000004</v>
      </c>
      <c r="N496" s="13" t="s">
        <v>41</v>
      </c>
      <c r="O496" s="13">
        <v>44.570529999999998</v>
      </c>
      <c r="P496" s="12">
        <v>89.378259999999997</v>
      </c>
      <c r="T496" s="5">
        <f t="shared" si="126"/>
        <v>38346.795427042838</v>
      </c>
      <c r="U496" s="5">
        <f t="shared" si="127"/>
        <v>10542.329374219218</v>
      </c>
      <c r="V496" s="5">
        <f t="shared" si="128"/>
        <v>11168.691116099477</v>
      </c>
      <c r="W496" s="5">
        <f t="shared" si="129"/>
        <v>18427.973626285497</v>
      </c>
      <c r="X496" s="6" t="str">
        <f t="shared" si="130"/>
        <v>n/a</v>
      </c>
      <c r="Y496" s="16">
        <f t="shared" si="131"/>
        <v>9.8505355671764119E-2</v>
      </c>
      <c r="Z496" s="16">
        <f t="shared" si="132"/>
        <v>0.35830456328281723</v>
      </c>
      <c r="AA496" s="16">
        <f t="shared" si="133"/>
        <v>0.33821015221454431</v>
      </c>
      <c r="AB496" s="16">
        <f t="shared" si="134"/>
        <v>0.20497992883087446</v>
      </c>
      <c r="AC496" s="18" t="e">
        <f t="shared" si="135"/>
        <v>#VALUE!</v>
      </c>
      <c r="AD496" s="16">
        <f t="shared" si="136"/>
        <v>3.2949708577088746E-2</v>
      </c>
      <c r="AE496" s="16">
        <f t="shared" si="137"/>
        <v>0.43594988706631821</v>
      </c>
      <c r="AF496" s="16">
        <f t="shared" si="138"/>
        <v>0.38842320793074603</v>
      </c>
      <c r="AG496" s="16">
        <f t="shared" si="139"/>
        <v>0.14267719642584697</v>
      </c>
      <c r="AH496" s="16" t="e">
        <f t="shared" si="140"/>
        <v>#VALUE!</v>
      </c>
    </row>
    <row r="497" spans="1:34" x14ac:dyDescent="0.25">
      <c r="A497" s="12">
        <v>70548</v>
      </c>
      <c r="B497" s="13">
        <v>44.557666699999999</v>
      </c>
      <c r="C497" s="12">
        <v>89.359066799999994</v>
      </c>
      <c r="D497" s="14">
        <v>4</v>
      </c>
      <c r="E497" s="13" t="s">
        <v>42</v>
      </c>
      <c r="F497" s="13">
        <v>44.481119999999997</v>
      </c>
      <c r="G497" s="12">
        <v>89.479669999999999</v>
      </c>
      <c r="H497" s="13" t="s">
        <v>39</v>
      </c>
      <c r="I497" s="13">
        <v>44.558810000000001</v>
      </c>
      <c r="J497" s="12">
        <v>89.505970000000005</v>
      </c>
      <c r="K497" s="13" t="s">
        <v>40</v>
      </c>
      <c r="L497" s="13">
        <v>44.554780000000001</v>
      </c>
      <c r="M497" s="12">
        <v>89.461330000000004</v>
      </c>
      <c r="N497" s="13" t="s">
        <v>41</v>
      </c>
      <c r="O497" s="13">
        <v>44.558729999999997</v>
      </c>
      <c r="P497" s="12">
        <v>89.354129999999998</v>
      </c>
      <c r="T497" s="5">
        <f t="shared" si="126"/>
        <v>41999.374182039144</v>
      </c>
      <c r="U497" s="5">
        <f t="shared" si="127"/>
        <v>38188.704287376444</v>
      </c>
      <c r="V497" s="5">
        <f t="shared" si="128"/>
        <v>26604.354298898561</v>
      </c>
      <c r="W497" s="5">
        <f t="shared" si="129"/>
        <v>1340.6323040702875</v>
      </c>
      <c r="X497" s="6" t="str">
        <f t="shared" si="130"/>
        <v>n/a</v>
      </c>
      <c r="Y497" s="16">
        <f t="shared" si="131"/>
        <v>2.8566136067248706E-2</v>
      </c>
      <c r="Z497" s="16">
        <f t="shared" si="132"/>
        <v>3.1416615462913515E-2</v>
      </c>
      <c r="AA497" s="16">
        <f t="shared" si="133"/>
        <v>4.5096371223453946E-2</v>
      </c>
      <c r="AB497" s="16">
        <f t="shared" si="134"/>
        <v>0.89492087724638381</v>
      </c>
      <c r="AC497" s="18" t="e">
        <f t="shared" si="135"/>
        <v>#VALUE!</v>
      </c>
      <c r="AD497" s="16">
        <f t="shared" si="136"/>
        <v>1.0140471735551975E-3</v>
      </c>
      <c r="AE497" s="16">
        <f t="shared" si="137"/>
        <v>1.2265180688091819E-3</v>
      </c>
      <c r="AF497" s="16">
        <f t="shared" si="138"/>
        <v>2.5271926601062151E-3</v>
      </c>
      <c r="AG497" s="16">
        <f t="shared" si="139"/>
        <v>0.99523224209752947</v>
      </c>
      <c r="AH497" s="16" t="e">
        <f t="shared" si="140"/>
        <v>#VALUE!</v>
      </c>
    </row>
    <row r="498" spans="1:34" x14ac:dyDescent="0.25">
      <c r="A498" s="12">
        <v>70783</v>
      </c>
      <c r="B498" s="13">
        <v>44.393611700000001</v>
      </c>
      <c r="C498" s="12">
        <v>89.624721600000001</v>
      </c>
      <c r="D498" s="14">
        <v>0</v>
      </c>
      <c r="T498" s="5">
        <f t="shared" si="126"/>
        <v>32735321.448693134</v>
      </c>
      <c r="U498" s="5">
        <f t="shared" si="127"/>
        <v>32735321.448693134</v>
      </c>
      <c r="V498" s="5" t="str">
        <f t="shared" si="128"/>
        <v>n/a</v>
      </c>
      <c r="W498" s="5" t="str">
        <f t="shared" si="129"/>
        <v>n/a</v>
      </c>
      <c r="X498" s="6" t="str">
        <f t="shared" si="130"/>
        <v>n/a</v>
      </c>
      <c r="Y498" s="16" t="str">
        <f t="shared" si="131"/>
        <v>error</v>
      </c>
      <c r="Z498" s="16" t="str">
        <f t="shared" si="132"/>
        <v>error</v>
      </c>
      <c r="AA498" s="16" t="str">
        <f t="shared" si="133"/>
        <v>error</v>
      </c>
      <c r="AB498" s="16" t="str">
        <f t="shared" si="134"/>
        <v>error</v>
      </c>
      <c r="AC498" s="18" t="str">
        <f t="shared" si="135"/>
        <v>error</v>
      </c>
      <c r="AD498" s="16" t="str">
        <f t="shared" si="136"/>
        <v>error</v>
      </c>
      <c r="AE498" s="16" t="str">
        <f t="shared" si="137"/>
        <v>error</v>
      </c>
      <c r="AF498" s="16" t="str">
        <f t="shared" si="138"/>
        <v>error</v>
      </c>
      <c r="AG498" s="16" t="str">
        <f t="shared" si="139"/>
        <v>error</v>
      </c>
      <c r="AH498" s="16" t="str">
        <f t="shared" si="140"/>
        <v>error</v>
      </c>
    </row>
    <row r="499" spans="1:34" x14ac:dyDescent="0.25">
      <c r="A499" s="12">
        <v>70880</v>
      </c>
      <c r="B499" s="13">
        <v>44.487549999999999</v>
      </c>
      <c r="C499" s="12">
        <v>89.425650000000005</v>
      </c>
      <c r="D499" s="13">
        <v>0</v>
      </c>
      <c r="T499" s="5">
        <f t="shared" si="126"/>
        <v>32683669.438331429</v>
      </c>
      <c r="U499" s="5">
        <f t="shared" si="127"/>
        <v>32683669.438331429</v>
      </c>
      <c r="V499" s="5" t="str">
        <f t="shared" si="128"/>
        <v>n/a</v>
      </c>
      <c r="W499" s="5" t="str">
        <f t="shared" si="129"/>
        <v>n/a</v>
      </c>
      <c r="X499" s="6" t="str">
        <f t="shared" si="130"/>
        <v>n/a</v>
      </c>
      <c r="Y499" s="16" t="str">
        <f t="shared" si="131"/>
        <v>error</v>
      </c>
      <c r="Z499" s="16" t="str">
        <f t="shared" si="132"/>
        <v>error</v>
      </c>
      <c r="AA499" s="16" t="str">
        <f t="shared" si="133"/>
        <v>error</v>
      </c>
      <c r="AB499" s="16" t="str">
        <f t="shared" si="134"/>
        <v>error</v>
      </c>
      <c r="AC499" s="18" t="str">
        <f t="shared" si="135"/>
        <v>error</v>
      </c>
      <c r="AD499" s="16" t="str">
        <f t="shared" si="136"/>
        <v>error</v>
      </c>
      <c r="AE499" s="16" t="str">
        <f t="shared" si="137"/>
        <v>error</v>
      </c>
      <c r="AF499" s="16" t="str">
        <f t="shared" si="138"/>
        <v>error</v>
      </c>
      <c r="AG499" s="16" t="str">
        <f t="shared" si="139"/>
        <v>error</v>
      </c>
      <c r="AH499" s="16" t="str">
        <f t="shared" si="140"/>
        <v>error</v>
      </c>
    </row>
    <row r="500" spans="1:34" x14ac:dyDescent="0.25">
      <c r="A500" s="12">
        <v>70881</v>
      </c>
      <c r="B500" s="13">
        <v>44.486933299999997</v>
      </c>
      <c r="C500" s="12">
        <v>89.423699999999997</v>
      </c>
      <c r="D500" s="14">
        <v>3</v>
      </c>
      <c r="E500" s="13" t="s">
        <v>42</v>
      </c>
      <c r="F500" s="13">
        <v>44.481520000000003</v>
      </c>
      <c r="G500" s="12">
        <v>89.479870000000005</v>
      </c>
      <c r="H500" s="13" t="s">
        <v>41</v>
      </c>
      <c r="I500" s="13">
        <v>44.489049999999999</v>
      </c>
      <c r="J500" s="12">
        <v>89.307159999999996</v>
      </c>
      <c r="K500" s="13" t="s">
        <v>43</v>
      </c>
      <c r="L500" s="13">
        <v>44.436599999999999</v>
      </c>
      <c r="M500" s="12">
        <v>89.375630000000001</v>
      </c>
      <c r="T500" s="5">
        <f t="shared" si="126"/>
        <v>14752.327685994956</v>
      </c>
      <c r="U500" s="5">
        <f t="shared" si="127"/>
        <v>30340.11180702037</v>
      </c>
      <c r="V500" s="5">
        <f t="shared" si="128"/>
        <v>22222.184047677201</v>
      </c>
      <c r="W500" s="5" t="str">
        <f t="shared" si="129"/>
        <v>n/a</v>
      </c>
      <c r="X500" s="6" t="str">
        <f t="shared" si="130"/>
        <v>n/a</v>
      </c>
      <c r="Y500" s="16">
        <f t="shared" si="131"/>
        <v>0.46509730675928995</v>
      </c>
      <c r="Z500" s="16">
        <f t="shared" si="132"/>
        <v>0.22614510845669133</v>
      </c>
      <c r="AA500" s="16">
        <f t="shared" si="133"/>
        <v>0.30875758478401877</v>
      </c>
      <c r="AB500" s="16" t="e">
        <f t="shared" si="134"/>
        <v>#VALUE!</v>
      </c>
      <c r="AC500" s="18" t="e">
        <f t="shared" si="135"/>
        <v>#VALUE!</v>
      </c>
      <c r="AD500" s="16">
        <f t="shared" si="136"/>
        <v>0.59625811633342596</v>
      </c>
      <c r="AE500" s="16">
        <f t="shared" si="137"/>
        <v>0.14096816650507718</v>
      </c>
      <c r="AF500" s="16">
        <f t="shared" si="138"/>
        <v>0.262773717161497</v>
      </c>
      <c r="AG500" s="16" t="e">
        <f t="shared" si="139"/>
        <v>#VALUE!</v>
      </c>
      <c r="AH500" s="16" t="e">
        <f t="shared" si="140"/>
        <v>#VALUE!</v>
      </c>
    </row>
    <row r="501" spans="1:34" x14ac:dyDescent="0.25">
      <c r="A501" s="12">
        <v>70929</v>
      </c>
      <c r="B501" s="13">
        <v>44.399166700000002</v>
      </c>
      <c r="C501" s="12">
        <v>89.672778300000004</v>
      </c>
      <c r="D501" s="14">
        <v>0</v>
      </c>
      <c r="T501" s="5">
        <f t="shared" si="126"/>
        <v>32747856.716595981</v>
      </c>
      <c r="U501" s="5">
        <f t="shared" si="127"/>
        <v>32747856.716595981</v>
      </c>
      <c r="V501" s="5" t="str">
        <f t="shared" si="128"/>
        <v>n/a</v>
      </c>
      <c r="W501" s="5" t="str">
        <f t="shared" si="129"/>
        <v>n/a</v>
      </c>
      <c r="X501" s="6" t="str">
        <f t="shared" si="130"/>
        <v>n/a</v>
      </c>
      <c r="Y501" s="16" t="str">
        <f t="shared" si="131"/>
        <v>error</v>
      </c>
      <c r="Z501" s="16" t="str">
        <f t="shared" si="132"/>
        <v>error</v>
      </c>
      <c r="AA501" s="16" t="str">
        <f t="shared" si="133"/>
        <v>error</v>
      </c>
      <c r="AB501" s="16" t="str">
        <f t="shared" si="134"/>
        <v>error</v>
      </c>
      <c r="AC501" s="18" t="str">
        <f t="shared" si="135"/>
        <v>error</v>
      </c>
      <c r="AD501" s="16" t="str">
        <f t="shared" si="136"/>
        <v>error</v>
      </c>
      <c r="AE501" s="16" t="str">
        <f t="shared" si="137"/>
        <v>error</v>
      </c>
      <c r="AF501" s="16" t="str">
        <f t="shared" si="138"/>
        <v>error</v>
      </c>
      <c r="AG501" s="16" t="str">
        <f t="shared" si="139"/>
        <v>error</v>
      </c>
      <c r="AH501" s="16" t="str">
        <f t="shared" si="140"/>
        <v>error</v>
      </c>
    </row>
    <row r="502" spans="1:34" x14ac:dyDescent="0.25">
      <c r="A502" s="12">
        <v>70961</v>
      </c>
      <c r="B502" s="13">
        <v>44.4947667</v>
      </c>
      <c r="C502" s="12">
        <v>89.362983400000005</v>
      </c>
      <c r="D502" s="14">
        <v>3</v>
      </c>
      <c r="E502" s="13" t="s">
        <v>42</v>
      </c>
      <c r="F502" s="13">
        <v>44.482199999999999</v>
      </c>
      <c r="G502" s="12">
        <v>89.479680000000002</v>
      </c>
      <c r="H502" s="13" t="s">
        <v>41</v>
      </c>
      <c r="I502" s="13">
        <v>44.500590000000003</v>
      </c>
      <c r="J502" s="12">
        <v>89.321280000000002</v>
      </c>
      <c r="K502" s="13" t="s">
        <v>43</v>
      </c>
      <c r="L502" s="13">
        <v>44.437359999999998</v>
      </c>
      <c r="M502" s="12">
        <v>89.338470000000001</v>
      </c>
      <c r="T502" s="5">
        <f t="shared" si="126"/>
        <v>30714.850652303321</v>
      </c>
      <c r="U502" s="5">
        <f t="shared" si="127"/>
        <v>11057.765343397732</v>
      </c>
      <c r="V502" s="5">
        <f t="shared" si="128"/>
        <v>21893.573977300577</v>
      </c>
      <c r="W502" s="5" t="str">
        <f t="shared" si="129"/>
        <v>n/a</v>
      </c>
      <c r="X502" s="6" t="str">
        <f t="shared" si="130"/>
        <v>n/a</v>
      </c>
      <c r="Y502" s="16">
        <f t="shared" si="131"/>
        <v>0.19302825405392707</v>
      </c>
      <c r="Z502" s="16">
        <f t="shared" si="132"/>
        <v>0.53616927207459386</v>
      </c>
      <c r="AA502" s="16">
        <f t="shared" si="133"/>
        <v>0.27080247387147904</v>
      </c>
      <c r="AB502" s="16" t="e">
        <f t="shared" si="134"/>
        <v>#VALUE!</v>
      </c>
      <c r="AC502" s="18" t="e">
        <f t="shared" si="135"/>
        <v>#VALUE!</v>
      </c>
      <c r="AD502" s="16">
        <f t="shared" si="136"/>
        <v>9.3601070561352154E-2</v>
      </c>
      <c r="AE502" s="16">
        <f t="shared" si="137"/>
        <v>0.72217573617723452</v>
      </c>
      <c r="AF502" s="16">
        <f t="shared" si="138"/>
        <v>0.18422319326141331</v>
      </c>
      <c r="AG502" s="16" t="e">
        <f t="shared" si="139"/>
        <v>#VALUE!</v>
      </c>
      <c r="AH502" s="16" t="e">
        <f t="shared" si="140"/>
        <v>#VALUE!</v>
      </c>
    </row>
    <row r="503" spans="1:34" x14ac:dyDescent="0.25">
      <c r="A503" s="12">
        <v>70974</v>
      </c>
      <c r="B503" s="13">
        <v>44.496425299999999</v>
      </c>
      <c r="C503" s="12">
        <v>89.362974699999995</v>
      </c>
      <c r="D503" s="14">
        <v>3</v>
      </c>
      <c r="E503" s="13" t="s">
        <v>42</v>
      </c>
      <c r="F503" s="13">
        <v>44.482199999999999</v>
      </c>
      <c r="G503" s="12">
        <v>89.479680000000002</v>
      </c>
      <c r="H503" s="13" t="s">
        <v>41</v>
      </c>
      <c r="I503" s="13">
        <v>44.500590000000003</v>
      </c>
      <c r="J503" s="12">
        <v>89.321280000000002</v>
      </c>
      <c r="K503" s="13" t="s">
        <v>43</v>
      </c>
      <c r="L503" s="13">
        <v>44.437359999999998</v>
      </c>
      <c r="M503" s="12">
        <v>89.338470000000001</v>
      </c>
      <c r="T503" s="5">
        <f t="shared" si="126"/>
        <v>30812.780230691045</v>
      </c>
      <c r="U503" s="5">
        <f t="shared" si="127"/>
        <v>10955.224480759531</v>
      </c>
      <c r="V503" s="5">
        <f t="shared" si="128"/>
        <v>22472.396051930788</v>
      </c>
      <c r="W503" s="5" t="str">
        <f t="shared" si="129"/>
        <v>n/a</v>
      </c>
      <c r="X503" s="6" t="str">
        <f t="shared" si="130"/>
        <v>n/a</v>
      </c>
      <c r="Y503" s="16">
        <f t="shared" si="131"/>
        <v>0.19291055092139772</v>
      </c>
      <c r="Z503" s="16">
        <f t="shared" si="132"/>
        <v>0.5425822556317399</v>
      </c>
      <c r="AA503" s="16">
        <f t="shared" si="133"/>
        <v>0.26450719344686235</v>
      </c>
      <c r="AB503" s="16" t="e">
        <f t="shared" si="134"/>
        <v>#VALUE!</v>
      </c>
      <c r="AC503" s="18" t="e">
        <f t="shared" si="135"/>
        <v>#VALUE!</v>
      </c>
      <c r="AD503" s="16">
        <f t="shared" si="136"/>
        <v>9.2671529865812619E-2</v>
      </c>
      <c r="AE503" s="16">
        <f t="shared" si="137"/>
        <v>0.73310392276104686</v>
      </c>
      <c r="AF503" s="16">
        <f t="shared" si="138"/>
        <v>0.17422454737314061</v>
      </c>
      <c r="AG503" s="16" t="e">
        <f t="shared" si="139"/>
        <v>#VALUE!</v>
      </c>
      <c r="AH503" s="16" t="e">
        <f t="shared" si="140"/>
        <v>#VALUE!</v>
      </c>
    </row>
    <row r="504" spans="1:34" x14ac:dyDescent="0.25">
      <c r="A504" s="12">
        <v>70975</v>
      </c>
      <c r="B504" s="13">
        <v>44.496425299999999</v>
      </c>
      <c r="C504" s="12">
        <v>89.362974699999995</v>
      </c>
      <c r="D504" s="14">
        <v>3</v>
      </c>
      <c r="E504" s="13" t="s">
        <v>42</v>
      </c>
      <c r="F504" s="13">
        <v>44.482199999999999</v>
      </c>
      <c r="G504" s="12">
        <v>89.479680000000002</v>
      </c>
      <c r="H504" s="13" t="s">
        <v>41</v>
      </c>
      <c r="I504" s="13">
        <v>44.500590000000003</v>
      </c>
      <c r="J504" s="12">
        <v>89.321280000000002</v>
      </c>
      <c r="K504" s="13" t="s">
        <v>43</v>
      </c>
      <c r="L504" s="13">
        <v>44.437359999999998</v>
      </c>
      <c r="M504" s="12">
        <v>89.338470000000001</v>
      </c>
      <c r="T504" s="5">
        <f t="shared" si="126"/>
        <v>30812.780230691045</v>
      </c>
      <c r="U504" s="5">
        <f t="shared" si="127"/>
        <v>10955.224480759531</v>
      </c>
      <c r="V504" s="5">
        <f t="shared" si="128"/>
        <v>22472.396051930788</v>
      </c>
      <c r="W504" s="5" t="str">
        <f t="shared" si="129"/>
        <v>n/a</v>
      </c>
      <c r="X504" s="6" t="str">
        <f t="shared" si="130"/>
        <v>n/a</v>
      </c>
      <c r="Y504" s="16">
        <f t="shared" si="131"/>
        <v>0.19291055092139772</v>
      </c>
      <c r="Z504" s="16">
        <f t="shared" si="132"/>
        <v>0.5425822556317399</v>
      </c>
      <c r="AA504" s="16">
        <f t="shared" si="133"/>
        <v>0.26450719344686235</v>
      </c>
      <c r="AB504" s="16" t="e">
        <f t="shared" si="134"/>
        <v>#VALUE!</v>
      </c>
      <c r="AC504" s="18" t="e">
        <f t="shared" si="135"/>
        <v>#VALUE!</v>
      </c>
      <c r="AD504" s="16">
        <f t="shared" si="136"/>
        <v>9.2671529865812619E-2</v>
      </c>
      <c r="AE504" s="16">
        <f t="shared" si="137"/>
        <v>0.73310392276104686</v>
      </c>
      <c r="AF504" s="16">
        <f t="shared" si="138"/>
        <v>0.17422454737314061</v>
      </c>
      <c r="AG504" s="16" t="e">
        <f t="shared" si="139"/>
        <v>#VALUE!</v>
      </c>
      <c r="AH504" s="16" t="e">
        <f t="shared" si="140"/>
        <v>#VALUE!</v>
      </c>
    </row>
    <row r="505" spans="1:34" x14ac:dyDescent="0.25">
      <c r="A505" s="12">
        <v>71044</v>
      </c>
      <c r="B505" s="13">
        <v>44.483600000000003</v>
      </c>
      <c r="C505" s="12">
        <v>89.496930000000006</v>
      </c>
      <c r="D505" s="14">
        <v>2</v>
      </c>
      <c r="E505" s="13" t="s">
        <v>42</v>
      </c>
      <c r="F505" s="13">
        <v>44.482399999999998</v>
      </c>
      <c r="G505" s="12">
        <v>89.479820000000004</v>
      </c>
      <c r="H505" s="13" t="s">
        <v>39</v>
      </c>
      <c r="I505" s="13">
        <v>44.495629999999998</v>
      </c>
      <c r="J505" s="12">
        <v>89.549989999999994</v>
      </c>
      <c r="T505" s="5">
        <f t="shared" si="126"/>
        <v>4474.8341803893809</v>
      </c>
      <c r="U505" s="5">
        <f t="shared" si="127"/>
        <v>14489.452617809913</v>
      </c>
      <c r="V505" s="5" t="str">
        <f t="shared" si="128"/>
        <v>n/a</v>
      </c>
      <c r="W505" s="5" t="str">
        <f t="shared" si="129"/>
        <v>n/a</v>
      </c>
      <c r="X505" s="6" t="str">
        <f t="shared" si="130"/>
        <v>n/a</v>
      </c>
      <c r="Y505" s="16">
        <f t="shared" si="131"/>
        <v>0.76403888909683237</v>
      </c>
      <c r="Z505" s="16">
        <f t="shared" si="132"/>
        <v>0.23596111090316763</v>
      </c>
      <c r="AA505" s="16" t="e">
        <f t="shared" si="133"/>
        <v>#VALUE!</v>
      </c>
      <c r="AB505" s="16" t="e">
        <f t="shared" si="134"/>
        <v>#VALUE!</v>
      </c>
      <c r="AC505" s="18" t="e">
        <f t="shared" si="135"/>
        <v>#VALUE!</v>
      </c>
      <c r="AD505" s="16">
        <f t="shared" si="136"/>
        <v>0.91292654621943725</v>
      </c>
      <c r="AE505" s="16">
        <f t="shared" si="137"/>
        <v>8.7073453780562762E-2</v>
      </c>
      <c r="AF505" s="16" t="e">
        <f t="shared" si="138"/>
        <v>#VALUE!</v>
      </c>
      <c r="AG505" s="16" t="e">
        <f t="shared" si="139"/>
        <v>#VALUE!</v>
      </c>
      <c r="AH505" s="16" t="e">
        <f t="shared" si="140"/>
        <v>#VALUE!</v>
      </c>
    </row>
    <row r="506" spans="1:34" x14ac:dyDescent="0.25">
      <c r="A506" s="12">
        <v>71062</v>
      </c>
      <c r="B506" s="13">
        <v>44.431849999999997</v>
      </c>
      <c r="C506" s="12">
        <v>89.426950000000005</v>
      </c>
      <c r="D506" s="14">
        <v>5</v>
      </c>
      <c r="E506" s="13" t="s">
        <v>42</v>
      </c>
      <c r="F506" s="13">
        <v>44.468879999999999</v>
      </c>
      <c r="G506" s="12">
        <v>89.485780000000005</v>
      </c>
      <c r="H506" s="13" t="s">
        <v>43</v>
      </c>
      <c r="I506" s="13">
        <v>44.436549999999997</v>
      </c>
      <c r="J506" s="12">
        <v>89.376350000000002</v>
      </c>
      <c r="K506" s="13" t="s">
        <v>46</v>
      </c>
      <c r="L506" s="13">
        <v>44.382390000000001</v>
      </c>
      <c r="M506" s="12">
        <v>89.365430000000003</v>
      </c>
      <c r="N506" s="13" t="s">
        <v>51</v>
      </c>
      <c r="O506" s="13">
        <v>44.37961</v>
      </c>
      <c r="P506" s="12">
        <v>89.437510000000003</v>
      </c>
      <c r="Q506" s="13" t="s">
        <v>44</v>
      </c>
      <c r="R506" s="13">
        <v>44.400100000000002</v>
      </c>
      <c r="S506" s="12">
        <v>89.480630000000005</v>
      </c>
      <c r="T506" s="5">
        <f t="shared" si="126"/>
        <v>20425.94338363229</v>
      </c>
      <c r="U506" s="5">
        <f t="shared" si="127"/>
        <v>13292.167008021701</v>
      </c>
      <c r="V506" s="5">
        <f t="shared" si="128"/>
        <v>24137.833776023359</v>
      </c>
      <c r="W506" s="5">
        <f t="shared" si="129"/>
        <v>19255.516899500111</v>
      </c>
      <c r="X506" s="6">
        <f t="shared" si="130"/>
        <v>18160.947038842471</v>
      </c>
      <c r="Y506" s="16">
        <f t="shared" si="131"/>
        <v>0.1795843732796481</v>
      </c>
      <c r="Z506" s="16">
        <f t="shared" si="132"/>
        <v>0.27596555467452871</v>
      </c>
      <c r="AA506" s="16">
        <f t="shared" si="133"/>
        <v>0.15196807945702501</v>
      </c>
      <c r="AB506" s="16">
        <f t="shared" si="134"/>
        <v>0.19050022185020693</v>
      </c>
      <c r="AC506" s="18">
        <f t="shared" si="135"/>
        <v>0.20198177073859136</v>
      </c>
      <c r="AD506" s="16">
        <f t="shared" si="136"/>
        <v>0.15461303210947985</v>
      </c>
      <c r="AE506" s="16">
        <f t="shared" si="137"/>
        <v>0.36510582865509295</v>
      </c>
      <c r="AF506" s="16">
        <f t="shared" si="138"/>
        <v>0.11071685998101155</v>
      </c>
      <c r="AG506" s="16">
        <f t="shared" si="139"/>
        <v>0.17398026257384824</v>
      </c>
      <c r="AH506" s="16">
        <f t="shared" si="140"/>
        <v>0.19558401668056741</v>
      </c>
    </row>
    <row r="507" spans="1:34" x14ac:dyDescent="0.25">
      <c r="A507" s="12">
        <v>71063</v>
      </c>
      <c r="B507" s="13">
        <v>44.436549999999997</v>
      </c>
      <c r="C507" s="12">
        <v>89.431566599999996</v>
      </c>
      <c r="D507" s="14">
        <v>5</v>
      </c>
      <c r="E507" s="13" t="s">
        <v>42</v>
      </c>
      <c r="F507" s="13">
        <v>44.4679</v>
      </c>
      <c r="G507" s="12">
        <v>89.487129999999993</v>
      </c>
      <c r="H507" s="13" t="s">
        <v>44</v>
      </c>
      <c r="I507" s="13">
        <v>44.400039999999997</v>
      </c>
      <c r="J507" s="12">
        <v>89.480410000000006</v>
      </c>
      <c r="K507" s="13" t="s">
        <v>51</v>
      </c>
      <c r="L507" s="13">
        <v>44.379460000000002</v>
      </c>
      <c r="M507" s="12">
        <v>89.439179999999993</v>
      </c>
      <c r="N507" s="13" t="s">
        <v>46</v>
      </c>
      <c r="O507" s="13">
        <v>44.38214</v>
      </c>
      <c r="P507" s="12">
        <v>89.366290000000006</v>
      </c>
      <c r="Q507" s="13" t="s">
        <v>43</v>
      </c>
      <c r="R507" s="13">
        <v>44.436340000000001</v>
      </c>
      <c r="S507" s="12">
        <v>89.375249999999994</v>
      </c>
      <c r="T507" s="5">
        <f t="shared" si="126"/>
        <v>18443.736993655632</v>
      </c>
      <c r="U507" s="5">
        <f t="shared" si="127"/>
        <v>18422.27852501228</v>
      </c>
      <c r="V507" s="5">
        <f t="shared" si="128"/>
        <v>20921.459061408146</v>
      </c>
      <c r="W507" s="5">
        <f t="shared" si="129"/>
        <v>26141.800503837741</v>
      </c>
      <c r="X507" s="6">
        <f t="shared" si="130"/>
        <v>14669.904382685496</v>
      </c>
      <c r="Y507" s="16">
        <f t="shared" si="131"/>
        <v>0.20637655060697899</v>
      </c>
      <c r="Z507" s="16">
        <f t="shared" si="132"/>
        <v>0.20661694023814814</v>
      </c>
      <c r="AA507" s="16">
        <f t="shared" si="133"/>
        <v>0.1819354381489677</v>
      </c>
      <c r="AB507" s="16">
        <f t="shared" si="134"/>
        <v>0.14560415685576786</v>
      </c>
      <c r="AC507" s="18">
        <f t="shared" si="135"/>
        <v>0.25946691415013734</v>
      </c>
      <c r="AD507" s="16">
        <f t="shared" si="136"/>
        <v>0.20584846166637527</v>
      </c>
      <c r="AE507" s="16">
        <f t="shared" si="137"/>
        <v>0.20632828997326191</v>
      </c>
      <c r="AF507" s="16">
        <f t="shared" si="138"/>
        <v>0.15997846637143504</v>
      </c>
      <c r="AG507" s="16">
        <f t="shared" si="139"/>
        <v>0.10246474764203781</v>
      </c>
      <c r="AH507" s="16">
        <f t="shared" si="140"/>
        <v>0.32538003434689</v>
      </c>
    </row>
    <row r="508" spans="1:34" x14ac:dyDescent="0.25">
      <c r="A508" s="12">
        <v>71109</v>
      </c>
      <c r="B508" s="13">
        <v>44.4852068</v>
      </c>
      <c r="C508" s="12">
        <v>89.496005600000004</v>
      </c>
      <c r="D508" s="14">
        <v>2</v>
      </c>
      <c r="E508" s="13" t="s">
        <v>42</v>
      </c>
      <c r="F508" s="13">
        <v>44.482399999999998</v>
      </c>
      <c r="G508" s="12">
        <v>89.479820000000004</v>
      </c>
      <c r="H508" s="13" t="s">
        <v>39</v>
      </c>
      <c r="I508" s="13">
        <v>44.495629999999998</v>
      </c>
      <c r="J508" s="12">
        <v>89.549989999999994</v>
      </c>
      <c r="T508" s="5">
        <f t="shared" si="126"/>
        <v>4335.3667701307832</v>
      </c>
      <c r="U508" s="5">
        <f t="shared" si="127"/>
        <v>14554.69814636714</v>
      </c>
      <c r="V508" s="5" t="str">
        <f t="shared" si="128"/>
        <v>n/a</v>
      </c>
      <c r="W508" s="5" t="str">
        <f t="shared" si="129"/>
        <v>n/a</v>
      </c>
      <c r="X508" s="6" t="str">
        <f t="shared" si="130"/>
        <v>n/a</v>
      </c>
      <c r="Y508" s="16">
        <f t="shared" si="131"/>
        <v>0.7704948718125143</v>
      </c>
      <c r="Z508" s="16">
        <f t="shared" si="132"/>
        <v>0.22950512818748575</v>
      </c>
      <c r="AA508" s="16" t="e">
        <f t="shared" si="133"/>
        <v>#VALUE!</v>
      </c>
      <c r="AB508" s="16" t="e">
        <f t="shared" si="134"/>
        <v>#VALUE!</v>
      </c>
      <c r="AC508" s="18" t="e">
        <f t="shared" si="135"/>
        <v>#VALUE!</v>
      </c>
      <c r="AD508" s="16">
        <f t="shared" si="136"/>
        <v>0.91850571634098943</v>
      </c>
      <c r="AE508" s="16">
        <f t="shared" si="137"/>
        <v>8.1494283659010611E-2</v>
      </c>
      <c r="AF508" s="16" t="e">
        <f t="shared" si="138"/>
        <v>#VALUE!</v>
      </c>
      <c r="AG508" s="16" t="e">
        <f t="shared" si="139"/>
        <v>#VALUE!</v>
      </c>
      <c r="AH508" s="16" t="e">
        <f t="shared" si="140"/>
        <v>#VALUE!</v>
      </c>
    </row>
    <row r="509" spans="1:34" x14ac:dyDescent="0.25">
      <c r="A509" s="12">
        <v>71110</v>
      </c>
      <c r="B509" s="13">
        <v>44.484075099999998</v>
      </c>
      <c r="C509" s="12">
        <v>89.498126999999997</v>
      </c>
      <c r="D509" s="14">
        <v>2</v>
      </c>
      <c r="E509" s="13" t="s">
        <v>42</v>
      </c>
      <c r="F509" s="13">
        <v>44.482399999999998</v>
      </c>
      <c r="G509" s="12">
        <v>89.479820000000004</v>
      </c>
      <c r="H509" s="13" t="s">
        <v>39</v>
      </c>
      <c r="I509" s="13">
        <v>44.495629999999998</v>
      </c>
      <c r="J509" s="12">
        <v>89.549989999999994</v>
      </c>
      <c r="T509" s="5">
        <f t="shared" si="126"/>
        <v>4803.9297967475668</v>
      </c>
      <c r="U509" s="5">
        <f t="shared" si="127"/>
        <v>14140.195061372473</v>
      </c>
      <c r="V509" s="5" t="str">
        <f t="shared" si="128"/>
        <v>n/a</v>
      </c>
      <c r="W509" s="5" t="str">
        <f t="shared" si="129"/>
        <v>n/a</v>
      </c>
      <c r="X509" s="6" t="str">
        <f t="shared" si="130"/>
        <v>n/a</v>
      </c>
      <c r="Y509" s="16">
        <f t="shared" si="131"/>
        <v>0.74641585015269507</v>
      </c>
      <c r="Z509" s="16">
        <f t="shared" si="132"/>
        <v>0.25358414984730498</v>
      </c>
      <c r="AA509" s="16" t="e">
        <f t="shared" si="133"/>
        <v>#VALUE!</v>
      </c>
      <c r="AB509" s="16" t="e">
        <f t="shared" si="134"/>
        <v>#VALUE!</v>
      </c>
      <c r="AC509" s="18" t="e">
        <f t="shared" si="135"/>
        <v>#VALUE!</v>
      </c>
      <c r="AD509" s="16">
        <f t="shared" si="136"/>
        <v>0.89652297655529201</v>
      </c>
      <c r="AE509" s="16">
        <f t="shared" si="137"/>
        <v>0.10347702344470798</v>
      </c>
      <c r="AF509" s="16" t="e">
        <f t="shared" si="138"/>
        <v>#VALUE!</v>
      </c>
      <c r="AG509" s="16" t="e">
        <f t="shared" si="139"/>
        <v>#VALUE!</v>
      </c>
      <c r="AH509" s="16" t="e">
        <f t="shared" si="140"/>
        <v>#VALUE!</v>
      </c>
    </row>
    <row r="510" spans="1:34" x14ac:dyDescent="0.25">
      <c r="A510" s="12">
        <v>71117</v>
      </c>
      <c r="B510" s="13">
        <v>44.389016699999999</v>
      </c>
      <c r="C510" s="12">
        <v>89.411699999999996</v>
      </c>
      <c r="D510" s="14">
        <v>4</v>
      </c>
      <c r="E510" s="13" t="s">
        <v>42</v>
      </c>
      <c r="F510" s="13">
        <v>44.468020000000003</v>
      </c>
      <c r="G510" s="12">
        <v>89.486630000000005</v>
      </c>
      <c r="H510" s="13" t="s">
        <v>43</v>
      </c>
      <c r="I510" s="13">
        <v>44.43676</v>
      </c>
      <c r="J510" s="12">
        <v>89.377560000000003</v>
      </c>
      <c r="K510" s="13" t="s">
        <v>46</v>
      </c>
      <c r="L510" s="13">
        <v>44.394089999999998</v>
      </c>
      <c r="M510" s="12">
        <v>89.334530000000001</v>
      </c>
      <c r="N510" s="13" t="s">
        <v>44</v>
      </c>
      <c r="O510" s="13">
        <v>44.399996999999999</v>
      </c>
      <c r="P510" s="12">
        <v>89.480459999999994</v>
      </c>
      <c r="T510" s="5">
        <f t="shared" si="126"/>
        <v>34810.03547731111</v>
      </c>
      <c r="U510" s="5">
        <f t="shared" si="127"/>
        <v>19557.961162558477</v>
      </c>
      <c r="V510" s="5">
        <f t="shared" si="128"/>
        <v>20202.125183648081</v>
      </c>
      <c r="W510" s="5">
        <f t="shared" si="129"/>
        <v>18366.052335071377</v>
      </c>
      <c r="X510" s="6" t="str">
        <f t="shared" si="130"/>
        <v>n/a</v>
      </c>
      <c r="Y510" s="16">
        <f t="shared" si="131"/>
        <v>0.15629214702623767</v>
      </c>
      <c r="Z510" s="16">
        <f t="shared" si="132"/>
        <v>0.27817496607078612</v>
      </c>
      <c r="AA510" s="16">
        <f t="shared" si="133"/>
        <v>0.26930509208071396</v>
      </c>
      <c r="AB510" s="16">
        <f t="shared" si="134"/>
        <v>0.29622779482226236</v>
      </c>
      <c r="AC510" s="18" t="e">
        <f t="shared" si="135"/>
        <v>#VALUE!</v>
      </c>
      <c r="AD510" s="16">
        <f t="shared" si="136"/>
        <v>9.320359610992697E-2</v>
      </c>
      <c r="AE510" s="16">
        <f t="shared" si="137"/>
        <v>0.29525308374422171</v>
      </c>
      <c r="AF510" s="16">
        <f t="shared" si="138"/>
        <v>0.27672441958725902</v>
      </c>
      <c r="AG510" s="16">
        <f t="shared" si="139"/>
        <v>0.33481890055859231</v>
      </c>
      <c r="AH510" s="16" t="e">
        <f t="shared" si="140"/>
        <v>#VALUE!</v>
      </c>
    </row>
    <row r="511" spans="1:34" x14ac:dyDescent="0.25">
      <c r="A511" s="12">
        <v>71124</v>
      </c>
      <c r="B511" s="13">
        <v>44.391369400000002</v>
      </c>
      <c r="C511" s="12">
        <v>89.424227999999999</v>
      </c>
      <c r="D511" s="13">
        <v>0</v>
      </c>
      <c r="T511" s="5">
        <f t="shared" si="126"/>
        <v>32683052.481355712</v>
      </c>
      <c r="U511" s="5">
        <f t="shared" si="127"/>
        <v>32683052.481355712</v>
      </c>
      <c r="V511" s="5" t="str">
        <f t="shared" si="128"/>
        <v>n/a</v>
      </c>
      <c r="W511" s="5" t="str">
        <f t="shared" si="129"/>
        <v>n/a</v>
      </c>
      <c r="X511" s="6" t="str">
        <f t="shared" si="130"/>
        <v>n/a</v>
      </c>
      <c r="Y511" s="16" t="str">
        <f t="shared" si="131"/>
        <v>error</v>
      </c>
      <c r="Z511" s="16" t="str">
        <f t="shared" si="132"/>
        <v>error</v>
      </c>
      <c r="AA511" s="16" t="str">
        <f t="shared" si="133"/>
        <v>error</v>
      </c>
      <c r="AB511" s="16" t="str">
        <f t="shared" si="134"/>
        <v>error</v>
      </c>
      <c r="AC511" s="18" t="str">
        <f t="shared" si="135"/>
        <v>error</v>
      </c>
      <c r="AD511" s="16" t="str">
        <f t="shared" si="136"/>
        <v>error</v>
      </c>
      <c r="AE511" s="16" t="str">
        <f t="shared" si="137"/>
        <v>error</v>
      </c>
      <c r="AF511" s="16" t="str">
        <f t="shared" si="138"/>
        <v>error</v>
      </c>
      <c r="AG511" s="16" t="str">
        <f t="shared" si="139"/>
        <v>error</v>
      </c>
      <c r="AH511" s="16" t="str">
        <f t="shared" si="140"/>
        <v>error</v>
      </c>
    </row>
    <row r="512" spans="1:34" x14ac:dyDescent="0.25">
      <c r="A512" s="12">
        <v>71156</v>
      </c>
      <c r="B512" s="13">
        <v>44.5455167</v>
      </c>
      <c r="C512" s="12">
        <v>89.494233300000005</v>
      </c>
      <c r="D512" s="14">
        <v>3</v>
      </c>
      <c r="E512" s="13" t="s">
        <v>42</v>
      </c>
      <c r="F512" s="13">
        <v>44.475450000000002</v>
      </c>
      <c r="G512" s="12">
        <v>89.479529999999997</v>
      </c>
      <c r="H512" s="13" t="s">
        <v>40</v>
      </c>
      <c r="I512" s="13">
        <v>44.549160000000001</v>
      </c>
      <c r="J512" s="12">
        <v>89.493300000000005</v>
      </c>
      <c r="K512" s="13" t="s">
        <v>39</v>
      </c>
      <c r="L512" s="13">
        <v>44.538640000000001</v>
      </c>
      <c r="M512" s="12">
        <v>89.516409999999993</v>
      </c>
      <c r="T512" s="5">
        <f t="shared" si="126"/>
        <v>25845.851522906523</v>
      </c>
      <c r="U512" s="5">
        <f t="shared" si="127"/>
        <v>1351.0903538153593</v>
      </c>
      <c r="V512" s="5">
        <f t="shared" si="128"/>
        <v>6288.3653069631646</v>
      </c>
      <c r="W512" s="5" t="str">
        <f t="shared" si="129"/>
        <v>n/a</v>
      </c>
      <c r="X512" s="6" t="str">
        <f t="shared" si="130"/>
        <v>n/a</v>
      </c>
      <c r="Y512" s="16">
        <f t="shared" si="131"/>
        <v>4.1254582631306901E-2</v>
      </c>
      <c r="Z512" s="16">
        <f t="shared" si="132"/>
        <v>0.78918468651427587</v>
      </c>
      <c r="AA512" s="16">
        <f t="shared" si="133"/>
        <v>0.16956073085441731</v>
      </c>
      <c r="AB512" s="16" t="e">
        <f t="shared" si="134"/>
        <v>#VALUE!</v>
      </c>
      <c r="AC512" s="18" t="e">
        <f t="shared" si="135"/>
        <v>#VALUE!</v>
      </c>
      <c r="AD512" s="16">
        <f t="shared" si="136"/>
        <v>2.605282592741039E-3</v>
      </c>
      <c r="AE512" s="16">
        <f t="shared" si="137"/>
        <v>0.95338374118676428</v>
      </c>
      <c r="AF512" s="16">
        <f t="shared" si="138"/>
        <v>4.4010976220494692E-2</v>
      </c>
      <c r="AG512" s="16" t="e">
        <f t="shared" si="139"/>
        <v>#VALUE!</v>
      </c>
      <c r="AH512" s="16" t="e">
        <f t="shared" si="140"/>
        <v>#VALUE!</v>
      </c>
    </row>
    <row r="513" spans="1:34" x14ac:dyDescent="0.25">
      <c r="A513" s="12">
        <v>71198</v>
      </c>
      <c r="B513" s="13">
        <v>44.489773200000002</v>
      </c>
      <c r="C513" s="12">
        <v>89.378240599999998</v>
      </c>
      <c r="D513" s="13">
        <v>0</v>
      </c>
      <c r="T513" s="5">
        <f t="shared" si="126"/>
        <v>32671337.241051793</v>
      </c>
      <c r="U513" s="5">
        <f t="shared" si="127"/>
        <v>32671337.241051793</v>
      </c>
      <c r="V513" s="5" t="str">
        <f t="shared" si="128"/>
        <v>n/a</v>
      </c>
      <c r="W513" s="5" t="str">
        <f t="shared" si="129"/>
        <v>n/a</v>
      </c>
      <c r="X513" s="6" t="str">
        <f t="shared" si="130"/>
        <v>n/a</v>
      </c>
      <c r="Y513" s="16" t="str">
        <f t="shared" si="131"/>
        <v>error</v>
      </c>
      <c r="Z513" s="16" t="str">
        <f t="shared" si="132"/>
        <v>error</v>
      </c>
      <c r="AA513" s="16" t="str">
        <f t="shared" si="133"/>
        <v>error</v>
      </c>
      <c r="AB513" s="16" t="str">
        <f t="shared" si="134"/>
        <v>error</v>
      </c>
      <c r="AC513" s="18" t="str">
        <f t="shared" si="135"/>
        <v>error</v>
      </c>
      <c r="AD513" s="16" t="str">
        <f t="shared" si="136"/>
        <v>error</v>
      </c>
      <c r="AE513" s="16" t="str">
        <f t="shared" si="137"/>
        <v>error</v>
      </c>
      <c r="AF513" s="16" t="str">
        <f t="shared" si="138"/>
        <v>error</v>
      </c>
      <c r="AG513" s="16" t="str">
        <f t="shared" si="139"/>
        <v>error</v>
      </c>
      <c r="AH513" s="16" t="str">
        <f t="shared" si="140"/>
        <v>error</v>
      </c>
    </row>
    <row r="514" spans="1:34" x14ac:dyDescent="0.25">
      <c r="A514" s="12">
        <v>71199</v>
      </c>
      <c r="B514" s="13">
        <v>44.490299999999998</v>
      </c>
      <c r="C514" s="12">
        <v>89.377833300000006</v>
      </c>
      <c r="D514" s="14">
        <v>3</v>
      </c>
      <c r="E514" s="13" t="s">
        <v>42</v>
      </c>
      <c r="F514" s="13">
        <v>44.482570000000003</v>
      </c>
      <c r="G514" s="12">
        <v>89.479969999999994</v>
      </c>
      <c r="H514" s="13" t="s">
        <v>41</v>
      </c>
      <c r="I514" s="13">
        <v>44.501100000000001</v>
      </c>
      <c r="J514" s="12">
        <v>89.321569999999994</v>
      </c>
      <c r="K514" s="13" t="s">
        <v>43</v>
      </c>
      <c r="L514" s="13">
        <v>44.436199999999999</v>
      </c>
      <c r="M514" s="12">
        <v>89.375550000000004</v>
      </c>
      <c r="T514" s="5">
        <f t="shared" si="126"/>
        <v>26731.603659398967</v>
      </c>
      <c r="U514" s="5">
        <f t="shared" si="127"/>
        <v>15161.822597793858</v>
      </c>
      <c r="V514" s="5">
        <f t="shared" si="128"/>
        <v>19745.321466347992</v>
      </c>
      <c r="W514" s="5" t="str">
        <f t="shared" si="129"/>
        <v>n/a</v>
      </c>
      <c r="X514" s="6" t="str">
        <f t="shared" si="130"/>
        <v>n/a</v>
      </c>
      <c r="Y514" s="16">
        <f t="shared" si="131"/>
        <v>0.24290085502256223</v>
      </c>
      <c r="Z514" s="16">
        <f t="shared" si="132"/>
        <v>0.42825520105591086</v>
      </c>
      <c r="AA514" s="16">
        <f t="shared" si="133"/>
        <v>0.32884394392152699</v>
      </c>
      <c r="AB514" s="16" t="e">
        <f t="shared" si="134"/>
        <v>#VALUE!</v>
      </c>
      <c r="AC514" s="18" t="e">
        <f t="shared" si="135"/>
        <v>#VALUE!</v>
      </c>
      <c r="AD514" s="16">
        <f t="shared" si="136"/>
        <v>0.16831329451219759</v>
      </c>
      <c r="AE514" s="16">
        <f t="shared" si="137"/>
        <v>0.5231974587322894</v>
      </c>
      <c r="AF514" s="16">
        <f t="shared" si="138"/>
        <v>0.30848924675551298</v>
      </c>
      <c r="AG514" s="16" t="e">
        <f t="shared" si="139"/>
        <v>#VALUE!</v>
      </c>
      <c r="AH514" s="16" t="e">
        <f t="shared" si="140"/>
        <v>#VALUE!</v>
      </c>
    </row>
    <row r="515" spans="1:34" x14ac:dyDescent="0.25">
      <c r="A515" s="12">
        <v>71269</v>
      </c>
      <c r="B515" s="13">
        <v>44.391733299999999</v>
      </c>
      <c r="C515" s="12">
        <v>89.692916699999998</v>
      </c>
      <c r="D515" s="13">
        <v>0</v>
      </c>
      <c r="T515" s="5">
        <f t="shared" si="126"/>
        <v>32753095.632396437</v>
      </c>
      <c r="U515" s="5">
        <f t="shared" si="127"/>
        <v>32753095.632396437</v>
      </c>
      <c r="V515" s="5" t="str">
        <f t="shared" si="128"/>
        <v>n/a</v>
      </c>
      <c r="W515" s="5" t="str">
        <f t="shared" si="129"/>
        <v>n/a</v>
      </c>
      <c r="X515" s="6" t="str">
        <f t="shared" si="130"/>
        <v>n/a</v>
      </c>
      <c r="Y515" s="16" t="str">
        <f t="shared" si="131"/>
        <v>error</v>
      </c>
      <c r="Z515" s="16" t="str">
        <f t="shared" si="132"/>
        <v>error</v>
      </c>
      <c r="AA515" s="16" t="str">
        <f t="shared" si="133"/>
        <v>error</v>
      </c>
      <c r="AB515" s="16" t="str">
        <f t="shared" si="134"/>
        <v>error</v>
      </c>
      <c r="AC515" s="18" t="str">
        <f t="shared" si="135"/>
        <v>error</v>
      </c>
      <c r="AD515" s="16" t="str">
        <f t="shared" si="136"/>
        <v>error</v>
      </c>
      <c r="AE515" s="16" t="str">
        <f t="shared" si="137"/>
        <v>error</v>
      </c>
      <c r="AF515" s="16" t="str">
        <f t="shared" si="138"/>
        <v>error</v>
      </c>
      <c r="AG515" s="16" t="str">
        <f t="shared" si="139"/>
        <v>error</v>
      </c>
      <c r="AH515" s="16" t="str">
        <f t="shared" si="140"/>
        <v>error</v>
      </c>
    </row>
    <row r="516" spans="1:34" x14ac:dyDescent="0.25">
      <c r="A516" s="12">
        <v>71476</v>
      </c>
      <c r="B516" s="13">
        <v>44.402783300000003</v>
      </c>
      <c r="C516" s="12">
        <v>89.667950000000005</v>
      </c>
      <c r="D516" s="14">
        <v>0</v>
      </c>
      <c r="T516" s="5">
        <f t="shared" si="126"/>
        <v>32746603.568481855</v>
      </c>
      <c r="U516" s="5">
        <f t="shared" si="127"/>
        <v>32746603.568481855</v>
      </c>
      <c r="V516" s="5" t="str">
        <f t="shared" si="128"/>
        <v>n/a</v>
      </c>
      <c r="W516" s="5" t="str">
        <f t="shared" si="129"/>
        <v>n/a</v>
      </c>
      <c r="X516" s="6" t="str">
        <f t="shared" si="130"/>
        <v>n/a</v>
      </c>
      <c r="Y516" s="16" t="str">
        <f t="shared" si="131"/>
        <v>error</v>
      </c>
      <c r="Z516" s="16" t="str">
        <f t="shared" si="132"/>
        <v>error</v>
      </c>
      <c r="AA516" s="16" t="str">
        <f t="shared" si="133"/>
        <v>error</v>
      </c>
      <c r="AB516" s="16" t="str">
        <f t="shared" si="134"/>
        <v>error</v>
      </c>
      <c r="AC516" s="18" t="str">
        <f t="shared" si="135"/>
        <v>error</v>
      </c>
      <c r="AD516" s="16" t="str">
        <f t="shared" si="136"/>
        <v>error</v>
      </c>
      <c r="AE516" s="16" t="str">
        <f t="shared" si="137"/>
        <v>error</v>
      </c>
      <c r="AF516" s="16" t="str">
        <f t="shared" si="138"/>
        <v>error</v>
      </c>
      <c r="AG516" s="16" t="str">
        <f t="shared" si="139"/>
        <v>error</v>
      </c>
      <c r="AH516" s="16" t="str">
        <f t="shared" si="140"/>
        <v>error</v>
      </c>
    </row>
    <row r="517" spans="1:34" x14ac:dyDescent="0.25">
      <c r="A517" s="12">
        <v>71495</v>
      </c>
      <c r="B517" s="13">
        <v>44.430549999999997</v>
      </c>
      <c r="C517" s="12">
        <v>89.478883199999999</v>
      </c>
      <c r="D517" s="14">
        <v>3</v>
      </c>
      <c r="E517" s="13" t="s">
        <v>42</v>
      </c>
      <c r="F517" s="13">
        <v>44.4681</v>
      </c>
      <c r="G517" s="12">
        <v>89.487700000000004</v>
      </c>
      <c r="H517" s="13" t="s">
        <v>44</v>
      </c>
      <c r="I517" s="13">
        <v>44.400239999999997</v>
      </c>
      <c r="J517" s="12">
        <v>89.48057</v>
      </c>
      <c r="K517" s="13" t="s">
        <v>43</v>
      </c>
      <c r="L517" s="13">
        <v>44.436689999999999</v>
      </c>
      <c r="M517" s="12">
        <v>89.375820000000004</v>
      </c>
      <c r="T517" s="5">
        <f t="shared" si="126"/>
        <v>13889.823591555478</v>
      </c>
      <c r="U517" s="5">
        <f t="shared" si="127"/>
        <v>11066.20726723422</v>
      </c>
      <c r="V517" s="5">
        <f t="shared" si="128"/>
        <v>26941.129991966842</v>
      </c>
      <c r="W517" s="5" t="str">
        <f t="shared" si="129"/>
        <v>n/a</v>
      </c>
      <c r="X517" s="6" t="str">
        <f t="shared" si="130"/>
        <v>n/a</v>
      </c>
      <c r="Y517" s="16">
        <f t="shared" si="131"/>
        <v>0.36091719086995239</v>
      </c>
      <c r="Z517" s="16">
        <f t="shared" si="132"/>
        <v>0.45300761058276434</v>
      </c>
      <c r="AA517" s="16">
        <f t="shared" si="133"/>
        <v>0.18607519854728319</v>
      </c>
      <c r="AB517" s="16" t="e">
        <f t="shared" si="134"/>
        <v>#VALUE!</v>
      </c>
      <c r="AC517" s="18" t="e">
        <f t="shared" si="135"/>
        <v>#VALUE!</v>
      </c>
      <c r="AD517" s="16">
        <f t="shared" si="136"/>
        <v>0.35196118298305523</v>
      </c>
      <c r="AE517" s="16">
        <f t="shared" si="137"/>
        <v>0.55448605500286841</v>
      </c>
      <c r="AF517" s="16">
        <f t="shared" si="138"/>
        <v>9.3552762014076335E-2</v>
      </c>
      <c r="AG517" s="16" t="e">
        <f t="shared" si="139"/>
        <v>#VALUE!</v>
      </c>
      <c r="AH517" s="16" t="e">
        <f t="shared" si="140"/>
        <v>#VALUE!</v>
      </c>
    </row>
    <row r="518" spans="1:34" x14ac:dyDescent="0.25">
      <c r="A518" s="12">
        <v>71517</v>
      </c>
      <c r="B518" s="13">
        <v>44.385792199999997</v>
      </c>
      <c r="C518" s="12">
        <v>89.454259699999994</v>
      </c>
      <c r="D518" s="13">
        <v>0</v>
      </c>
      <c r="T518" s="5">
        <f t="shared" si="126"/>
        <v>32690867.620587159</v>
      </c>
      <c r="U518" s="5">
        <f t="shared" si="127"/>
        <v>32690867.620587159</v>
      </c>
      <c r="V518" s="5" t="str">
        <f t="shared" si="128"/>
        <v>n/a</v>
      </c>
      <c r="W518" s="5" t="str">
        <f t="shared" si="129"/>
        <v>n/a</v>
      </c>
      <c r="X518" s="6" t="str">
        <f t="shared" si="130"/>
        <v>n/a</v>
      </c>
      <c r="Y518" s="16" t="str">
        <f t="shared" si="131"/>
        <v>error</v>
      </c>
      <c r="Z518" s="16" t="str">
        <f t="shared" si="132"/>
        <v>error</v>
      </c>
      <c r="AA518" s="16" t="str">
        <f t="shared" si="133"/>
        <v>error</v>
      </c>
      <c r="AB518" s="16" t="str">
        <f t="shared" si="134"/>
        <v>error</v>
      </c>
      <c r="AC518" s="18" t="str">
        <f t="shared" si="135"/>
        <v>error</v>
      </c>
      <c r="AD518" s="16" t="str">
        <f t="shared" si="136"/>
        <v>error</v>
      </c>
      <c r="AE518" s="16" t="str">
        <f t="shared" si="137"/>
        <v>error</v>
      </c>
      <c r="AF518" s="16" t="str">
        <f t="shared" si="138"/>
        <v>error</v>
      </c>
      <c r="AG518" s="16" t="str">
        <f t="shared" si="139"/>
        <v>error</v>
      </c>
      <c r="AH518" s="16" t="str">
        <f t="shared" si="140"/>
        <v>error</v>
      </c>
    </row>
    <row r="519" spans="1:34" x14ac:dyDescent="0.25">
      <c r="A519" s="12">
        <v>71518</v>
      </c>
      <c r="B519" s="13">
        <v>44.386699999999998</v>
      </c>
      <c r="C519" s="12">
        <v>89.453199999999995</v>
      </c>
      <c r="D519" s="14">
        <v>0</v>
      </c>
      <c r="T519" s="5">
        <f t="shared" si="126"/>
        <v>32690593.561006799</v>
      </c>
      <c r="U519" s="5">
        <f t="shared" si="127"/>
        <v>32690593.561006799</v>
      </c>
      <c r="V519" s="5" t="str">
        <f t="shared" si="128"/>
        <v>n/a</v>
      </c>
      <c r="W519" s="5" t="str">
        <f t="shared" si="129"/>
        <v>n/a</v>
      </c>
      <c r="X519" s="6" t="str">
        <f t="shared" si="130"/>
        <v>n/a</v>
      </c>
      <c r="Y519" s="16" t="str">
        <f t="shared" si="131"/>
        <v>error</v>
      </c>
      <c r="Z519" s="16" t="str">
        <f t="shared" si="132"/>
        <v>error</v>
      </c>
      <c r="AA519" s="16" t="str">
        <f t="shared" si="133"/>
        <v>error</v>
      </c>
      <c r="AB519" s="16" t="str">
        <f t="shared" si="134"/>
        <v>error</v>
      </c>
      <c r="AC519" s="18" t="str">
        <f t="shared" si="135"/>
        <v>error</v>
      </c>
      <c r="AD519" s="16" t="str">
        <f t="shared" si="136"/>
        <v>error</v>
      </c>
      <c r="AE519" s="16" t="str">
        <f t="shared" si="137"/>
        <v>error</v>
      </c>
      <c r="AF519" s="16" t="str">
        <f t="shared" si="138"/>
        <v>error</v>
      </c>
      <c r="AG519" s="16" t="str">
        <f t="shared" si="139"/>
        <v>error</v>
      </c>
      <c r="AH519" s="16" t="str">
        <f t="shared" si="140"/>
        <v>error</v>
      </c>
    </row>
    <row r="520" spans="1:34" x14ac:dyDescent="0.25">
      <c r="A520" s="12">
        <v>71628</v>
      </c>
      <c r="B520" s="13">
        <v>44.430425</v>
      </c>
      <c r="C520" s="12">
        <v>89.668088299999994</v>
      </c>
      <c r="D520" s="14">
        <v>0</v>
      </c>
      <c r="T520" s="5">
        <f t="shared" si="126"/>
        <v>32746680.498210572</v>
      </c>
      <c r="U520" s="5">
        <f t="shared" si="127"/>
        <v>32746680.498210572</v>
      </c>
      <c r="V520" s="5" t="str">
        <f t="shared" si="128"/>
        <v>n/a</v>
      </c>
      <c r="W520" s="5" t="str">
        <f t="shared" si="129"/>
        <v>n/a</v>
      </c>
      <c r="X520" s="6" t="str">
        <f t="shared" si="130"/>
        <v>n/a</v>
      </c>
      <c r="Y520" s="16" t="str">
        <f t="shared" si="131"/>
        <v>error</v>
      </c>
      <c r="Z520" s="16" t="str">
        <f t="shared" si="132"/>
        <v>error</v>
      </c>
      <c r="AA520" s="16" t="str">
        <f t="shared" si="133"/>
        <v>error</v>
      </c>
      <c r="AB520" s="16" t="str">
        <f t="shared" si="134"/>
        <v>error</v>
      </c>
      <c r="AC520" s="18" t="str">
        <f t="shared" si="135"/>
        <v>error</v>
      </c>
      <c r="AD520" s="16" t="str">
        <f t="shared" si="136"/>
        <v>error</v>
      </c>
      <c r="AE520" s="16" t="str">
        <f t="shared" si="137"/>
        <v>error</v>
      </c>
      <c r="AF520" s="16" t="str">
        <f t="shared" si="138"/>
        <v>error</v>
      </c>
      <c r="AG520" s="16" t="str">
        <f t="shared" si="139"/>
        <v>error</v>
      </c>
      <c r="AH520" s="16" t="str">
        <f t="shared" si="140"/>
        <v>error</v>
      </c>
    </row>
    <row r="521" spans="1:34" x14ac:dyDescent="0.25">
      <c r="A521" s="12">
        <v>71650</v>
      </c>
      <c r="B521" s="13">
        <v>44.441400000000002</v>
      </c>
      <c r="C521" s="12">
        <v>89.620400000000004</v>
      </c>
      <c r="D521" s="14">
        <v>0</v>
      </c>
      <c r="T521" s="5">
        <f t="shared" si="126"/>
        <v>32734275.757151753</v>
      </c>
      <c r="U521" s="5">
        <f t="shared" si="127"/>
        <v>32734275.757151753</v>
      </c>
      <c r="V521" s="5" t="str">
        <f t="shared" si="128"/>
        <v>n/a</v>
      </c>
      <c r="W521" s="5" t="str">
        <f t="shared" si="129"/>
        <v>n/a</v>
      </c>
      <c r="X521" s="6" t="str">
        <f t="shared" si="130"/>
        <v>n/a</v>
      </c>
      <c r="Y521" s="16" t="str">
        <f t="shared" si="131"/>
        <v>error</v>
      </c>
      <c r="Z521" s="16" t="str">
        <f t="shared" si="132"/>
        <v>error</v>
      </c>
      <c r="AA521" s="16" t="str">
        <f t="shared" si="133"/>
        <v>error</v>
      </c>
      <c r="AB521" s="16" t="str">
        <f t="shared" si="134"/>
        <v>error</v>
      </c>
      <c r="AC521" s="18" t="str">
        <f t="shared" si="135"/>
        <v>error</v>
      </c>
      <c r="AD521" s="16" t="str">
        <f t="shared" si="136"/>
        <v>error</v>
      </c>
      <c r="AE521" s="16" t="str">
        <f t="shared" si="137"/>
        <v>error</v>
      </c>
      <c r="AF521" s="16" t="str">
        <f t="shared" si="138"/>
        <v>error</v>
      </c>
      <c r="AG521" s="16" t="str">
        <f t="shared" si="139"/>
        <v>error</v>
      </c>
      <c r="AH521" s="16" t="str">
        <f t="shared" si="140"/>
        <v>error</v>
      </c>
    </row>
    <row r="522" spans="1:34" x14ac:dyDescent="0.25">
      <c r="A522" s="12">
        <v>71651</v>
      </c>
      <c r="B522" s="13">
        <v>44.439700000000002</v>
      </c>
      <c r="C522" s="12">
        <v>89.622</v>
      </c>
      <c r="D522" s="14">
        <v>0</v>
      </c>
      <c r="T522" s="5">
        <f t="shared" si="126"/>
        <v>32734689.630688407</v>
      </c>
      <c r="U522" s="5">
        <f t="shared" si="127"/>
        <v>32734689.630688407</v>
      </c>
      <c r="V522" s="5" t="str">
        <f t="shared" si="128"/>
        <v>n/a</v>
      </c>
      <c r="W522" s="5" t="str">
        <f t="shared" si="129"/>
        <v>n/a</v>
      </c>
      <c r="X522" s="6" t="str">
        <f t="shared" si="130"/>
        <v>n/a</v>
      </c>
      <c r="Y522" s="16" t="str">
        <f t="shared" si="131"/>
        <v>error</v>
      </c>
      <c r="Z522" s="16" t="str">
        <f t="shared" si="132"/>
        <v>error</v>
      </c>
      <c r="AA522" s="16" t="str">
        <f t="shared" si="133"/>
        <v>error</v>
      </c>
      <c r="AB522" s="16" t="str">
        <f t="shared" si="134"/>
        <v>error</v>
      </c>
      <c r="AC522" s="18" t="str">
        <f t="shared" si="135"/>
        <v>error</v>
      </c>
      <c r="AD522" s="16" t="str">
        <f t="shared" si="136"/>
        <v>error</v>
      </c>
      <c r="AE522" s="16" t="str">
        <f t="shared" si="137"/>
        <v>error</v>
      </c>
      <c r="AF522" s="16" t="str">
        <f t="shared" si="138"/>
        <v>error</v>
      </c>
      <c r="AG522" s="16" t="str">
        <f t="shared" si="139"/>
        <v>error</v>
      </c>
      <c r="AH522" s="16" t="str">
        <f t="shared" si="140"/>
        <v>error</v>
      </c>
    </row>
    <row r="523" spans="1:34" x14ac:dyDescent="0.25">
      <c r="A523" s="12">
        <v>71656</v>
      </c>
      <c r="B523" s="13">
        <v>44.445399999999999</v>
      </c>
      <c r="C523" s="12">
        <v>89.583399999999997</v>
      </c>
      <c r="D523" s="14">
        <v>0</v>
      </c>
      <c r="T523" s="5">
        <f t="shared" si="126"/>
        <v>32724646.123654615</v>
      </c>
      <c r="U523" s="5">
        <f t="shared" si="127"/>
        <v>32724646.123654615</v>
      </c>
      <c r="V523" s="5" t="str">
        <f t="shared" si="128"/>
        <v>n/a</v>
      </c>
      <c r="W523" s="5" t="str">
        <f t="shared" si="129"/>
        <v>n/a</v>
      </c>
      <c r="X523" s="6" t="str">
        <f t="shared" si="130"/>
        <v>n/a</v>
      </c>
      <c r="Y523" s="16" t="str">
        <f t="shared" si="131"/>
        <v>error</v>
      </c>
      <c r="Z523" s="16" t="str">
        <f t="shared" si="132"/>
        <v>error</v>
      </c>
      <c r="AA523" s="16" t="str">
        <f t="shared" si="133"/>
        <v>error</v>
      </c>
      <c r="AB523" s="16" t="str">
        <f t="shared" si="134"/>
        <v>error</v>
      </c>
      <c r="AC523" s="18" t="str">
        <f t="shared" si="135"/>
        <v>error</v>
      </c>
      <c r="AD523" s="16" t="str">
        <f t="shared" si="136"/>
        <v>error</v>
      </c>
      <c r="AE523" s="16" t="str">
        <f t="shared" si="137"/>
        <v>error</v>
      </c>
      <c r="AF523" s="16" t="str">
        <f t="shared" si="138"/>
        <v>error</v>
      </c>
      <c r="AG523" s="16" t="str">
        <f t="shared" si="139"/>
        <v>error</v>
      </c>
      <c r="AH523" s="16" t="str">
        <f t="shared" si="140"/>
        <v>error</v>
      </c>
    </row>
    <row r="524" spans="1:34" x14ac:dyDescent="0.25">
      <c r="A524" s="12">
        <v>71727</v>
      </c>
      <c r="B524" s="13">
        <v>44.426533300000003</v>
      </c>
      <c r="C524" s="12">
        <v>89.688050000000004</v>
      </c>
      <c r="D524" s="13">
        <v>0</v>
      </c>
      <c r="T524" s="5">
        <f t="shared" si="126"/>
        <v>32751875.332605083</v>
      </c>
      <c r="U524" s="5">
        <f t="shared" si="127"/>
        <v>32751875.332605083</v>
      </c>
      <c r="V524" s="5" t="str">
        <f t="shared" si="128"/>
        <v>n/a</v>
      </c>
      <c r="W524" s="5" t="str">
        <f t="shared" si="129"/>
        <v>n/a</v>
      </c>
      <c r="X524" s="6" t="str">
        <f t="shared" si="130"/>
        <v>n/a</v>
      </c>
      <c r="Y524" s="16" t="str">
        <f t="shared" si="131"/>
        <v>error</v>
      </c>
      <c r="Z524" s="16" t="str">
        <f t="shared" si="132"/>
        <v>error</v>
      </c>
      <c r="AA524" s="16" t="str">
        <f t="shared" si="133"/>
        <v>error</v>
      </c>
      <c r="AB524" s="16" t="str">
        <f t="shared" si="134"/>
        <v>error</v>
      </c>
      <c r="AC524" s="18" t="str">
        <f t="shared" si="135"/>
        <v>error</v>
      </c>
      <c r="AD524" s="16" t="str">
        <f t="shared" si="136"/>
        <v>error</v>
      </c>
      <c r="AE524" s="16" t="str">
        <f t="shared" si="137"/>
        <v>error</v>
      </c>
      <c r="AF524" s="16" t="str">
        <f t="shared" si="138"/>
        <v>error</v>
      </c>
      <c r="AG524" s="16" t="str">
        <f t="shared" si="139"/>
        <v>error</v>
      </c>
      <c r="AH524" s="16" t="str">
        <f t="shared" si="140"/>
        <v>error</v>
      </c>
    </row>
    <row r="525" spans="1:34" x14ac:dyDescent="0.25">
      <c r="A525" s="12">
        <v>71733</v>
      </c>
      <c r="B525" s="13">
        <v>44.558003800000002</v>
      </c>
      <c r="C525" s="12">
        <v>89.501699299999999</v>
      </c>
      <c r="D525" s="13">
        <v>0</v>
      </c>
      <c r="T525" s="5">
        <f t="shared" si="126"/>
        <v>32703618.223403122</v>
      </c>
      <c r="U525" s="5">
        <f t="shared" si="127"/>
        <v>32703618.223403122</v>
      </c>
      <c r="V525" s="5" t="str">
        <f t="shared" si="128"/>
        <v>n/a</v>
      </c>
      <c r="W525" s="5" t="str">
        <f t="shared" si="129"/>
        <v>n/a</v>
      </c>
      <c r="X525" s="6" t="str">
        <f t="shared" si="130"/>
        <v>n/a</v>
      </c>
      <c r="Y525" s="16" t="str">
        <f t="shared" si="131"/>
        <v>error</v>
      </c>
      <c r="Z525" s="16" t="str">
        <f t="shared" si="132"/>
        <v>error</v>
      </c>
      <c r="AA525" s="16" t="str">
        <f t="shared" si="133"/>
        <v>error</v>
      </c>
      <c r="AB525" s="16" t="str">
        <f t="shared" si="134"/>
        <v>error</v>
      </c>
      <c r="AC525" s="18" t="str">
        <f t="shared" si="135"/>
        <v>error</v>
      </c>
      <c r="AD525" s="16" t="str">
        <f t="shared" si="136"/>
        <v>error</v>
      </c>
      <c r="AE525" s="16" t="str">
        <f t="shared" si="137"/>
        <v>error</v>
      </c>
      <c r="AF525" s="16" t="str">
        <f t="shared" si="138"/>
        <v>error</v>
      </c>
      <c r="AG525" s="16" t="str">
        <f t="shared" si="139"/>
        <v>error</v>
      </c>
      <c r="AH525" s="16" t="str">
        <f t="shared" si="140"/>
        <v>error</v>
      </c>
    </row>
    <row r="526" spans="1:34" x14ac:dyDescent="0.25">
      <c r="A526" s="12">
        <v>71735</v>
      </c>
      <c r="B526" s="13">
        <v>44.384416700000003</v>
      </c>
      <c r="C526" s="12">
        <v>89.654200000000003</v>
      </c>
      <c r="D526" s="13">
        <v>0</v>
      </c>
      <c r="T526" s="5">
        <f t="shared" si="126"/>
        <v>32742991.558849361</v>
      </c>
      <c r="U526" s="5">
        <f t="shared" si="127"/>
        <v>32742991.558849361</v>
      </c>
      <c r="V526" s="5" t="str">
        <f t="shared" si="128"/>
        <v>n/a</v>
      </c>
      <c r="W526" s="5" t="str">
        <f t="shared" si="129"/>
        <v>n/a</v>
      </c>
      <c r="X526" s="6" t="str">
        <f t="shared" si="130"/>
        <v>n/a</v>
      </c>
      <c r="Y526" s="16" t="str">
        <f t="shared" si="131"/>
        <v>error</v>
      </c>
      <c r="Z526" s="16" t="str">
        <f t="shared" si="132"/>
        <v>error</v>
      </c>
      <c r="AA526" s="16" t="str">
        <f t="shared" si="133"/>
        <v>error</v>
      </c>
      <c r="AB526" s="16" t="str">
        <f t="shared" si="134"/>
        <v>error</v>
      </c>
      <c r="AC526" s="18" t="str">
        <f t="shared" si="135"/>
        <v>error</v>
      </c>
      <c r="AD526" s="16" t="str">
        <f t="shared" si="136"/>
        <v>error</v>
      </c>
      <c r="AE526" s="16" t="str">
        <f t="shared" si="137"/>
        <v>error</v>
      </c>
      <c r="AF526" s="16" t="str">
        <f t="shared" si="138"/>
        <v>error</v>
      </c>
      <c r="AG526" s="16" t="str">
        <f t="shared" si="139"/>
        <v>error</v>
      </c>
      <c r="AH526" s="16" t="str">
        <f t="shared" si="140"/>
        <v>error</v>
      </c>
    </row>
    <row r="527" spans="1:34" x14ac:dyDescent="0.25">
      <c r="A527" s="12">
        <v>71736</v>
      </c>
      <c r="B527" s="13">
        <v>44.38785</v>
      </c>
      <c r="C527" s="12">
        <v>89.652799999999999</v>
      </c>
      <c r="D527" s="14">
        <v>0</v>
      </c>
      <c r="T527" s="5">
        <f t="shared" si="126"/>
        <v>32742631.865809936</v>
      </c>
      <c r="U527" s="5">
        <f t="shared" si="127"/>
        <v>32742631.865809936</v>
      </c>
      <c r="V527" s="5" t="str">
        <f t="shared" si="128"/>
        <v>n/a</v>
      </c>
      <c r="W527" s="5" t="str">
        <f t="shared" si="129"/>
        <v>n/a</v>
      </c>
      <c r="X527" s="6" t="str">
        <f t="shared" si="130"/>
        <v>n/a</v>
      </c>
      <c r="Y527" s="16" t="str">
        <f t="shared" si="131"/>
        <v>error</v>
      </c>
      <c r="Z527" s="16" t="str">
        <f t="shared" si="132"/>
        <v>error</v>
      </c>
      <c r="AA527" s="16" t="str">
        <f t="shared" si="133"/>
        <v>error</v>
      </c>
      <c r="AB527" s="16" t="str">
        <f t="shared" si="134"/>
        <v>error</v>
      </c>
      <c r="AC527" s="18" t="str">
        <f t="shared" si="135"/>
        <v>error</v>
      </c>
      <c r="AD527" s="16" t="str">
        <f t="shared" si="136"/>
        <v>error</v>
      </c>
      <c r="AE527" s="16" t="str">
        <f t="shared" si="137"/>
        <v>error</v>
      </c>
      <c r="AF527" s="16" t="str">
        <f t="shared" si="138"/>
        <v>error</v>
      </c>
      <c r="AG527" s="16" t="str">
        <f t="shared" si="139"/>
        <v>error</v>
      </c>
      <c r="AH527" s="16" t="str">
        <f t="shared" si="140"/>
        <v>error</v>
      </c>
    </row>
    <row r="528" spans="1:34" x14ac:dyDescent="0.25">
      <c r="A528" s="12">
        <v>71870</v>
      </c>
      <c r="B528" s="13">
        <v>44.406666700000002</v>
      </c>
      <c r="C528" s="12">
        <v>89.554166699999996</v>
      </c>
      <c r="D528" s="14">
        <v>0</v>
      </c>
      <c r="T528" s="5">
        <f t="shared" si="126"/>
        <v>32716955.555672415</v>
      </c>
      <c r="U528" s="5">
        <f t="shared" si="127"/>
        <v>32716955.555672415</v>
      </c>
      <c r="V528" s="5" t="str">
        <f t="shared" si="128"/>
        <v>n/a</v>
      </c>
      <c r="W528" s="5" t="str">
        <f t="shared" si="129"/>
        <v>n/a</v>
      </c>
      <c r="X528" s="6" t="str">
        <f t="shared" si="130"/>
        <v>n/a</v>
      </c>
      <c r="Y528" s="16" t="str">
        <f t="shared" si="131"/>
        <v>error</v>
      </c>
      <c r="Z528" s="16" t="str">
        <f t="shared" si="132"/>
        <v>error</v>
      </c>
      <c r="AA528" s="16" t="str">
        <f t="shared" si="133"/>
        <v>error</v>
      </c>
      <c r="AB528" s="16" t="str">
        <f t="shared" si="134"/>
        <v>error</v>
      </c>
      <c r="AC528" s="18" t="str">
        <f t="shared" si="135"/>
        <v>error</v>
      </c>
      <c r="AD528" s="16" t="str">
        <f t="shared" si="136"/>
        <v>error</v>
      </c>
      <c r="AE528" s="16" t="str">
        <f t="shared" si="137"/>
        <v>error</v>
      </c>
      <c r="AF528" s="16" t="str">
        <f t="shared" si="138"/>
        <v>error</v>
      </c>
      <c r="AG528" s="16" t="str">
        <f t="shared" si="139"/>
        <v>error</v>
      </c>
      <c r="AH528" s="16" t="str">
        <f t="shared" si="140"/>
        <v>error</v>
      </c>
    </row>
    <row r="529" spans="1:34" x14ac:dyDescent="0.25">
      <c r="A529" s="12">
        <v>71929</v>
      </c>
      <c r="B529" s="13">
        <v>44.395916700000001</v>
      </c>
      <c r="C529" s="12">
        <v>89.476633300000003</v>
      </c>
      <c r="D529" s="14">
        <v>0</v>
      </c>
      <c r="T529" s="5">
        <f t="shared" si="126"/>
        <v>32696724.165020373</v>
      </c>
      <c r="U529" s="5">
        <f t="shared" si="127"/>
        <v>32696724.165020373</v>
      </c>
      <c r="V529" s="5" t="str">
        <f t="shared" si="128"/>
        <v>n/a</v>
      </c>
      <c r="W529" s="5" t="str">
        <f t="shared" si="129"/>
        <v>n/a</v>
      </c>
      <c r="X529" s="6" t="str">
        <f t="shared" si="130"/>
        <v>n/a</v>
      </c>
      <c r="Y529" s="16" t="str">
        <f t="shared" si="131"/>
        <v>error</v>
      </c>
      <c r="Z529" s="16" t="str">
        <f t="shared" si="132"/>
        <v>error</v>
      </c>
      <c r="AA529" s="16" t="str">
        <f t="shared" si="133"/>
        <v>error</v>
      </c>
      <c r="AB529" s="16" t="str">
        <f t="shared" si="134"/>
        <v>error</v>
      </c>
      <c r="AC529" s="18" t="str">
        <f t="shared" si="135"/>
        <v>error</v>
      </c>
      <c r="AD529" s="16" t="str">
        <f t="shared" si="136"/>
        <v>error</v>
      </c>
      <c r="AE529" s="16" t="str">
        <f t="shared" si="137"/>
        <v>error</v>
      </c>
      <c r="AF529" s="16" t="str">
        <f t="shared" si="138"/>
        <v>error</v>
      </c>
      <c r="AG529" s="16" t="str">
        <f t="shared" si="139"/>
        <v>error</v>
      </c>
      <c r="AH529" s="16" t="str">
        <f t="shared" si="140"/>
        <v>error</v>
      </c>
    </row>
    <row r="530" spans="1:34" x14ac:dyDescent="0.25">
      <c r="A530" s="12">
        <v>71934</v>
      </c>
      <c r="B530" s="13">
        <v>44.51343</v>
      </c>
      <c r="C530" s="12">
        <v>89.497829999999993</v>
      </c>
      <c r="D530" s="13">
        <v>0</v>
      </c>
      <c r="T530" s="5">
        <f t="shared" si="126"/>
        <v>32702512.483414866</v>
      </c>
      <c r="U530" s="5">
        <f t="shared" si="127"/>
        <v>32702512.483414866</v>
      </c>
      <c r="V530" s="5" t="str">
        <f t="shared" si="128"/>
        <v>n/a</v>
      </c>
      <c r="W530" s="5" t="str">
        <f t="shared" si="129"/>
        <v>n/a</v>
      </c>
      <c r="X530" s="6" t="str">
        <f t="shared" si="130"/>
        <v>n/a</v>
      </c>
      <c r="Y530" s="16" t="str">
        <f t="shared" si="131"/>
        <v>error</v>
      </c>
      <c r="Z530" s="16" t="str">
        <f t="shared" si="132"/>
        <v>error</v>
      </c>
      <c r="AA530" s="16" t="str">
        <f t="shared" si="133"/>
        <v>error</v>
      </c>
      <c r="AB530" s="16" t="str">
        <f t="shared" si="134"/>
        <v>error</v>
      </c>
      <c r="AC530" s="18" t="str">
        <f t="shared" si="135"/>
        <v>error</v>
      </c>
      <c r="AD530" s="16" t="str">
        <f t="shared" si="136"/>
        <v>error</v>
      </c>
      <c r="AE530" s="16" t="str">
        <f t="shared" si="137"/>
        <v>error</v>
      </c>
      <c r="AF530" s="16" t="str">
        <f t="shared" si="138"/>
        <v>error</v>
      </c>
      <c r="AG530" s="16" t="str">
        <f t="shared" si="139"/>
        <v>error</v>
      </c>
      <c r="AH530" s="16" t="str">
        <f t="shared" si="140"/>
        <v>error</v>
      </c>
    </row>
    <row r="531" spans="1:34" x14ac:dyDescent="0.25">
      <c r="A531" s="12">
        <v>71935</v>
      </c>
      <c r="B531" s="13">
        <v>44.513183300000001</v>
      </c>
      <c r="C531" s="12">
        <v>89.498350000000002</v>
      </c>
      <c r="D531" s="14">
        <v>3</v>
      </c>
      <c r="E531" s="13" t="s">
        <v>42</v>
      </c>
      <c r="F531" s="13">
        <v>44.482460000000003</v>
      </c>
      <c r="G531" s="12">
        <v>89.479780000000005</v>
      </c>
      <c r="H531" s="13" t="s">
        <v>39</v>
      </c>
      <c r="I531" s="13">
        <v>44.516190000000002</v>
      </c>
      <c r="J531" s="12">
        <v>89.536850000000001</v>
      </c>
      <c r="K531" s="13" t="s">
        <v>40</v>
      </c>
      <c r="L531" s="13">
        <v>44.54025</v>
      </c>
      <c r="M531" s="12">
        <v>89.512029999999996</v>
      </c>
      <c r="T531" s="5">
        <f t="shared" si="126"/>
        <v>12205.513193317645</v>
      </c>
      <c r="U531" s="5">
        <f t="shared" si="127"/>
        <v>10075.172893380795</v>
      </c>
      <c r="V531" s="5">
        <f t="shared" si="128"/>
        <v>10495.728375320792</v>
      </c>
      <c r="W531" s="5" t="str">
        <f t="shared" si="129"/>
        <v>n/a</v>
      </c>
      <c r="X531" s="6" t="str">
        <f t="shared" si="130"/>
        <v>n/a</v>
      </c>
      <c r="Y531" s="16">
        <f t="shared" si="131"/>
        <v>0.29635359466716937</v>
      </c>
      <c r="Z531" s="16">
        <f t="shared" si="132"/>
        <v>0.35901594422996408</v>
      </c>
      <c r="AA531" s="16">
        <f t="shared" si="133"/>
        <v>0.34463046110286655</v>
      </c>
      <c r="AB531" s="16" t="e">
        <f t="shared" si="134"/>
        <v>#VALUE!</v>
      </c>
      <c r="AC531" s="18" t="e">
        <f t="shared" si="135"/>
        <v>#VALUE!</v>
      </c>
      <c r="AD531" s="16">
        <f t="shared" si="136"/>
        <v>0.26178414253664856</v>
      </c>
      <c r="AE531" s="16">
        <f t="shared" si="137"/>
        <v>0.38419385103236986</v>
      </c>
      <c r="AF531" s="16">
        <f t="shared" si="138"/>
        <v>0.35402200643098164</v>
      </c>
      <c r="AG531" s="16" t="e">
        <f t="shared" si="139"/>
        <v>#VALUE!</v>
      </c>
      <c r="AH531" s="16" t="e">
        <f t="shared" si="140"/>
        <v>#VALUE!</v>
      </c>
    </row>
    <row r="532" spans="1:34" x14ac:dyDescent="0.25">
      <c r="A532" s="12">
        <v>71936</v>
      </c>
      <c r="B532" s="13">
        <v>44.40645</v>
      </c>
      <c r="C532" s="12">
        <v>89.672700000000006</v>
      </c>
      <c r="D532" s="13">
        <v>0</v>
      </c>
      <c r="T532" s="5">
        <f t="shared" si="126"/>
        <v>32747846.927895989</v>
      </c>
      <c r="U532" s="5">
        <f t="shared" si="127"/>
        <v>32747846.927895989</v>
      </c>
      <c r="V532" s="5" t="str">
        <f t="shared" si="128"/>
        <v>n/a</v>
      </c>
      <c r="W532" s="5" t="str">
        <f t="shared" si="129"/>
        <v>n/a</v>
      </c>
      <c r="X532" s="6" t="str">
        <f t="shared" si="130"/>
        <v>n/a</v>
      </c>
      <c r="Y532" s="16" t="str">
        <f t="shared" si="131"/>
        <v>error</v>
      </c>
      <c r="Z532" s="16" t="str">
        <f t="shared" si="132"/>
        <v>error</v>
      </c>
      <c r="AA532" s="16" t="str">
        <f t="shared" si="133"/>
        <v>error</v>
      </c>
      <c r="AB532" s="16" t="str">
        <f t="shared" si="134"/>
        <v>error</v>
      </c>
      <c r="AC532" s="18" t="str">
        <f t="shared" si="135"/>
        <v>error</v>
      </c>
      <c r="AD532" s="16" t="str">
        <f t="shared" si="136"/>
        <v>error</v>
      </c>
      <c r="AE532" s="16" t="str">
        <f t="shared" si="137"/>
        <v>error</v>
      </c>
      <c r="AF532" s="16" t="str">
        <f t="shared" si="138"/>
        <v>error</v>
      </c>
      <c r="AG532" s="16" t="str">
        <f t="shared" si="139"/>
        <v>error</v>
      </c>
      <c r="AH532" s="16" t="str">
        <f t="shared" si="140"/>
        <v>error</v>
      </c>
    </row>
    <row r="533" spans="1:34" x14ac:dyDescent="0.25">
      <c r="A533" s="12">
        <v>71998</v>
      </c>
      <c r="B533" s="13">
        <v>44.483170000000001</v>
      </c>
      <c r="C533" s="12">
        <v>89.334630000000004</v>
      </c>
      <c r="D533" s="14">
        <v>4</v>
      </c>
      <c r="E533" s="13" t="s">
        <v>42</v>
      </c>
      <c r="F533" s="13">
        <v>44.472119999999997</v>
      </c>
      <c r="G533" s="12">
        <v>89.482460000000003</v>
      </c>
      <c r="H533" s="13" t="s">
        <v>41</v>
      </c>
      <c r="I533" s="13">
        <v>44.474519999999998</v>
      </c>
      <c r="J533" s="12">
        <v>89.295339999999996</v>
      </c>
      <c r="K533" s="13" t="s">
        <v>43</v>
      </c>
      <c r="L533" s="13">
        <v>44.43627</v>
      </c>
      <c r="M533" s="12">
        <v>89.307379999999995</v>
      </c>
      <c r="N533" s="13" t="s">
        <v>45</v>
      </c>
      <c r="O533" s="13">
        <v>44.491999999999997</v>
      </c>
      <c r="P533" s="12">
        <v>89.325400000000002</v>
      </c>
      <c r="T533" s="5">
        <f t="shared" si="126"/>
        <v>38691.103711760763</v>
      </c>
      <c r="U533" s="5">
        <f t="shared" si="127"/>
        <v>10702.856875167958</v>
      </c>
      <c r="V533" s="5">
        <f t="shared" si="128"/>
        <v>18522.621071869442</v>
      </c>
      <c r="W533" s="5">
        <f t="shared" si="129"/>
        <v>4018.3626573780184</v>
      </c>
      <c r="X533" s="6" t="str">
        <f t="shared" si="130"/>
        <v>n/a</v>
      </c>
      <c r="Y533" s="16">
        <f t="shared" si="131"/>
        <v>6.1227774808533607E-2</v>
      </c>
      <c r="Z533" s="16">
        <f t="shared" si="132"/>
        <v>0.22133998546253855</v>
      </c>
      <c r="AA533" s="16">
        <f t="shared" si="133"/>
        <v>0.12789605617722721</v>
      </c>
      <c r="AB533" s="16">
        <f t="shared" si="134"/>
        <v>0.58953618355170057</v>
      </c>
      <c r="AC533" s="18" t="e">
        <f t="shared" si="135"/>
        <v>#VALUE!</v>
      </c>
      <c r="AD533" s="16">
        <f t="shared" si="136"/>
        <v>8.997565167528504E-3</v>
      </c>
      <c r="AE533" s="16">
        <f t="shared" si="137"/>
        <v>0.11758388426315748</v>
      </c>
      <c r="AF533" s="16">
        <f t="shared" si="138"/>
        <v>3.9259282103711032E-2</v>
      </c>
      <c r="AG533" s="16">
        <f t="shared" si="139"/>
        <v>0.83415926846560307</v>
      </c>
      <c r="AH533" s="16" t="e">
        <f t="shared" si="140"/>
        <v>#VALUE!</v>
      </c>
    </row>
    <row r="534" spans="1:34" x14ac:dyDescent="0.25">
      <c r="A534" s="12">
        <v>72021</v>
      </c>
      <c r="B534" s="13">
        <v>44.414299999999997</v>
      </c>
      <c r="C534" s="12">
        <v>89.6731999</v>
      </c>
      <c r="D534" s="14">
        <v>0</v>
      </c>
      <c r="T534" s="5">
        <f t="shared" si="126"/>
        <v>32747988.641421247</v>
      </c>
      <c r="U534" s="5">
        <f t="shared" si="127"/>
        <v>32747988.641421247</v>
      </c>
      <c r="V534" s="5" t="str">
        <f t="shared" si="128"/>
        <v>n/a</v>
      </c>
      <c r="W534" s="5" t="str">
        <f t="shared" si="129"/>
        <v>n/a</v>
      </c>
      <c r="X534" s="6" t="str">
        <f t="shared" si="130"/>
        <v>n/a</v>
      </c>
      <c r="Y534" s="16" t="str">
        <f t="shared" si="131"/>
        <v>error</v>
      </c>
      <c r="Z534" s="16" t="str">
        <f t="shared" si="132"/>
        <v>error</v>
      </c>
      <c r="AA534" s="16" t="str">
        <f t="shared" si="133"/>
        <v>error</v>
      </c>
      <c r="AB534" s="16" t="str">
        <f t="shared" si="134"/>
        <v>error</v>
      </c>
      <c r="AC534" s="18" t="str">
        <f t="shared" si="135"/>
        <v>error</v>
      </c>
      <c r="AD534" s="16" t="str">
        <f t="shared" si="136"/>
        <v>error</v>
      </c>
      <c r="AE534" s="16" t="str">
        <f t="shared" si="137"/>
        <v>error</v>
      </c>
      <c r="AF534" s="16" t="str">
        <f t="shared" si="138"/>
        <v>error</v>
      </c>
      <c r="AG534" s="16" t="str">
        <f t="shared" si="139"/>
        <v>error</v>
      </c>
      <c r="AH534" s="16" t="str">
        <f t="shared" si="140"/>
        <v>error</v>
      </c>
    </row>
    <row r="535" spans="1:34" x14ac:dyDescent="0.25">
      <c r="A535" s="12">
        <v>72022</v>
      </c>
      <c r="B535" s="13">
        <v>44.442599999999999</v>
      </c>
      <c r="C535" s="12">
        <v>89.587000000000003</v>
      </c>
      <c r="D535" s="14">
        <v>0</v>
      </c>
      <c r="T535" s="5">
        <f t="shared" si="126"/>
        <v>32725578.562993456</v>
      </c>
      <c r="U535" s="5">
        <f t="shared" si="127"/>
        <v>32725578.562993456</v>
      </c>
      <c r="V535" s="5" t="str">
        <f t="shared" si="128"/>
        <v>n/a</v>
      </c>
      <c r="W535" s="5" t="str">
        <f t="shared" si="129"/>
        <v>n/a</v>
      </c>
      <c r="X535" s="6" t="str">
        <f t="shared" si="130"/>
        <v>n/a</v>
      </c>
      <c r="Y535" s="16" t="str">
        <f t="shared" si="131"/>
        <v>error</v>
      </c>
      <c r="Z535" s="16" t="str">
        <f t="shared" si="132"/>
        <v>error</v>
      </c>
      <c r="AA535" s="16" t="str">
        <f t="shared" si="133"/>
        <v>error</v>
      </c>
      <c r="AB535" s="16" t="str">
        <f t="shared" si="134"/>
        <v>error</v>
      </c>
      <c r="AC535" s="18" t="str">
        <f t="shared" si="135"/>
        <v>error</v>
      </c>
      <c r="AD535" s="16" t="str">
        <f t="shared" si="136"/>
        <v>error</v>
      </c>
      <c r="AE535" s="16" t="str">
        <f t="shared" si="137"/>
        <v>error</v>
      </c>
      <c r="AF535" s="16" t="str">
        <f t="shared" si="138"/>
        <v>error</v>
      </c>
      <c r="AG535" s="16" t="str">
        <f t="shared" si="139"/>
        <v>error</v>
      </c>
      <c r="AH535" s="16" t="str">
        <f t="shared" si="140"/>
        <v>error</v>
      </c>
    </row>
    <row r="536" spans="1:34" x14ac:dyDescent="0.25">
      <c r="A536" s="12">
        <v>72080</v>
      </c>
      <c r="B536" s="13">
        <v>44.4233361</v>
      </c>
      <c r="C536" s="12">
        <v>89.5057434</v>
      </c>
      <c r="D536" s="13">
        <v>0</v>
      </c>
      <c r="T536" s="5">
        <f t="shared" si="126"/>
        <v>32704372.443379261</v>
      </c>
      <c r="U536" s="5">
        <f t="shared" si="127"/>
        <v>32704372.443379261</v>
      </c>
      <c r="V536" s="5" t="str">
        <f t="shared" si="128"/>
        <v>n/a</v>
      </c>
      <c r="W536" s="5" t="str">
        <f t="shared" si="129"/>
        <v>n/a</v>
      </c>
      <c r="X536" s="6" t="str">
        <f t="shared" si="130"/>
        <v>n/a</v>
      </c>
      <c r="Y536" s="16" t="str">
        <f t="shared" si="131"/>
        <v>error</v>
      </c>
      <c r="Z536" s="16" t="str">
        <f t="shared" si="132"/>
        <v>error</v>
      </c>
      <c r="AA536" s="16" t="str">
        <f t="shared" si="133"/>
        <v>error</v>
      </c>
      <c r="AB536" s="16" t="str">
        <f t="shared" si="134"/>
        <v>error</v>
      </c>
      <c r="AC536" s="18" t="str">
        <f t="shared" si="135"/>
        <v>error</v>
      </c>
      <c r="AD536" s="16" t="str">
        <f t="shared" si="136"/>
        <v>error</v>
      </c>
      <c r="AE536" s="16" t="str">
        <f t="shared" si="137"/>
        <v>error</v>
      </c>
      <c r="AF536" s="16" t="str">
        <f t="shared" si="138"/>
        <v>error</v>
      </c>
      <c r="AG536" s="16" t="str">
        <f t="shared" si="139"/>
        <v>error</v>
      </c>
      <c r="AH536" s="16" t="str">
        <f t="shared" si="140"/>
        <v>error</v>
      </c>
    </row>
    <row r="537" spans="1:34" x14ac:dyDescent="0.25">
      <c r="A537" s="12">
        <v>72081</v>
      </c>
      <c r="B537" s="13">
        <v>44.4233361</v>
      </c>
      <c r="C537" s="12">
        <v>89.5057434</v>
      </c>
      <c r="D537" s="13">
        <v>0</v>
      </c>
      <c r="T537" s="5">
        <f t="shared" si="126"/>
        <v>32704372.443379261</v>
      </c>
      <c r="U537" s="5">
        <f t="shared" si="127"/>
        <v>32704372.443379261</v>
      </c>
      <c r="V537" s="5" t="str">
        <f t="shared" si="128"/>
        <v>n/a</v>
      </c>
      <c r="W537" s="5" t="str">
        <f t="shared" si="129"/>
        <v>n/a</v>
      </c>
      <c r="X537" s="6" t="str">
        <f t="shared" si="130"/>
        <v>n/a</v>
      </c>
      <c r="Y537" s="16" t="str">
        <f t="shared" si="131"/>
        <v>error</v>
      </c>
      <c r="Z537" s="16" t="str">
        <f t="shared" si="132"/>
        <v>error</v>
      </c>
      <c r="AA537" s="16" t="str">
        <f t="shared" si="133"/>
        <v>error</v>
      </c>
      <c r="AB537" s="16" t="str">
        <f t="shared" si="134"/>
        <v>error</v>
      </c>
      <c r="AC537" s="18" t="str">
        <f t="shared" si="135"/>
        <v>error</v>
      </c>
      <c r="AD537" s="16" t="str">
        <f t="shared" si="136"/>
        <v>error</v>
      </c>
      <c r="AE537" s="16" t="str">
        <f t="shared" si="137"/>
        <v>error</v>
      </c>
      <c r="AF537" s="16" t="str">
        <f t="shared" si="138"/>
        <v>error</v>
      </c>
      <c r="AG537" s="16" t="str">
        <f t="shared" si="139"/>
        <v>error</v>
      </c>
      <c r="AH537" s="16" t="str">
        <f t="shared" si="140"/>
        <v>error</v>
      </c>
    </row>
    <row r="538" spans="1:34" x14ac:dyDescent="0.25">
      <c r="A538" s="12">
        <v>72082</v>
      </c>
      <c r="B538" s="13">
        <v>44.423333300000003</v>
      </c>
      <c r="C538" s="12">
        <v>89.495666700000001</v>
      </c>
      <c r="D538" s="14">
        <v>3</v>
      </c>
      <c r="E538" s="13" t="s">
        <v>42</v>
      </c>
      <c r="F538" s="13">
        <v>44.468649999999997</v>
      </c>
      <c r="G538" s="12">
        <v>89.498069999999998</v>
      </c>
      <c r="H538" s="13" t="s">
        <v>44</v>
      </c>
      <c r="I538" s="13">
        <v>44.396560000000001</v>
      </c>
      <c r="J538" s="12">
        <v>89.494640000000004</v>
      </c>
      <c r="K538" s="13" t="s">
        <v>50</v>
      </c>
      <c r="L538" s="13">
        <v>44.41048</v>
      </c>
      <c r="M538" s="12">
        <v>89.549909999999997</v>
      </c>
      <c r="T538" s="5">
        <f t="shared" si="126"/>
        <v>16543.954871992486</v>
      </c>
      <c r="U538" s="5">
        <f t="shared" si="127"/>
        <v>9770.9053361942351</v>
      </c>
      <c r="V538" s="5">
        <f t="shared" si="128"/>
        <v>14891.855021273652</v>
      </c>
      <c r="W538" s="5" t="str">
        <f t="shared" si="129"/>
        <v>n/a</v>
      </c>
      <c r="X538" s="6" t="str">
        <f t="shared" si="130"/>
        <v>n/a</v>
      </c>
      <c r="Y538" s="16">
        <f t="shared" si="131"/>
        <v>0.26287251951960444</v>
      </c>
      <c r="Z538" s="16">
        <f t="shared" si="132"/>
        <v>0.44509192857590563</v>
      </c>
      <c r="AA538" s="16">
        <f t="shared" si="133"/>
        <v>0.29203555190448988</v>
      </c>
      <c r="AB538" s="16" t="e">
        <f t="shared" si="134"/>
        <v>#VALUE!</v>
      </c>
      <c r="AC538" s="18" t="e">
        <f t="shared" si="135"/>
        <v>#VALUE!</v>
      </c>
      <c r="AD538" s="16">
        <f t="shared" si="136"/>
        <v>0.19603752046772349</v>
      </c>
      <c r="AE538" s="16">
        <f t="shared" si="137"/>
        <v>0.56201546069620656</v>
      </c>
      <c r="AF538" s="16">
        <f t="shared" si="138"/>
        <v>0.24194701883606998</v>
      </c>
      <c r="AG538" s="16" t="e">
        <f t="shared" si="139"/>
        <v>#VALUE!</v>
      </c>
      <c r="AH538" s="16" t="e">
        <f t="shared" si="140"/>
        <v>#VALUE!</v>
      </c>
    </row>
    <row r="539" spans="1:34" x14ac:dyDescent="0.25">
      <c r="A539" s="12">
        <v>72094</v>
      </c>
      <c r="B539" s="13">
        <v>44.456508300000003</v>
      </c>
      <c r="C539" s="12">
        <v>89.560133199999996</v>
      </c>
      <c r="D539" s="14">
        <v>4</v>
      </c>
      <c r="E539" s="13" t="s">
        <v>42</v>
      </c>
      <c r="F539" s="13">
        <v>44.470410000000001</v>
      </c>
      <c r="G539" s="12">
        <v>89.511759999999995</v>
      </c>
      <c r="H539" s="13" t="s">
        <v>44</v>
      </c>
      <c r="I539" s="13">
        <v>44.388379999999998</v>
      </c>
      <c r="J539" s="12">
        <v>89.530510000000007</v>
      </c>
      <c r="K539" s="13" t="s">
        <v>48</v>
      </c>
      <c r="L539" s="13">
        <v>44.462609999999998</v>
      </c>
      <c r="M539" s="12">
        <v>89.562640000000002</v>
      </c>
      <c r="N539" s="13" t="s">
        <v>49</v>
      </c>
      <c r="O539" s="13">
        <v>44.43582</v>
      </c>
      <c r="P539" s="12">
        <v>89.562870000000004</v>
      </c>
      <c r="T539" s="5">
        <f t="shared" si="126"/>
        <v>13577.463913610891</v>
      </c>
      <c r="U539" s="5">
        <f t="shared" si="127"/>
        <v>26024.927580120831</v>
      </c>
      <c r="V539" s="5">
        <f t="shared" si="128"/>
        <v>2319.7053209683654</v>
      </c>
      <c r="W539" s="5">
        <f t="shared" si="129"/>
        <v>7580.9387978619225</v>
      </c>
      <c r="X539" s="6" t="str">
        <f t="shared" si="130"/>
        <v>n/a</v>
      </c>
      <c r="Y539" s="16">
        <f t="shared" si="131"/>
        <v>0.10910111853614356</v>
      </c>
      <c r="Z539" s="16">
        <f t="shared" si="132"/>
        <v>5.6919140132039352E-2</v>
      </c>
      <c r="AA539" s="16">
        <f t="shared" si="133"/>
        <v>0.63857960167142913</v>
      </c>
      <c r="AB539" s="16">
        <f t="shared" si="134"/>
        <v>0.19540013966038799</v>
      </c>
      <c r="AC539" s="18" t="e">
        <f t="shared" si="135"/>
        <v>#VALUE!</v>
      </c>
      <c r="AD539" s="16">
        <f t="shared" si="136"/>
        <v>2.5814028326842819E-2</v>
      </c>
      <c r="AE539" s="16">
        <f t="shared" si="137"/>
        <v>7.0260953192811271E-3</v>
      </c>
      <c r="AF539" s="16">
        <f t="shared" si="138"/>
        <v>0.88435667733858769</v>
      </c>
      <c r="AG539" s="16">
        <f t="shared" si="139"/>
        <v>8.2803199015288334E-2</v>
      </c>
      <c r="AH539" s="16" t="e">
        <f t="shared" si="140"/>
        <v>#VALUE!</v>
      </c>
    </row>
    <row r="540" spans="1:34" x14ac:dyDescent="0.25">
      <c r="A540" s="12">
        <v>72095</v>
      </c>
      <c r="B540" s="13">
        <v>44.456200000000003</v>
      </c>
      <c r="C540" s="12">
        <v>89.562233300000003</v>
      </c>
      <c r="D540" s="14">
        <v>4</v>
      </c>
      <c r="E540" s="13" t="s">
        <v>42</v>
      </c>
      <c r="F540" s="13">
        <v>44.470410000000001</v>
      </c>
      <c r="G540" s="12">
        <v>89.511759999999995</v>
      </c>
      <c r="H540" s="13" t="s">
        <v>44</v>
      </c>
      <c r="I540" s="13">
        <v>44.388379999999998</v>
      </c>
      <c r="J540" s="12">
        <v>89.530510000000007</v>
      </c>
      <c r="K540" s="13" t="s">
        <v>48</v>
      </c>
      <c r="L540" s="13">
        <v>44.462609999999998</v>
      </c>
      <c r="M540" s="12">
        <v>89.562640000000002</v>
      </c>
      <c r="N540" s="13" t="s">
        <v>49</v>
      </c>
      <c r="O540" s="13">
        <v>44.43582</v>
      </c>
      <c r="P540" s="12">
        <v>89.562870000000004</v>
      </c>
      <c r="T540" s="5">
        <f t="shared" si="126"/>
        <v>14127.077983871706</v>
      </c>
      <c r="U540" s="5">
        <f t="shared" si="127"/>
        <v>26085.725278341757</v>
      </c>
      <c r="V540" s="5">
        <f t="shared" si="128"/>
        <v>2340.8463364327781</v>
      </c>
      <c r="W540" s="5">
        <f t="shared" si="129"/>
        <v>7436.7328874709247</v>
      </c>
      <c r="X540" s="6" t="str">
        <f t="shared" si="130"/>
        <v>n/a</v>
      </c>
      <c r="Y540" s="16">
        <f t="shared" si="131"/>
        <v>0.10552721378062017</v>
      </c>
      <c r="Z540" s="16">
        <f t="shared" si="132"/>
        <v>5.71496925077749E-2</v>
      </c>
      <c r="AA540" s="16">
        <f t="shared" si="133"/>
        <v>0.63685990630693978</v>
      </c>
      <c r="AB540" s="16">
        <f t="shared" si="134"/>
        <v>0.20046318740466537</v>
      </c>
      <c r="AC540" s="18" t="e">
        <f t="shared" si="135"/>
        <v>#VALUE!</v>
      </c>
      <c r="AD540" s="16">
        <f t="shared" si="136"/>
        <v>2.4199310238987675E-2</v>
      </c>
      <c r="AE540" s="16">
        <f t="shared" si="137"/>
        <v>7.0974418013105235E-3</v>
      </c>
      <c r="AF540" s="16">
        <f t="shared" si="138"/>
        <v>0.88137730038854556</v>
      </c>
      <c r="AG540" s="16">
        <f t="shared" si="139"/>
        <v>8.7325947571156151E-2</v>
      </c>
      <c r="AH540" s="16" t="e">
        <f t="shared" si="140"/>
        <v>#VALUE!</v>
      </c>
    </row>
    <row r="541" spans="1:34" x14ac:dyDescent="0.25">
      <c r="A541" s="12">
        <v>72096</v>
      </c>
      <c r="B541" s="13">
        <v>44.454416700000003</v>
      </c>
      <c r="C541" s="12">
        <v>89.562316800000005</v>
      </c>
      <c r="D541" s="14">
        <v>4</v>
      </c>
      <c r="E541" s="13" t="s">
        <v>42</v>
      </c>
      <c r="F541" s="13">
        <v>44.470410000000001</v>
      </c>
      <c r="G541" s="12">
        <v>89.511759999999995</v>
      </c>
      <c r="H541" s="13" t="s">
        <v>44</v>
      </c>
      <c r="I541" s="13">
        <v>44.388379999999998</v>
      </c>
      <c r="J541" s="12">
        <v>89.530510000000007</v>
      </c>
      <c r="K541" s="13" t="s">
        <v>48</v>
      </c>
      <c r="L541" s="13">
        <v>44.462609999999998</v>
      </c>
      <c r="M541" s="12">
        <v>89.562640000000002</v>
      </c>
      <c r="N541" s="13" t="s">
        <v>49</v>
      </c>
      <c r="O541" s="13">
        <v>44.43582</v>
      </c>
      <c r="P541" s="12">
        <v>89.562870000000004</v>
      </c>
      <c r="T541" s="5">
        <f t="shared" si="126"/>
        <v>14398.605898301688</v>
      </c>
      <c r="U541" s="5">
        <f t="shared" si="127"/>
        <v>25476.620767935219</v>
      </c>
      <c r="V541" s="5">
        <f t="shared" si="128"/>
        <v>2990.2048280074246</v>
      </c>
      <c r="W541" s="5">
        <f t="shared" si="129"/>
        <v>6785.8430413530059</v>
      </c>
      <c r="X541" s="6" t="str">
        <f t="shared" si="130"/>
        <v>n/a</v>
      </c>
      <c r="Y541" s="16">
        <f t="shared" si="131"/>
        <v>0.11761542271515586</v>
      </c>
      <c r="Z541" s="16">
        <f t="shared" si="132"/>
        <v>6.6472635231479366E-2</v>
      </c>
      <c r="AA541" s="16">
        <f t="shared" si="133"/>
        <v>0.56634853351038894</v>
      </c>
      <c r="AB541" s="16">
        <f t="shared" si="134"/>
        <v>0.24956340854297579</v>
      </c>
      <c r="AC541" s="18" t="e">
        <f t="shared" si="135"/>
        <v>#VALUE!</v>
      </c>
      <c r="AD541" s="16">
        <f t="shared" si="136"/>
        <v>3.4472763732415763E-2</v>
      </c>
      <c r="AE541" s="16">
        <f t="shared" si="137"/>
        <v>1.1011166957439438E-2</v>
      </c>
      <c r="AF541" s="16">
        <f t="shared" si="138"/>
        <v>0.79930975977649366</v>
      </c>
      <c r="AG541" s="16">
        <f t="shared" si="139"/>
        <v>0.15520630953365119</v>
      </c>
      <c r="AH541" s="16" t="e">
        <f t="shared" si="140"/>
        <v>#VALUE!</v>
      </c>
    </row>
    <row r="542" spans="1:34" x14ac:dyDescent="0.25">
      <c r="A542" s="12">
        <v>72169</v>
      </c>
      <c r="B542" s="13">
        <v>44.417700000000004</v>
      </c>
      <c r="C542" s="12">
        <v>89.657583299999999</v>
      </c>
      <c r="D542" s="14">
        <v>0</v>
      </c>
      <c r="T542" s="5">
        <f t="shared" si="126"/>
        <v>32743924.411166586</v>
      </c>
      <c r="U542" s="5">
        <f t="shared" si="127"/>
        <v>32743924.411166586</v>
      </c>
      <c r="V542" s="5" t="str">
        <f t="shared" si="128"/>
        <v>n/a</v>
      </c>
      <c r="W542" s="5" t="str">
        <f t="shared" si="129"/>
        <v>n/a</v>
      </c>
      <c r="X542" s="6" t="str">
        <f t="shared" si="130"/>
        <v>n/a</v>
      </c>
      <c r="Y542" s="16" t="str">
        <f t="shared" si="131"/>
        <v>error</v>
      </c>
      <c r="Z542" s="16" t="str">
        <f t="shared" si="132"/>
        <v>error</v>
      </c>
      <c r="AA542" s="16" t="str">
        <f t="shared" si="133"/>
        <v>error</v>
      </c>
      <c r="AB542" s="16" t="str">
        <f t="shared" si="134"/>
        <v>error</v>
      </c>
      <c r="AC542" s="18" t="str">
        <f t="shared" si="135"/>
        <v>error</v>
      </c>
      <c r="AD542" s="16" t="str">
        <f t="shared" si="136"/>
        <v>error</v>
      </c>
      <c r="AE542" s="16" t="str">
        <f t="shared" si="137"/>
        <v>error</v>
      </c>
      <c r="AF542" s="16" t="str">
        <f t="shared" si="138"/>
        <v>error</v>
      </c>
      <c r="AG542" s="16" t="str">
        <f t="shared" si="139"/>
        <v>error</v>
      </c>
      <c r="AH542" s="16" t="str">
        <f t="shared" si="140"/>
        <v>error</v>
      </c>
    </row>
    <row r="543" spans="1:34" x14ac:dyDescent="0.25">
      <c r="A543" s="12">
        <v>72269</v>
      </c>
      <c r="B543" s="13">
        <v>44.427239999999998</v>
      </c>
      <c r="C543" s="12">
        <v>89.456694999999996</v>
      </c>
      <c r="D543" s="14">
        <v>5</v>
      </c>
      <c r="E543" s="13" t="s">
        <v>42</v>
      </c>
      <c r="F543" s="13">
        <v>44.467849999999999</v>
      </c>
      <c r="G543" s="12">
        <v>89.487679999999997</v>
      </c>
      <c r="H543" s="13" t="s">
        <v>44</v>
      </c>
      <c r="I543" s="13">
        <v>44.400129999999997</v>
      </c>
      <c r="J543" s="12">
        <v>89.480549999999994</v>
      </c>
      <c r="K543" s="13" t="s">
        <v>51</v>
      </c>
      <c r="L543" s="13">
        <v>44.37968</v>
      </c>
      <c r="M543" s="12">
        <v>89.436890000000005</v>
      </c>
      <c r="N543" s="13" t="s">
        <v>46</v>
      </c>
      <c r="O543" s="13">
        <v>44.382379999999998</v>
      </c>
      <c r="P543" s="12">
        <v>89.367450000000005</v>
      </c>
      <c r="Q543" s="13" t="s">
        <v>43</v>
      </c>
      <c r="R543" s="13">
        <v>44.436579999999999</v>
      </c>
      <c r="S543" s="12">
        <v>89.376000000000005</v>
      </c>
      <c r="T543" s="5">
        <f t="shared" si="126"/>
        <v>16870.227978308969</v>
      </c>
      <c r="U543" s="5">
        <f t="shared" si="127"/>
        <v>11681.447037226049</v>
      </c>
      <c r="V543" s="5">
        <f t="shared" si="128"/>
        <v>18102.051709437856</v>
      </c>
      <c r="W543" s="5">
        <f t="shared" si="129"/>
        <v>28440.154091829518</v>
      </c>
      <c r="X543" s="6">
        <f t="shared" si="130"/>
        <v>21295.9305001666</v>
      </c>
      <c r="Y543" s="16">
        <f t="shared" si="131"/>
        <v>0.21001761667855523</v>
      </c>
      <c r="Z543" s="16">
        <f t="shared" si="132"/>
        <v>0.30330532352177531</v>
      </c>
      <c r="AA543" s="16">
        <f t="shared" si="133"/>
        <v>0.19572616019990127</v>
      </c>
      <c r="AB543" s="16">
        <f t="shared" si="134"/>
        <v>0.12457896892500314</v>
      </c>
      <c r="AC543" s="18">
        <f t="shared" si="135"/>
        <v>0.16637193067476497</v>
      </c>
      <c r="AD543" s="16">
        <f t="shared" si="136"/>
        <v>0.20269032879541221</v>
      </c>
      <c r="AE543" s="16">
        <f t="shared" si="137"/>
        <v>0.4227480779385494</v>
      </c>
      <c r="AF543" s="16">
        <f t="shared" si="138"/>
        <v>0.17604322985960841</v>
      </c>
      <c r="AG543" s="16">
        <f t="shared" si="139"/>
        <v>7.1319951637193041E-2</v>
      </c>
      <c r="AH543" s="16">
        <f t="shared" si="140"/>
        <v>0.12719841176923699</v>
      </c>
    </row>
    <row r="544" spans="1:34" x14ac:dyDescent="0.25">
      <c r="A544" s="12">
        <v>72301</v>
      </c>
      <c r="B544" s="13">
        <v>44.540666700000003</v>
      </c>
      <c r="C544" s="12">
        <v>89.444416700000005</v>
      </c>
      <c r="D544" s="14">
        <v>4</v>
      </c>
      <c r="E544" s="13" t="s">
        <v>42</v>
      </c>
      <c r="F544" s="13">
        <v>44.481119999999997</v>
      </c>
      <c r="G544" s="12">
        <v>89.479669999999999</v>
      </c>
      <c r="H544" s="13" t="s">
        <v>39</v>
      </c>
      <c r="I544" s="13">
        <v>44.558810000000001</v>
      </c>
      <c r="J544" s="12">
        <v>89.506240000000005</v>
      </c>
      <c r="K544" s="13" t="s">
        <v>40</v>
      </c>
      <c r="L544" s="13">
        <v>44.554780000000001</v>
      </c>
      <c r="M544" s="13">
        <v>89.461330000000004</v>
      </c>
      <c r="N544" s="13" t="s">
        <v>41</v>
      </c>
      <c r="O544" s="13">
        <v>44.54806</v>
      </c>
      <c r="P544" s="12">
        <v>89.354929999999996</v>
      </c>
      <c r="T544" s="5">
        <f t="shared" si="126"/>
        <v>23580.045372275657</v>
      </c>
      <c r="U544" s="5">
        <f t="shared" si="127"/>
        <v>17382.378115486059</v>
      </c>
      <c r="V544" s="5">
        <f t="shared" si="128"/>
        <v>6770.9194885536308</v>
      </c>
      <c r="W544" s="5">
        <f t="shared" si="129"/>
        <v>23422.779819097617</v>
      </c>
      <c r="X544" s="6" t="str">
        <f t="shared" si="130"/>
        <v>n/a</v>
      </c>
      <c r="Y544" s="16">
        <f t="shared" si="131"/>
        <v>0.14607475046286808</v>
      </c>
      <c r="Z544" s="16">
        <f t="shared" si="132"/>
        <v>0.19815753752299256</v>
      </c>
      <c r="AA544" s="16">
        <f t="shared" si="133"/>
        <v>0.50871218443539035</v>
      </c>
      <c r="AB544" s="16">
        <f t="shared" si="134"/>
        <v>0.14705552757874893</v>
      </c>
      <c r="AC544" s="18" t="e">
        <f t="shared" si="135"/>
        <v>#VALUE!</v>
      </c>
      <c r="AD544" s="16">
        <f t="shared" si="136"/>
        <v>6.2571049543184085E-2</v>
      </c>
      <c r="AE544" s="16">
        <f t="shared" si="137"/>
        <v>0.11514479924990229</v>
      </c>
      <c r="AF544" s="16">
        <f t="shared" si="138"/>
        <v>0.75887005010138908</v>
      </c>
      <c r="AG544" s="16">
        <f t="shared" si="139"/>
        <v>6.3414101105524479E-2</v>
      </c>
      <c r="AH544" s="16" t="e">
        <f t="shared" si="140"/>
        <v>#VALUE!</v>
      </c>
    </row>
    <row r="545" spans="1:34" x14ac:dyDescent="0.25">
      <c r="A545" s="12">
        <v>72304</v>
      </c>
      <c r="B545" s="13">
        <v>44.54072</v>
      </c>
      <c r="C545" s="12">
        <v>89.4435</v>
      </c>
      <c r="D545" s="14">
        <v>4</v>
      </c>
      <c r="E545" s="13" t="s">
        <v>42</v>
      </c>
      <c r="F545" s="13">
        <v>44.481119999999997</v>
      </c>
      <c r="G545" s="12">
        <v>89.479669999999999</v>
      </c>
      <c r="H545" s="13" t="s">
        <v>39</v>
      </c>
      <c r="I545" s="13">
        <v>44.558810000000001</v>
      </c>
      <c r="J545" s="12">
        <v>89.506240000000005</v>
      </c>
      <c r="K545" s="13" t="s">
        <v>40</v>
      </c>
      <c r="L545" s="13">
        <v>44.554780000000001</v>
      </c>
      <c r="M545" s="13">
        <v>89.461330000000004</v>
      </c>
      <c r="N545" s="13" t="s">
        <v>41</v>
      </c>
      <c r="O545" s="13">
        <v>44.54806</v>
      </c>
      <c r="P545" s="12">
        <v>89.354929999999996</v>
      </c>
      <c r="T545" s="5">
        <f t="shared" si="126"/>
        <v>23691.663398195211</v>
      </c>
      <c r="U545" s="5">
        <f t="shared" si="127"/>
        <v>17595.673102471734</v>
      </c>
      <c r="V545" s="5">
        <f t="shared" si="128"/>
        <v>6913.6326376199313</v>
      </c>
      <c r="W545" s="5">
        <f t="shared" si="129"/>
        <v>23183.770841154783</v>
      </c>
      <c r="X545" s="6" t="str">
        <f t="shared" si="130"/>
        <v>n/a</v>
      </c>
      <c r="Y545" s="16">
        <f t="shared" si="131"/>
        <v>0.14716358193131338</v>
      </c>
      <c r="Z545" s="16">
        <f t="shared" si="132"/>
        <v>0.19814814854111093</v>
      </c>
      <c r="AA545" s="16">
        <f t="shared" si="133"/>
        <v>0.50430073889342053</v>
      </c>
      <c r="AB545" s="16">
        <f t="shared" si="134"/>
        <v>0.15038753063415519</v>
      </c>
      <c r="AC545" s="18" t="e">
        <f t="shared" si="135"/>
        <v>#VALUE!</v>
      </c>
      <c r="AD545" s="16">
        <f t="shared" si="136"/>
        <v>6.41017323812096E-2</v>
      </c>
      <c r="AE545" s="16">
        <f t="shared" si="137"/>
        <v>0.11621149930904306</v>
      </c>
      <c r="AF545" s="16">
        <f t="shared" si="138"/>
        <v>0.7527456869874537</v>
      </c>
      <c r="AG545" s="16">
        <f t="shared" si="139"/>
        <v>6.6941081322293663E-2</v>
      </c>
      <c r="AH545" s="16" t="e">
        <f t="shared" si="140"/>
        <v>#VALUE!</v>
      </c>
    </row>
    <row r="546" spans="1:34" x14ac:dyDescent="0.25">
      <c r="A546" s="12">
        <v>72420</v>
      </c>
      <c r="B546" s="13">
        <v>44.5936667</v>
      </c>
      <c r="C546" s="12">
        <v>89.390950000000004</v>
      </c>
      <c r="D546" s="13">
        <v>0</v>
      </c>
      <c r="T546" s="5">
        <f t="shared" si="126"/>
        <v>32674927.352262713</v>
      </c>
      <c r="U546" s="5">
        <f t="shared" si="127"/>
        <v>32674927.352262713</v>
      </c>
      <c r="V546" s="5" t="str">
        <f t="shared" si="128"/>
        <v>n/a</v>
      </c>
      <c r="W546" s="5" t="str">
        <f t="shared" si="129"/>
        <v>n/a</v>
      </c>
      <c r="X546" s="6" t="str">
        <f t="shared" si="130"/>
        <v>n/a</v>
      </c>
      <c r="Y546" s="16" t="str">
        <f t="shared" si="131"/>
        <v>error</v>
      </c>
      <c r="Z546" s="16" t="str">
        <f t="shared" si="132"/>
        <v>error</v>
      </c>
      <c r="AA546" s="16" t="str">
        <f t="shared" si="133"/>
        <v>error</v>
      </c>
      <c r="AB546" s="16" t="str">
        <f t="shared" si="134"/>
        <v>error</v>
      </c>
      <c r="AC546" s="18" t="str">
        <f t="shared" si="135"/>
        <v>error</v>
      </c>
      <c r="AD546" s="16" t="str">
        <f t="shared" si="136"/>
        <v>error</v>
      </c>
      <c r="AE546" s="16" t="str">
        <f t="shared" si="137"/>
        <v>error</v>
      </c>
      <c r="AF546" s="16" t="str">
        <f t="shared" si="138"/>
        <v>error</v>
      </c>
      <c r="AG546" s="16" t="str">
        <f t="shared" si="139"/>
        <v>error</v>
      </c>
      <c r="AH546" s="16" t="str">
        <f t="shared" si="140"/>
        <v>error</v>
      </c>
    </row>
    <row r="547" spans="1:34" x14ac:dyDescent="0.25">
      <c r="A547" s="12">
        <v>72421</v>
      </c>
      <c r="B547" s="13">
        <v>44.5931</v>
      </c>
      <c r="C547" s="12">
        <v>89.390599899999998</v>
      </c>
      <c r="D547" s="14">
        <v>4</v>
      </c>
      <c r="E547" s="13" t="s">
        <v>42</v>
      </c>
      <c r="F547" s="13">
        <v>44.481119999999997</v>
      </c>
      <c r="G547" s="12">
        <v>89.479669999999999</v>
      </c>
      <c r="H547" s="13" t="s">
        <v>39</v>
      </c>
      <c r="I547" s="13">
        <v>44.58616</v>
      </c>
      <c r="J547" s="12">
        <v>89.487179999999995</v>
      </c>
      <c r="K547" s="13" t="s">
        <v>40</v>
      </c>
      <c r="L547" s="13">
        <v>44.554780000000001</v>
      </c>
      <c r="M547" s="13">
        <v>89.461330000000004</v>
      </c>
      <c r="N547" s="13" t="s">
        <v>41</v>
      </c>
      <c r="O547" s="13">
        <v>44.598619999999997</v>
      </c>
      <c r="P547" s="12">
        <v>89.366849999999999</v>
      </c>
      <c r="T547" s="5">
        <f t="shared" si="126"/>
        <v>46960.836261440891</v>
      </c>
      <c r="U547" s="5">
        <f t="shared" si="127"/>
        <v>25219.161609930004</v>
      </c>
      <c r="V547" s="5">
        <f t="shared" si="128"/>
        <v>23092.950307898336</v>
      </c>
      <c r="W547" s="5">
        <f t="shared" si="129"/>
        <v>6489.9538619109708</v>
      </c>
      <c r="X547" s="6" t="str">
        <f t="shared" si="130"/>
        <v>n/a</v>
      </c>
      <c r="Y547" s="16">
        <f t="shared" si="131"/>
        <v>8.2429397636967328E-2</v>
      </c>
      <c r="Z547" s="16">
        <f t="shared" si="132"/>
        <v>0.15349255084017718</v>
      </c>
      <c r="AA547" s="16">
        <f t="shared" si="133"/>
        <v>0.16762489824588883</v>
      </c>
      <c r="AB547" s="16">
        <f t="shared" si="134"/>
        <v>0.59645315327696657</v>
      </c>
      <c r="AC547" s="18" t="e">
        <f t="shared" si="135"/>
        <v>#VALUE!</v>
      </c>
      <c r="AD547" s="16">
        <f t="shared" si="136"/>
        <v>1.6403808101047208E-2</v>
      </c>
      <c r="AE547" s="16">
        <f t="shared" si="137"/>
        <v>5.6879403698826894E-2</v>
      </c>
      <c r="AF547" s="16">
        <f t="shared" si="138"/>
        <v>6.783557055584287E-2</v>
      </c>
      <c r="AG547" s="16">
        <f t="shared" si="139"/>
        <v>0.85888121764428305</v>
      </c>
      <c r="AH547" s="16" t="e">
        <f t="shared" si="140"/>
        <v>#VALUE!</v>
      </c>
    </row>
    <row r="548" spans="1:34" x14ac:dyDescent="0.25">
      <c r="A548" s="12">
        <v>72422</v>
      </c>
      <c r="B548" s="13">
        <v>44.595528299999998</v>
      </c>
      <c r="C548" s="12">
        <v>89.388278299999996</v>
      </c>
      <c r="D548" s="14">
        <v>4</v>
      </c>
      <c r="E548" s="13" t="s">
        <v>42</v>
      </c>
      <c r="F548" s="13">
        <v>44.481119999999997</v>
      </c>
      <c r="G548" s="12">
        <v>89.479669999999999</v>
      </c>
      <c r="H548" s="13" t="s">
        <v>39</v>
      </c>
      <c r="I548" s="13">
        <v>44.58616</v>
      </c>
      <c r="J548" s="12">
        <v>89.487179999999995</v>
      </c>
      <c r="K548" s="13" t="s">
        <v>40</v>
      </c>
      <c r="L548" s="13">
        <v>44.554780000000001</v>
      </c>
      <c r="M548" s="13">
        <v>89.461330000000004</v>
      </c>
      <c r="N548" s="13" t="s">
        <v>41</v>
      </c>
      <c r="O548" s="13">
        <v>44.598619999999997</v>
      </c>
      <c r="P548" s="12">
        <v>89.366849999999999</v>
      </c>
      <c r="T548" s="5">
        <f t="shared" ref="T548:T611" si="141">ACOS( SIN($B548*PI()/180)*SIN(F548*PI()/180) + COS($B548*PI()/180) *COS(F548*PI()/180) *COS(G548*PI()/180 - $C548*PI()/180))*20902230.97</f>
        <v>48029.055146673825</v>
      </c>
      <c r="U548" s="5">
        <f t="shared" ref="U548:U611" si="142">ACOS( SIN($B548*PI()/180)*SIN(I548*PI()/180) + COS($B548*PI()/180) *COS(I548*PI()/180) *COS(J548*PI()/180 - $C548*PI()/180))*20902230.97</f>
        <v>25920.674617277698</v>
      </c>
      <c r="V548" s="5">
        <f t="shared" ref="V548:V611" si="143">IF(D548&lt;3,"n/a",ACOS( SIN($B548*PI()/180)*SIN(L548*PI()/180) + COS($B548*PI()/180) *COS(L548*PI()/180) *COS(M548*PI()/180 - $C548*PI()/180))*20902230.97)</f>
        <v>24111.522179061889</v>
      </c>
      <c r="W548" s="5">
        <f t="shared" ref="W548:W611" si="144">IF(D548&lt;4,"n/a",ACOS( SIN($B548*PI()/180)*SIN(O548*PI()/180) + COS($B548*PI()/180) *COS(O548*PI()/180) *COS(P548*PI()/180 - $C548*PI()/180))*20902230.97)</f>
        <v>5679.5334494598474</v>
      </c>
      <c r="X548" s="6" t="str">
        <f t="shared" ref="X548:X611" si="145">IF(D548&lt;5,"n/a", ACOS( SIN($B548*PI()/180)*SIN(R548*PI()/180) + COS($B548*PI()/180) *COS(R548*PI()/180) *COS(S548*PI()/180 - $C548*PI()/180))*20902230.97)</f>
        <v>n/a</v>
      </c>
      <c r="Y548" s="16">
        <f t="shared" ref="Y548:Y611" si="146">IF($D548=2,(1/T548)/((1/$T548)+(1/$U548)),IF($D548=3,(1/T548)/((1/$T548)+(1/$U548)+(1/$V548)),IF($D548=4,(1/T548)/((1/$T548)+(1/$U548)+(1/$V548)+(1/$W548)),IF($D548=5,(1/T548)/((1/$T548)+(1/$U548)+(1/$V548)+(1/$W548)+(1/$X548)),"error"))))</f>
        <v>7.5180094320514632E-2</v>
      </c>
      <c r="Z548" s="16">
        <f t="shared" ref="Z548:Z611" si="147">IF($D548=2,(1/U548)/((1/$T548)+(1/$U548)),IF($D548=3,(1/U548)/((1/$T548)+(1/$U548)+(1/$V548)),IF($D548=4,(1/U548)/((1/$T548)+(1/$U548)+(1/$V548)+(1/$W548)),IF($D548=5,(1/U548)/((1/$T548)+(1/$U548)+(1/$V548)+(1/$W548)+(1/$X548)),"error"))))</f>
        <v>0.13930304474580693</v>
      </c>
      <c r="AA548" s="16">
        <f t="shared" ref="AA548:AA611" si="148">IF($D548=2,(1/V548)/((1/$T548)+(1/$U548)),IF($D548=3,(1/V548)/((1/$T548)+(1/$U548)+(1/$V548)),IF($D548=4,(1/V548)/((1/$T548)+(1/$U548)+(1/$V548)+(1/$W548)),IF($D548=5,(1/V548)/((1/$T548)+(1/$U548)+(1/$V548)+(1/$W548)+(1/$X548)),"error"))))</f>
        <v>0.14975532731764776</v>
      </c>
      <c r="AB548" s="16">
        <f t="shared" ref="AB548:AB611" si="149">IF($D548=2,(1/W548)/((1/$T548)+(1/$U548)),IF($D548=3,(1/W548)/((1/$T548)+(1/$U548)+(1/$V548)),IF($D548=4,(1/W548)/((1/$T548)+(1/$U548)+(1/$V548)+(1/$W548)),IF($D548=5,(1/W548)/((1/$T548)+(1/$U548)+(1/$V548)+(1/$W548)+(1/$X548)),"error"))))</f>
        <v>0.63576153361603061</v>
      </c>
      <c r="AC548" s="18" t="e">
        <f t="shared" ref="AC548:AC611" si="150">IF($D548=2,(1/X548)/((1/$T548)+(1/$U548)),IF($D548=3,(1/X548)/((1/$T548)+(1/$U548)+(1/$V548)),IF($D548=4,(1/X548)/((1/$T548)+(1/$U548)+(1/$V548)+(1/$W548)),IF($D548=5,(1/X548)/((1/$T548)+(1/$U548)+(1/$V548)+(1/$W548)+(1/$X548)),"error"))))</f>
        <v>#VALUE!</v>
      </c>
      <c r="AD548" s="16">
        <f t="shared" ref="AD548:AD611" si="151">IF($D548=2,(1/T548^2)/((1/$T548^2)+(1/$U548^2)),IF($D548=3,(1/T548^2)/((1/$T548^2)+(1/$U548^2)+(1/$V548^2)),IF($D548=4,(1/T548^2)/((1/$T548^2)+(1/$U548^2)+(1/$V548^2)+(1/$W548^2)),IF($D548=5,(1/T548^2)/((1/$T548^2)+(1/$U548^2)+(1/$V548^2)+(1/$W548^2)+(1/$X548^2)),"error"))))</f>
        <v>1.2513476341151427E-2</v>
      </c>
      <c r="AE548" s="16">
        <f t="shared" ref="AE548:AE611" si="152">IF($D548=2,(1/U548^2)/((1/$T548^2)+(1/$U548^2)),IF($D548=3,(1/U548^2)/((1/$T548^2)+(1/$U548^2)+(1/$V548^2)),IF($D548=4,(1/U548^2)/((1/$T548^2)+(1/$U548^2)+(1/$V548^2)+(1/$W548^2)),IF($D548=5,(1/U548^2)/((1/$T548^2)+(1/$U548^2)+(1/$V548^2)+(1/$W548^2)+(1/$X548^2)),"error"))))</f>
        <v>4.2962887491667615E-2</v>
      </c>
      <c r="AF548" s="16">
        <f t="shared" ref="AF548:AF611" si="153">IF($D548=2,(1/V548^2)/((1/$T548^2)+(1/$U548^2)),IF($D548=3,(1/V548^2)/((1/$T548^2)+(1/$U548^2)+(1/$V548^2)),IF($D548=4,(1/V548^2)/((1/$T548^2)+(1/$U548^2)+(1/$V548^2)+(1/$W548^2)),IF($D548=5,(1/V548^2)/((1/$T548^2)+(1/$U548^2)+(1/$V548^2)+(1/$W548^2)+(1/$X548^2)),"error"))))</f>
        <v>4.9652006750400407E-2</v>
      </c>
      <c r="AG548" s="16">
        <f t="shared" ref="AG548:AG611" si="154">IF($D548=2,(1/W548^2)/((1/$T548^2)+(1/$U548^2)),IF($D548=3,(1/W548^2)/((1/$T548^2)+(1/$U548^2)+(1/$V548^2)),IF($D548=4,(1/W548^2)/((1/$T548^2)+(1/$U548^2)+(1/$V548^2)+(1/$W548^2)),IF($D548=5,(1/W548^2)/((1/$T548^2)+(1/$U548^2)+(1/$V548^2)+(1/$W548^2)+(1/$X548^2)),"error"))))</f>
        <v>0.89487162941678056</v>
      </c>
      <c r="AH548" s="16" t="e">
        <f t="shared" ref="AH548:AH611" si="155">IF($D548=2,(1/X548^2)/((1/$T548^2)+(1/$U548^2)),IF($D548=3,(1/X548^2)/((1/$T548^2)+(1/$U548^2)+(1/$V548^2)),IF($D548=4,(1/X548^2)/((1/$T548^2)+(1/$U548^2)+(1/$V548^2)+(1/$W548^2)),IF($D548=5,(1/X548^2)/((1/$T548^2)+(1/$U548^2)+(1/$V548^2)+(1/$W548^2)+(1/$X548^2)),"error"))))</f>
        <v>#VALUE!</v>
      </c>
    </row>
    <row r="549" spans="1:34" x14ac:dyDescent="0.25">
      <c r="A549" s="12">
        <v>72423</v>
      </c>
      <c r="B549" s="13">
        <v>44.440899999999999</v>
      </c>
      <c r="C549" s="12">
        <v>89.619100000000003</v>
      </c>
      <c r="D549" s="14">
        <v>0</v>
      </c>
      <c r="T549" s="5">
        <f t="shared" si="141"/>
        <v>32733936.308232382</v>
      </c>
      <c r="U549" s="5">
        <f t="shared" si="142"/>
        <v>32733936.308232382</v>
      </c>
      <c r="V549" s="5" t="str">
        <f t="shared" si="143"/>
        <v>n/a</v>
      </c>
      <c r="W549" s="5" t="str">
        <f t="shared" si="144"/>
        <v>n/a</v>
      </c>
      <c r="X549" s="6" t="str">
        <f t="shared" si="145"/>
        <v>n/a</v>
      </c>
      <c r="Y549" s="16" t="str">
        <f t="shared" si="146"/>
        <v>error</v>
      </c>
      <c r="Z549" s="16" t="str">
        <f t="shared" si="147"/>
        <v>error</v>
      </c>
      <c r="AA549" s="16" t="str">
        <f t="shared" si="148"/>
        <v>error</v>
      </c>
      <c r="AB549" s="16" t="str">
        <f t="shared" si="149"/>
        <v>error</v>
      </c>
      <c r="AC549" s="18" t="str">
        <f t="shared" si="150"/>
        <v>error</v>
      </c>
      <c r="AD549" s="16" t="str">
        <f t="shared" si="151"/>
        <v>error</v>
      </c>
      <c r="AE549" s="16" t="str">
        <f t="shared" si="152"/>
        <v>error</v>
      </c>
      <c r="AF549" s="16" t="str">
        <f t="shared" si="153"/>
        <v>error</v>
      </c>
      <c r="AG549" s="16" t="str">
        <f t="shared" si="154"/>
        <v>error</v>
      </c>
      <c r="AH549" s="16" t="str">
        <f t="shared" si="155"/>
        <v>error</v>
      </c>
    </row>
    <row r="550" spans="1:34" x14ac:dyDescent="0.25">
      <c r="A550" s="12">
        <v>72436</v>
      </c>
      <c r="B550" s="13">
        <v>44.449033300000004</v>
      </c>
      <c r="C550" s="12">
        <v>89.388050000000007</v>
      </c>
      <c r="D550" s="14">
        <v>3</v>
      </c>
      <c r="E550" s="13" t="s">
        <v>42</v>
      </c>
      <c r="F550" s="13">
        <v>44.469459999999998</v>
      </c>
      <c r="G550" s="12">
        <v>89.482420000000005</v>
      </c>
      <c r="H550" s="13" t="s">
        <v>43</v>
      </c>
      <c r="I550" s="13">
        <v>44.436599999999999</v>
      </c>
      <c r="J550" s="12">
        <v>89.374629999999996</v>
      </c>
      <c r="K550" s="13" t="s">
        <v>41</v>
      </c>
      <c r="L550" s="13">
        <v>44.46584</v>
      </c>
      <c r="M550" s="12">
        <v>89.286299999999997</v>
      </c>
      <c r="T550" s="5">
        <f t="shared" si="141"/>
        <v>25677.594112994757</v>
      </c>
      <c r="U550" s="5">
        <f t="shared" si="142"/>
        <v>5726.356622007509</v>
      </c>
      <c r="V550" s="5">
        <f t="shared" si="143"/>
        <v>27195.140781673566</v>
      </c>
      <c r="W550" s="5" t="str">
        <f t="shared" si="144"/>
        <v>n/a</v>
      </c>
      <c r="X550" s="6" t="str">
        <f t="shared" si="145"/>
        <v>n/a</v>
      </c>
      <c r="Y550" s="16">
        <f t="shared" si="146"/>
        <v>0.15556201296731309</v>
      </c>
      <c r="Z550" s="16">
        <f t="shared" si="147"/>
        <v>0.69755666509200775</v>
      </c>
      <c r="AA550" s="16">
        <f t="shared" si="148"/>
        <v>0.14688132194067932</v>
      </c>
      <c r="AB550" s="16" t="e">
        <f t="shared" si="149"/>
        <v>#VALUE!</v>
      </c>
      <c r="AC550" s="18" t="e">
        <f t="shared" si="150"/>
        <v>#VALUE!</v>
      </c>
      <c r="AD550" s="16">
        <f t="shared" si="151"/>
        <v>4.5457184966952356E-2</v>
      </c>
      <c r="AE550" s="16">
        <f t="shared" si="152"/>
        <v>0.91401729708548773</v>
      </c>
      <c r="AF550" s="16">
        <f t="shared" si="153"/>
        <v>4.0525517947559909E-2</v>
      </c>
      <c r="AG550" s="16" t="e">
        <f t="shared" si="154"/>
        <v>#VALUE!</v>
      </c>
      <c r="AH550" s="16" t="e">
        <f t="shared" si="155"/>
        <v>#VALUE!</v>
      </c>
    </row>
    <row r="551" spans="1:34" x14ac:dyDescent="0.25">
      <c r="A551" s="12">
        <v>72437</v>
      </c>
      <c r="B551" s="13">
        <v>44.447450000000003</v>
      </c>
      <c r="C551" s="12">
        <v>89.388383399999995</v>
      </c>
      <c r="D551" s="14">
        <v>3</v>
      </c>
      <c r="E551" s="13" t="s">
        <v>42</v>
      </c>
      <c r="F551" s="13">
        <v>44.469459999999998</v>
      </c>
      <c r="G551" s="12">
        <v>89.482420000000005</v>
      </c>
      <c r="H551" s="13" t="s">
        <v>43</v>
      </c>
      <c r="I551" s="13">
        <v>44.436599999999999</v>
      </c>
      <c r="J551" s="12">
        <v>89.374629999999996</v>
      </c>
      <c r="K551" s="13" t="s">
        <v>41</v>
      </c>
      <c r="L551" s="13">
        <v>44.46584</v>
      </c>
      <c r="M551" s="12">
        <v>89.286299999999997</v>
      </c>
      <c r="T551" s="5">
        <f t="shared" si="141"/>
        <v>25768.943559849704</v>
      </c>
      <c r="U551" s="5">
        <f t="shared" si="142"/>
        <v>5338.5268014832691</v>
      </c>
      <c r="V551" s="5">
        <f t="shared" si="143"/>
        <v>27415.676090361376</v>
      </c>
      <c r="W551" s="5" t="str">
        <f t="shared" si="144"/>
        <v>n/a</v>
      </c>
      <c r="X551" s="6" t="str">
        <f t="shared" si="145"/>
        <v>n/a</v>
      </c>
      <c r="Y551" s="16">
        <f t="shared" si="146"/>
        <v>0.14777791162383033</v>
      </c>
      <c r="Z551" s="16">
        <f t="shared" si="147"/>
        <v>0.71332051062643254</v>
      </c>
      <c r="AA551" s="16">
        <f t="shared" si="148"/>
        <v>0.13890157774973719</v>
      </c>
      <c r="AB551" s="16" t="e">
        <f t="shared" si="149"/>
        <v>#VALUE!</v>
      </c>
      <c r="AC551" s="18" t="e">
        <f t="shared" si="150"/>
        <v>#VALUE!</v>
      </c>
      <c r="AD551" s="16">
        <f t="shared" si="151"/>
        <v>3.9709044658285543E-2</v>
      </c>
      <c r="AE551" s="16">
        <f t="shared" si="152"/>
        <v>0.92520892284065503</v>
      </c>
      <c r="AF551" s="16">
        <f t="shared" si="153"/>
        <v>3.508203250105936E-2</v>
      </c>
      <c r="AG551" s="16" t="e">
        <f t="shared" si="154"/>
        <v>#VALUE!</v>
      </c>
      <c r="AH551" s="16" t="e">
        <f t="shared" si="155"/>
        <v>#VALUE!</v>
      </c>
    </row>
    <row r="552" spans="1:34" x14ac:dyDescent="0.25">
      <c r="A552" s="12">
        <v>72494</v>
      </c>
      <c r="B552" s="13">
        <v>44.448999999999998</v>
      </c>
      <c r="C552" s="12">
        <v>89.611566800000006</v>
      </c>
      <c r="D552" s="14">
        <v>0</v>
      </c>
      <c r="T552" s="5">
        <f t="shared" si="141"/>
        <v>32731988.211604517</v>
      </c>
      <c r="U552" s="5">
        <f t="shared" si="142"/>
        <v>32731988.211604517</v>
      </c>
      <c r="V552" s="5" t="str">
        <f t="shared" si="143"/>
        <v>n/a</v>
      </c>
      <c r="W552" s="5" t="str">
        <f t="shared" si="144"/>
        <v>n/a</v>
      </c>
      <c r="X552" s="6" t="str">
        <f t="shared" si="145"/>
        <v>n/a</v>
      </c>
      <c r="Y552" s="16" t="str">
        <f t="shared" si="146"/>
        <v>error</v>
      </c>
      <c r="Z552" s="16" t="str">
        <f t="shared" si="147"/>
        <v>error</v>
      </c>
      <c r="AA552" s="16" t="str">
        <f t="shared" si="148"/>
        <v>error</v>
      </c>
      <c r="AB552" s="16" t="str">
        <f t="shared" si="149"/>
        <v>error</v>
      </c>
      <c r="AC552" s="18" t="str">
        <f t="shared" si="150"/>
        <v>error</v>
      </c>
      <c r="AD552" s="16" t="str">
        <f t="shared" si="151"/>
        <v>error</v>
      </c>
      <c r="AE552" s="16" t="str">
        <f t="shared" si="152"/>
        <v>error</v>
      </c>
      <c r="AF552" s="16" t="str">
        <f t="shared" si="153"/>
        <v>error</v>
      </c>
      <c r="AG552" s="16" t="str">
        <f t="shared" si="154"/>
        <v>error</v>
      </c>
      <c r="AH552" s="16" t="str">
        <f t="shared" si="155"/>
        <v>error</v>
      </c>
    </row>
    <row r="553" spans="1:34" x14ac:dyDescent="0.25">
      <c r="A553" s="12">
        <v>72607</v>
      </c>
      <c r="B553" s="13">
        <v>44.434100000000001</v>
      </c>
      <c r="C553" s="12">
        <v>89.451849999999993</v>
      </c>
      <c r="D553" s="14">
        <v>5</v>
      </c>
      <c r="E553" s="13" t="s">
        <v>42</v>
      </c>
      <c r="F553" s="13">
        <v>44.4679</v>
      </c>
      <c r="G553" s="12">
        <v>89.487129999999993</v>
      </c>
      <c r="H553" s="13" t="s">
        <v>44</v>
      </c>
      <c r="I553" s="13">
        <v>44.400039999999997</v>
      </c>
      <c r="J553" s="12">
        <v>89.480410000000006</v>
      </c>
      <c r="K553" s="13" t="s">
        <v>51</v>
      </c>
      <c r="L553" s="13">
        <v>44.379460000000002</v>
      </c>
      <c r="M553" s="12">
        <v>89.439179999999993</v>
      </c>
      <c r="N553" s="13" t="s">
        <v>46</v>
      </c>
      <c r="O553" s="13">
        <v>44.38214</v>
      </c>
      <c r="P553" s="12">
        <v>89.366290000000006</v>
      </c>
      <c r="Q553" s="13" t="s">
        <v>43</v>
      </c>
      <c r="R553" s="13">
        <v>44.436340000000001</v>
      </c>
      <c r="S553" s="12">
        <v>89.375249999999994</v>
      </c>
      <c r="T553" s="5">
        <f t="shared" si="141"/>
        <v>15377.213277234972</v>
      </c>
      <c r="U553" s="5">
        <f t="shared" si="142"/>
        <v>14483.656528918946</v>
      </c>
      <c r="V553" s="5">
        <f t="shared" si="143"/>
        <v>20205.015057386387</v>
      </c>
      <c r="W553" s="5">
        <f t="shared" si="144"/>
        <v>29266.338638339806</v>
      </c>
      <c r="X553" s="6">
        <f t="shared" si="145"/>
        <v>19970.397027650692</v>
      </c>
      <c r="Y553" s="16">
        <f t="shared" si="146"/>
        <v>0.24282589394537277</v>
      </c>
      <c r="Z553" s="16">
        <f t="shared" si="147"/>
        <v>0.25780682888866741</v>
      </c>
      <c r="AA553" s="16">
        <f t="shared" si="148"/>
        <v>0.184804888777759</v>
      </c>
      <c r="AB553" s="16">
        <f t="shared" si="149"/>
        <v>0.1275863580537403</v>
      </c>
      <c r="AC553" s="18">
        <f t="shared" si="150"/>
        <v>0.18697603033446056</v>
      </c>
      <c r="AD553" s="16">
        <f t="shared" si="151"/>
        <v>0.2796908845557185</v>
      </c>
      <c r="AE553" s="16">
        <f t="shared" si="152"/>
        <v>0.31526601252577868</v>
      </c>
      <c r="AF553" s="16">
        <f t="shared" si="153"/>
        <v>0.16200008091790571</v>
      </c>
      <c r="AG553" s="16">
        <f t="shared" si="154"/>
        <v>7.721413336426855E-2</v>
      </c>
      <c r="AH553" s="16">
        <f t="shared" si="155"/>
        <v>0.16582888863632866</v>
      </c>
    </row>
    <row r="554" spans="1:34" x14ac:dyDescent="0.25">
      <c r="A554" s="12">
        <v>72608</v>
      </c>
      <c r="B554" s="13">
        <v>44.437333299999999</v>
      </c>
      <c r="C554" s="12">
        <v>89.456305099999994</v>
      </c>
      <c r="D554" s="13">
        <v>0</v>
      </c>
      <c r="T554" s="5">
        <f t="shared" si="141"/>
        <v>32691525.73350453</v>
      </c>
      <c r="U554" s="5">
        <f t="shared" si="142"/>
        <v>32691525.73350453</v>
      </c>
      <c r="V554" s="5" t="str">
        <f t="shared" si="143"/>
        <v>n/a</v>
      </c>
      <c r="W554" s="5" t="str">
        <f t="shared" si="144"/>
        <v>n/a</v>
      </c>
      <c r="X554" s="6" t="str">
        <f t="shared" si="145"/>
        <v>n/a</v>
      </c>
      <c r="Y554" s="16" t="str">
        <f t="shared" si="146"/>
        <v>error</v>
      </c>
      <c r="Z554" s="16" t="str">
        <f t="shared" si="147"/>
        <v>error</v>
      </c>
      <c r="AA554" s="16" t="str">
        <f t="shared" si="148"/>
        <v>error</v>
      </c>
      <c r="AB554" s="16" t="str">
        <f t="shared" si="149"/>
        <v>error</v>
      </c>
      <c r="AC554" s="18" t="str">
        <f t="shared" si="150"/>
        <v>error</v>
      </c>
      <c r="AD554" s="16" t="str">
        <f t="shared" si="151"/>
        <v>error</v>
      </c>
      <c r="AE554" s="16" t="str">
        <f t="shared" si="152"/>
        <v>error</v>
      </c>
      <c r="AF554" s="16" t="str">
        <f t="shared" si="153"/>
        <v>error</v>
      </c>
      <c r="AG554" s="16" t="str">
        <f t="shared" si="154"/>
        <v>error</v>
      </c>
      <c r="AH554" s="16" t="str">
        <f t="shared" si="155"/>
        <v>error</v>
      </c>
    </row>
    <row r="555" spans="1:34" x14ac:dyDescent="0.25">
      <c r="A555" s="12">
        <v>72609</v>
      </c>
      <c r="B555" s="13">
        <v>44.438616699999997</v>
      </c>
      <c r="C555" s="12">
        <v>89.477783299999999</v>
      </c>
      <c r="D555" s="13">
        <v>0</v>
      </c>
      <c r="T555" s="5">
        <f t="shared" si="141"/>
        <v>32697123.295114916</v>
      </c>
      <c r="U555" s="5">
        <f t="shared" si="142"/>
        <v>32697123.295114916</v>
      </c>
      <c r="V555" s="5" t="str">
        <f t="shared" si="143"/>
        <v>n/a</v>
      </c>
      <c r="W555" s="5" t="str">
        <f t="shared" si="144"/>
        <v>n/a</v>
      </c>
      <c r="X555" s="6" t="str">
        <f t="shared" si="145"/>
        <v>n/a</v>
      </c>
      <c r="Y555" s="16" t="str">
        <f t="shared" si="146"/>
        <v>error</v>
      </c>
      <c r="Z555" s="16" t="str">
        <f t="shared" si="147"/>
        <v>error</v>
      </c>
      <c r="AA555" s="16" t="str">
        <f t="shared" si="148"/>
        <v>error</v>
      </c>
      <c r="AB555" s="16" t="str">
        <f t="shared" si="149"/>
        <v>error</v>
      </c>
      <c r="AC555" s="18" t="str">
        <f t="shared" si="150"/>
        <v>error</v>
      </c>
      <c r="AD555" s="16" t="str">
        <f t="shared" si="151"/>
        <v>error</v>
      </c>
      <c r="AE555" s="16" t="str">
        <f t="shared" si="152"/>
        <v>error</v>
      </c>
      <c r="AF555" s="16" t="str">
        <f t="shared" si="153"/>
        <v>error</v>
      </c>
      <c r="AG555" s="16" t="str">
        <f t="shared" si="154"/>
        <v>error</v>
      </c>
      <c r="AH555" s="16" t="str">
        <f t="shared" si="155"/>
        <v>error</v>
      </c>
    </row>
    <row r="556" spans="1:34" x14ac:dyDescent="0.25">
      <c r="A556" s="12">
        <v>72610</v>
      </c>
      <c r="B556" s="13">
        <v>44.441600000000001</v>
      </c>
      <c r="C556" s="12">
        <v>89.477050000000006</v>
      </c>
      <c r="D556" s="14">
        <v>3</v>
      </c>
      <c r="E556" s="13" t="s">
        <v>42</v>
      </c>
      <c r="F556" s="13">
        <v>44.467950000000002</v>
      </c>
      <c r="G556" s="12">
        <v>89.488330000000005</v>
      </c>
      <c r="H556" s="13" t="s">
        <v>44</v>
      </c>
      <c r="I556" s="13">
        <v>44.400399999999998</v>
      </c>
      <c r="J556" s="12">
        <v>89.480429999999998</v>
      </c>
      <c r="K556" s="13" t="s">
        <v>43</v>
      </c>
      <c r="L556" s="13">
        <v>44.436520000000002</v>
      </c>
      <c r="M556" s="12">
        <v>89.375609999999995</v>
      </c>
      <c r="T556" s="5">
        <f t="shared" si="141"/>
        <v>10051.583857429345</v>
      </c>
      <c r="U556" s="5">
        <f t="shared" si="142"/>
        <v>15056.064193759688</v>
      </c>
      <c r="V556" s="5">
        <f t="shared" si="143"/>
        <v>26487.462065372714</v>
      </c>
      <c r="W556" s="5" t="str">
        <f t="shared" si="144"/>
        <v>n/a</v>
      </c>
      <c r="X556" s="6" t="str">
        <f t="shared" si="145"/>
        <v>n/a</v>
      </c>
      <c r="Y556" s="16">
        <f t="shared" si="146"/>
        <v>0.48849713373363723</v>
      </c>
      <c r="Z556" s="16">
        <f t="shared" si="147"/>
        <v>0.32612572852025018</v>
      </c>
      <c r="AA556" s="16">
        <f t="shared" si="148"/>
        <v>0.18537713774611267</v>
      </c>
      <c r="AB556" s="16" t="e">
        <f t="shared" si="149"/>
        <v>#VALUE!</v>
      </c>
      <c r="AC556" s="18" t="e">
        <f t="shared" si="150"/>
        <v>#VALUE!</v>
      </c>
      <c r="AD556" s="16">
        <f t="shared" si="151"/>
        <v>0.62904471802814432</v>
      </c>
      <c r="AE556" s="16">
        <f t="shared" si="152"/>
        <v>0.28036745853571765</v>
      </c>
      <c r="AF556" s="16">
        <f t="shared" si="153"/>
        <v>9.0587823436138026E-2</v>
      </c>
      <c r="AG556" s="16" t="e">
        <f t="shared" si="154"/>
        <v>#VALUE!</v>
      </c>
      <c r="AH556" s="16" t="e">
        <f t="shared" si="155"/>
        <v>#VALUE!</v>
      </c>
    </row>
    <row r="557" spans="1:34" x14ac:dyDescent="0.25">
      <c r="A557" s="12">
        <v>72712</v>
      </c>
      <c r="B557" s="13">
        <v>44.484028299999999</v>
      </c>
      <c r="C557" s="12">
        <v>89.4258332</v>
      </c>
      <c r="D557" s="13">
        <v>0</v>
      </c>
      <c r="T557" s="5">
        <f t="shared" si="141"/>
        <v>32683708.094684396</v>
      </c>
      <c r="U557" s="5">
        <f t="shared" si="142"/>
        <v>32683708.094684396</v>
      </c>
      <c r="V557" s="5" t="str">
        <f t="shared" si="143"/>
        <v>n/a</v>
      </c>
      <c r="W557" s="5" t="str">
        <f t="shared" si="144"/>
        <v>n/a</v>
      </c>
      <c r="X557" s="6" t="str">
        <f t="shared" si="145"/>
        <v>n/a</v>
      </c>
      <c r="Y557" s="16" t="str">
        <f t="shared" si="146"/>
        <v>error</v>
      </c>
      <c r="Z557" s="16" t="str">
        <f t="shared" si="147"/>
        <v>error</v>
      </c>
      <c r="AA557" s="16" t="str">
        <f t="shared" si="148"/>
        <v>error</v>
      </c>
      <c r="AB557" s="16" t="str">
        <f t="shared" si="149"/>
        <v>error</v>
      </c>
      <c r="AC557" s="18" t="str">
        <f t="shared" si="150"/>
        <v>error</v>
      </c>
      <c r="AD557" s="16" t="str">
        <f t="shared" si="151"/>
        <v>error</v>
      </c>
      <c r="AE557" s="16" t="str">
        <f t="shared" si="152"/>
        <v>error</v>
      </c>
      <c r="AF557" s="16" t="str">
        <f t="shared" si="153"/>
        <v>error</v>
      </c>
      <c r="AG557" s="16" t="str">
        <f t="shared" si="154"/>
        <v>error</v>
      </c>
      <c r="AH557" s="16" t="str">
        <f t="shared" si="155"/>
        <v>error</v>
      </c>
    </row>
    <row r="558" spans="1:34" x14ac:dyDescent="0.25">
      <c r="A558" s="12">
        <v>72713</v>
      </c>
      <c r="B558" s="13">
        <v>44.483833300000001</v>
      </c>
      <c r="C558" s="12">
        <v>89.425749999999994</v>
      </c>
      <c r="D558" s="14">
        <v>3</v>
      </c>
      <c r="E558" s="13" t="s">
        <v>42</v>
      </c>
      <c r="F558" s="13">
        <v>44.482480000000002</v>
      </c>
      <c r="G558" s="12">
        <v>89.480019999999996</v>
      </c>
      <c r="H558" s="13" t="s">
        <v>43</v>
      </c>
      <c r="I558" s="13">
        <v>44.436680000000003</v>
      </c>
      <c r="J558" s="12">
        <v>89.375699999999995</v>
      </c>
      <c r="K558" s="13" t="s">
        <v>41</v>
      </c>
      <c r="L558" s="13">
        <v>44.492139999999999</v>
      </c>
      <c r="M558" s="12">
        <v>89.310069999999996</v>
      </c>
      <c r="T558" s="5">
        <f t="shared" si="141"/>
        <v>14133.912869176693</v>
      </c>
      <c r="U558" s="5">
        <f t="shared" si="142"/>
        <v>21581.167678577302</v>
      </c>
      <c r="V558" s="5">
        <f t="shared" si="143"/>
        <v>30258.594231896324</v>
      </c>
      <c r="W558" s="5" t="str">
        <f t="shared" si="144"/>
        <v>n/a</v>
      </c>
      <c r="X558" s="6" t="str">
        <f t="shared" si="145"/>
        <v>n/a</v>
      </c>
      <c r="Y558" s="16">
        <f t="shared" si="146"/>
        <v>0.47124844848296538</v>
      </c>
      <c r="Z558" s="16">
        <f t="shared" si="147"/>
        <v>0.3086294777832902</v>
      </c>
      <c r="AA558" s="16">
        <f t="shared" si="148"/>
        <v>0.22012207373374437</v>
      </c>
      <c r="AB558" s="16" t="e">
        <f t="shared" si="149"/>
        <v>#VALUE!</v>
      </c>
      <c r="AC558" s="18" t="e">
        <f t="shared" si="150"/>
        <v>#VALUE!</v>
      </c>
      <c r="AD558" s="16">
        <f t="shared" si="151"/>
        <v>0.60712587877889035</v>
      </c>
      <c r="AE558" s="16">
        <f t="shared" si="152"/>
        <v>0.2604076188164029</v>
      </c>
      <c r="AF558" s="16">
        <f t="shared" si="153"/>
        <v>0.13246650240470678</v>
      </c>
      <c r="AG558" s="16" t="e">
        <f t="shared" si="154"/>
        <v>#VALUE!</v>
      </c>
      <c r="AH558" s="16" t="e">
        <f t="shared" si="155"/>
        <v>#VALUE!</v>
      </c>
    </row>
    <row r="559" spans="1:34" x14ac:dyDescent="0.25">
      <c r="A559" s="12">
        <v>72756</v>
      </c>
      <c r="B559" s="13">
        <v>44.512466699999997</v>
      </c>
      <c r="C559" s="12">
        <v>89.458699999999993</v>
      </c>
      <c r="D559" s="14">
        <v>4</v>
      </c>
      <c r="E559" s="13" t="s">
        <v>42</v>
      </c>
      <c r="F559" s="13">
        <v>44.482460000000003</v>
      </c>
      <c r="G559" s="12">
        <v>89.479770000000002</v>
      </c>
      <c r="H559" s="13" t="s">
        <v>39</v>
      </c>
      <c r="I559" s="13">
        <v>44.519500000000001</v>
      </c>
      <c r="J559" s="12">
        <v>89.534899999999993</v>
      </c>
      <c r="K559" s="13" t="s">
        <v>40</v>
      </c>
      <c r="L559" s="13">
        <v>44.55106</v>
      </c>
      <c r="M559" s="12">
        <v>89.471559999999997</v>
      </c>
      <c r="N559" s="13" t="s">
        <v>41</v>
      </c>
      <c r="O559" s="13">
        <v>44.515470000000001</v>
      </c>
      <c r="P559" s="12">
        <v>89.335930000000005</v>
      </c>
      <c r="T559" s="5">
        <f t="shared" si="141"/>
        <v>12243.085929953178</v>
      </c>
      <c r="U559" s="5">
        <f t="shared" si="142"/>
        <v>19987.396898490682</v>
      </c>
      <c r="V559" s="5">
        <f t="shared" si="143"/>
        <v>14471.087975669991</v>
      </c>
      <c r="W559" s="5">
        <f t="shared" si="144"/>
        <v>31956.235705116582</v>
      </c>
      <c r="X559" s="6" t="str">
        <f t="shared" si="145"/>
        <v>n/a</v>
      </c>
      <c r="Y559" s="16">
        <f t="shared" si="146"/>
        <v>0.35190222962840351</v>
      </c>
      <c r="Z559" s="16">
        <f t="shared" si="147"/>
        <v>0.21555429444681712</v>
      </c>
      <c r="AA559" s="16">
        <f t="shared" si="148"/>
        <v>0.29772255158190264</v>
      </c>
      <c r="AB559" s="16">
        <f t="shared" si="149"/>
        <v>0.13482092434287676</v>
      </c>
      <c r="AC559" s="18" t="e">
        <f t="shared" si="150"/>
        <v>#VALUE!</v>
      </c>
      <c r="AD559" s="16">
        <f t="shared" si="151"/>
        <v>0.44687412165802892</v>
      </c>
      <c r="AE559" s="16">
        <f t="shared" si="152"/>
        <v>0.16766967703723695</v>
      </c>
      <c r="AF559" s="16">
        <f t="shared" si="153"/>
        <v>0.31986346187349041</v>
      </c>
      <c r="AG559" s="16">
        <f t="shared" si="154"/>
        <v>6.5592739431243566E-2</v>
      </c>
      <c r="AH559" s="16" t="e">
        <f t="shared" si="155"/>
        <v>#VALUE!</v>
      </c>
    </row>
    <row r="560" spans="1:34" x14ac:dyDescent="0.25">
      <c r="A560" s="12">
        <v>72763</v>
      </c>
      <c r="B560" s="13">
        <v>44.394575000000003</v>
      </c>
      <c r="C560" s="12">
        <v>89.490490300000005</v>
      </c>
      <c r="D560" s="13">
        <v>0</v>
      </c>
      <c r="T560" s="5">
        <f t="shared" si="141"/>
        <v>32700333.109738294</v>
      </c>
      <c r="U560" s="5">
        <f t="shared" si="142"/>
        <v>32700333.109738294</v>
      </c>
      <c r="V560" s="5" t="str">
        <f t="shared" si="143"/>
        <v>n/a</v>
      </c>
      <c r="W560" s="5" t="str">
        <f t="shared" si="144"/>
        <v>n/a</v>
      </c>
      <c r="X560" s="6" t="str">
        <f t="shared" si="145"/>
        <v>n/a</v>
      </c>
      <c r="Y560" s="16" t="str">
        <f t="shared" si="146"/>
        <v>error</v>
      </c>
      <c r="Z560" s="16" t="str">
        <f t="shared" si="147"/>
        <v>error</v>
      </c>
      <c r="AA560" s="16" t="str">
        <f t="shared" si="148"/>
        <v>error</v>
      </c>
      <c r="AB560" s="16" t="str">
        <f t="shared" si="149"/>
        <v>error</v>
      </c>
      <c r="AC560" s="18" t="str">
        <f t="shared" si="150"/>
        <v>error</v>
      </c>
      <c r="AD560" s="16" t="str">
        <f t="shared" si="151"/>
        <v>error</v>
      </c>
      <c r="AE560" s="16" t="str">
        <f t="shared" si="152"/>
        <v>error</v>
      </c>
      <c r="AF560" s="16" t="str">
        <f t="shared" si="153"/>
        <v>error</v>
      </c>
      <c r="AG560" s="16" t="str">
        <f t="shared" si="154"/>
        <v>error</v>
      </c>
      <c r="AH560" s="16" t="str">
        <f t="shared" si="155"/>
        <v>error</v>
      </c>
    </row>
    <row r="561" spans="1:34" x14ac:dyDescent="0.25">
      <c r="A561" s="12">
        <v>72764</v>
      </c>
      <c r="B561" s="13">
        <v>44.392800000000001</v>
      </c>
      <c r="C561" s="12">
        <v>89.488183300000003</v>
      </c>
      <c r="D561" s="14">
        <v>0</v>
      </c>
      <c r="T561" s="5">
        <f t="shared" si="141"/>
        <v>32699727.702300828</v>
      </c>
      <c r="U561" s="5">
        <f t="shared" si="142"/>
        <v>32699727.702300828</v>
      </c>
      <c r="V561" s="5" t="str">
        <f t="shared" si="143"/>
        <v>n/a</v>
      </c>
      <c r="W561" s="5" t="str">
        <f t="shared" si="144"/>
        <v>n/a</v>
      </c>
      <c r="X561" s="6" t="str">
        <f t="shared" si="145"/>
        <v>n/a</v>
      </c>
      <c r="Y561" s="16" t="str">
        <f t="shared" si="146"/>
        <v>error</v>
      </c>
      <c r="Z561" s="16" t="str">
        <f t="shared" si="147"/>
        <v>error</v>
      </c>
      <c r="AA561" s="16" t="str">
        <f t="shared" si="148"/>
        <v>error</v>
      </c>
      <c r="AB561" s="16" t="str">
        <f t="shared" si="149"/>
        <v>error</v>
      </c>
      <c r="AC561" s="18" t="str">
        <f t="shared" si="150"/>
        <v>error</v>
      </c>
      <c r="AD561" s="16" t="str">
        <f t="shared" si="151"/>
        <v>error</v>
      </c>
      <c r="AE561" s="16" t="str">
        <f t="shared" si="152"/>
        <v>error</v>
      </c>
      <c r="AF561" s="16" t="str">
        <f t="shared" si="153"/>
        <v>error</v>
      </c>
      <c r="AG561" s="16" t="str">
        <f t="shared" si="154"/>
        <v>error</v>
      </c>
      <c r="AH561" s="16" t="str">
        <f t="shared" si="155"/>
        <v>error</v>
      </c>
    </row>
    <row r="562" spans="1:34" x14ac:dyDescent="0.25">
      <c r="A562" s="12">
        <v>72982</v>
      </c>
      <c r="B562" s="13">
        <v>44.527033299999999</v>
      </c>
      <c r="C562" s="12">
        <v>89.425316699999996</v>
      </c>
      <c r="D562" s="13">
        <v>0</v>
      </c>
      <c r="T562" s="5">
        <f t="shared" si="141"/>
        <v>32683683.973442629</v>
      </c>
      <c r="U562" s="5">
        <f t="shared" si="142"/>
        <v>32683683.973442629</v>
      </c>
      <c r="V562" s="5" t="str">
        <f t="shared" si="143"/>
        <v>n/a</v>
      </c>
      <c r="W562" s="5" t="str">
        <f t="shared" si="144"/>
        <v>n/a</v>
      </c>
      <c r="X562" s="6" t="str">
        <f t="shared" si="145"/>
        <v>n/a</v>
      </c>
      <c r="Y562" s="16" t="str">
        <f t="shared" si="146"/>
        <v>error</v>
      </c>
      <c r="Z562" s="16" t="str">
        <f t="shared" si="147"/>
        <v>error</v>
      </c>
      <c r="AA562" s="16" t="str">
        <f t="shared" si="148"/>
        <v>error</v>
      </c>
      <c r="AB562" s="16" t="str">
        <f t="shared" si="149"/>
        <v>error</v>
      </c>
      <c r="AC562" s="18" t="str">
        <f t="shared" si="150"/>
        <v>error</v>
      </c>
      <c r="AD562" s="16" t="str">
        <f t="shared" si="151"/>
        <v>error</v>
      </c>
      <c r="AE562" s="16" t="str">
        <f t="shared" si="152"/>
        <v>error</v>
      </c>
      <c r="AF562" s="16" t="str">
        <f t="shared" si="153"/>
        <v>error</v>
      </c>
      <c r="AG562" s="16" t="str">
        <f t="shared" si="154"/>
        <v>error</v>
      </c>
      <c r="AH562" s="16" t="str">
        <f t="shared" si="155"/>
        <v>error</v>
      </c>
    </row>
    <row r="563" spans="1:34" x14ac:dyDescent="0.25">
      <c r="A563" s="12">
        <v>72983</v>
      </c>
      <c r="B563" s="13">
        <v>44.526583299999999</v>
      </c>
      <c r="C563" s="12">
        <v>89.418216700000002</v>
      </c>
      <c r="D563" s="14">
        <v>4</v>
      </c>
      <c r="E563" s="13" t="s">
        <v>42</v>
      </c>
      <c r="F563" s="13">
        <v>44.475769999999997</v>
      </c>
      <c r="G563" s="12">
        <v>89.479730000000004</v>
      </c>
      <c r="H563" s="13" t="s">
        <v>40</v>
      </c>
      <c r="I563" s="13">
        <v>44.551259999999999</v>
      </c>
      <c r="J563" s="12">
        <v>89.469080000000005</v>
      </c>
      <c r="K563" s="13" t="s">
        <v>39</v>
      </c>
      <c r="L563" s="13">
        <v>44.534610000000001</v>
      </c>
      <c r="M563" s="12">
        <v>89.521129999999999</v>
      </c>
      <c r="N563" s="13" t="s">
        <v>41</v>
      </c>
      <c r="O563" s="13">
        <v>44.528460000000003</v>
      </c>
      <c r="P563" s="12">
        <v>89.339870000000005</v>
      </c>
      <c r="T563" s="5">
        <f t="shared" si="141"/>
        <v>24491.070863297122</v>
      </c>
      <c r="U563" s="5">
        <f t="shared" si="142"/>
        <v>15999.005388415993</v>
      </c>
      <c r="V563" s="5">
        <f t="shared" si="143"/>
        <v>26923.987626685634</v>
      </c>
      <c r="W563" s="5">
        <f t="shared" si="144"/>
        <v>20387.90804154511</v>
      </c>
      <c r="X563" s="6" t="str">
        <f t="shared" si="145"/>
        <v>n/a</v>
      </c>
      <c r="Y563" s="16">
        <f t="shared" si="146"/>
        <v>0.21543926586597401</v>
      </c>
      <c r="Z563" s="16">
        <f t="shared" si="147"/>
        <v>0.32979164635325309</v>
      </c>
      <c r="AA563" s="16">
        <f t="shared" si="148"/>
        <v>0.19597165175602183</v>
      </c>
      <c r="AB563" s="16">
        <f t="shared" si="149"/>
        <v>0.25879743602475103</v>
      </c>
      <c r="AC563" s="18" t="e">
        <f t="shared" si="150"/>
        <v>#VALUE!</v>
      </c>
      <c r="AD563" s="16">
        <f t="shared" si="151"/>
        <v>0.17813364787190941</v>
      </c>
      <c r="AE563" s="16">
        <f t="shared" si="152"/>
        <v>0.41742219943075093</v>
      </c>
      <c r="AF563" s="16">
        <f t="shared" si="153"/>
        <v>0.14739499843452619</v>
      </c>
      <c r="AG563" s="16">
        <f t="shared" si="154"/>
        <v>0.25704915426281355</v>
      </c>
      <c r="AH563" s="16" t="e">
        <f t="shared" si="155"/>
        <v>#VALUE!</v>
      </c>
    </row>
    <row r="564" spans="1:34" x14ac:dyDescent="0.25">
      <c r="A564" s="12">
        <v>73003</v>
      </c>
      <c r="B564" s="13">
        <v>44.590416699999999</v>
      </c>
      <c r="C564" s="12">
        <v>89.455183300000002</v>
      </c>
      <c r="D564" s="13">
        <v>0</v>
      </c>
      <c r="T564" s="5">
        <f t="shared" si="141"/>
        <v>32691605.835091427</v>
      </c>
      <c r="U564" s="5">
        <f t="shared" si="142"/>
        <v>32691605.835091427</v>
      </c>
      <c r="V564" s="5" t="str">
        <f t="shared" si="143"/>
        <v>n/a</v>
      </c>
      <c r="W564" s="5" t="str">
        <f t="shared" si="144"/>
        <v>n/a</v>
      </c>
      <c r="X564" s="6" t="str">
        <f t="shared" si="145"/>
        <v>n/a</v>
      </c>
      <c r="Y564" s="16" t="str">
        <f t="shared" si="146"/>
        <v>error</v>
      </c>
      <c r="Z564" s="16" t="str">
        <f t="shared" si="147"/>
        <v>error</v>
      </c>
      <c r="AA564" s="16" t="str">
        <f t="shared" si="148"/>
        <v>error</v>
      </c>
      <c r="AB564" s="16" t="str">
        <f t="shared" si="149"/>
        <v>error</v>
      </c>
      <c r="AC564" s="18" t="str">
        <f t="shared" si="150"/>
        <v>error</v>
      </c>
      <c r="AD564" s="16" t="str">
        <f t="shared" si="151"/>
        <v>error</v>
      </c>
      <c r="AE564" s="16" t="str">
        <f t="shared" si="152"/>
        <v>error</v>
      </c>
      <c r="AF564" s="16" t="str">
        <f t="shared" si="153"/>
        <v>error</v>
      </c>
      <c r="AG564" s="16" t="str">
        <f t="shared" si="154"/>
        <v>error</v>
      </c>
      <c r="AH564" s="16" t="str">
        <f t="shared" si="155"/>
        <v>error</v>
      </c>
    </row>
    <row r="565" spans="1:34" x14ac:dyDescent="0.25">
      <c r="A565" s="12">
        <v>73053</v>
      </c>
      <c r="B565" s="13">
        <v>44.396866699999997</v>
      </c>
      <c r="C565" s="12">
        <v>89.355149999999995</v>
      </c>
      <c r="D565" s="13">
        <v>0</v>
      </c>
      <c r="T565" s="5">
        <f t="shared" si="141"/>
        <v>32665061.02298297</v>
      </c>
      <c r="U565" s="5">
        <f t="shared" si="142"/>
        <v>32665061.02298297</v>
      </c>
      <c r="V565" s="5" t="str">
        <f t="shared" si="143"/>
        <v>n/a</v>
      </c>
      <c r="W565" s="5" t="str">
        <f t="shared" si="144"/>
        <v>n/a</v>
      </c>
      <c r="X565" s="6" t="str">
        <f t="shared" si="145"/>
        <v>n/a</v>
      </c>
      <c r="Y565" s="16" t="str">
        <f t="shared" si="146"/>
        <v>error</v>
      </c>
      <c r="Z565" s="16" t="str">
        <f t="shared" si="147"/>
        <v>error</v>
      </c>
      <c r="AA565" s="16" t="str">
        <f t="shared" si="148"/>
        <v>error</v>
      </c>
      <c r="AB565" s="16" t="str">
        <f t="shared" si="149"/>
        <v>error</v>
      </c>
      <c r="AC565" s="18" t="str">
        <f t="shared" si="150"/>
        <v>error</v>
      </c>
      <c r="AD565" s="16" t="str">
        <f t="shared" si="151"/>
        <v>error</v>
      </c>
      <c r="AE565" s="16" t="str">
        <f t="shared" si="152"/>
        <v>error</v>
      </c>
      <c r="AF565" s="16" t="str">
        <f t="shared" si="153"/>
        <v>error</v>
      </c>
      <c r="AG565" s="16" t="str">
        <f t="shared" si="154"/>
        <v>error</v>
      </c>
      <c r="AH565" s="16" t="str">
        <f t="shared" si="155"/>
        <v>error</v>
      </c>
    </row>
    <row r="566" spans="1:34" x14ac:dyDescent="0.25">
      <c r="A566" s="12">
        <v>73153</v>
      </c>
      <c r="B566" s="13">
        <v>44.510966699999997</v>
      </c>
      <c r="C566" s="12">
        <v>89.375216800000004</v>
      </c>
      <c r="D566" s="14">
        <v>3</v>
      </c>
      <c r="E566" s="13" t="s">
        <v>42</v>
      </c>
      <c r="F566" s="13">
        <v>44.482509999999998</v>
      </c>
      <c r="G566" s="12">
        <v>89.479879999999994</v>
      </c>
      <c r="H566" s="13" t="s">
        <v>41</v>
      </c>
      <c r="I566" s="13">
        <v>44.515999999999998</v>
      </c>
      <c r="J566" s="12">
        <v>89.336029999999994</v>
      </c>
      <c r="K566" s="13" t="s">
        <v>43</v>
      </c>
      <c r="L566" s="13">
        <v>44.436709999999998</v>
      </c>
      <c r="M566" s="12">
        <v>89.375789999999995</v>
      </c>
      <c r="T566" s="5">
        <f t="shared" si="141"/>
        <v>29146.664439989065</v>
      </c>
      <c r="U566" s="5">
        <f t="shared" si="142"/>
        <v>10358.21181586837</v>
      </c>
      <c r="V566" s="5">
        <f t="shared" si="143"/>
        <v>27090.201989364046</v>
      </c>
      <c r="W566" s="5" t="str">
        <f t="shared" si="144"/>
        <v>n/a</v>
      </c>
      <c r="X566" s="6" t="str">
        <f t="shared" si="145"/>
        <v>n/a</v>
      </c>
      <c r="Y566" s="16">
        <f t="shared" si="146"/>
        <v>0.20450809652996613</v>
      </c>
      <c r="Z566" s="16">
        <f t="shared" si="147"/>
        <v>0.57545925597777547</v>
      </c>
      <c r="AA566" s="16">
        <f t="shared" si="148"/>
        <v>0.22003264749225832</v>
      </c>
      <c r="AB566" s="16" t="e">
        <f t="shared" si="149"/>
        <v>#VALUE!</v>
      </c>
      <c r="AC566" s="18" t="e">
        <f t="shared" si="150"/>
        <v>#VALUE!</v>
      </c>
      <c r="AD566" s="16">
        <f t="shared" si="151"/>
        <v>9.9251131320231625E-2</v>
      </c>
      <c r="AE566" s="16">
        <f t="shared" si="152"/>
        <v>0.78585715653792965</v>
      </c>
      <c r="AF566" s="16">
        <f t="shared" si="153"/>
        <v>0.11489171214183873</v>
      </c>
      <c r="AG566" s="16" t="e">
        <f t="shared" si="154"/>
        <v>#VALUE!</v>
      </c>
      <c r="AH566" s="16" t="e">
        <f t="shared" si="155"/>
        <v>#VALUE!</v>
      </c>
    </row>
    <row r="567" spans="1:34" x14ac:dyDescent="0.25">
      <c r="A567" s="12">
        <v>73203</v>
      </c>
      <c r="B567" s="13">
        <v>44.435499999999998</v>
      </c>
      <c r="C567" s="12">
        <v>89.622666600000002</v>
      </c>
      <c r="D567" s="14">
        <v>0</v>
      </c>
      <c r="T567" s="5">
        <f t="shared" si="141"/>
        <v>32734856.194496505</v>
      </c>
      <c r="U567" s="5">
        <f t="shared" si="142"/>
        <v>32734856.194496505</v>
      </c>
      <c r="V567" s="5" t="str">
        <f t="shared" si="143"/>
        <v>n/a</v>
      </c>
      <c r="W567" s="5" t="str">
        <f t="shared" si="144"/>
        <v>n/a</v>
      </c>
      <c r="X567" s="6" t="str">
        <f t="shared" si="145"/>
        <v>n/a</v>
      </c>
      <c r="Y567" s="16" t="str">
        <f t="shared" si="146"/>
        <v>error</v>
      </c>
      <c r="Z567" s="16" t="str">
        <f t="shared" si="147"/>
        <v>error</v>
      </c>
      <c r="AA567" s="16" t="str">
        <f t="shared" si="148"/>
        <v>error</v>
      </c>
      <c r="AB567" s="16" t="str">
        <f t="shared" si="149"/>
        <v>error</v>
      </c>
      <c r="AC567" s="18" t="str">
        <f t="shared" si="150"/>
        <v>error</v>
      </c>
      <c r="AD567" s="16" t="str">
        <f t="shared" si="151"/>
        <v>error</v>
      </c>
      <c r="AE567" s="16" t="str">
        <f t="shared" si="152"/>
        <v>error</v>
      </c>
      <c r="AF567" s="16" t="str">
        <f t="shared" si="153"/>
        <v>error</v>
      </c>
      <c r="AG567" s="16" t="str">
        <f t="shared" si="154"/>
        <v>error</v>
      </c>
      <c r="AH567" s="16" t="str">
        <f t="shared" si="155"/>
        <v>error</v>
      </c>
    </row>
    <row r="568" spans="1:34" x14ac:dyDescent="0.25">
      <c r="A568" s="12">
        <v>73204</v>
      </c>
      <c r="B568" s="13">
        <v>44.432070000000003</v>
      </c>
      <c r="C568" s="12">
        <v>89.621920000000003</v>
      </c>
      <c r="D568" s="14">
        <v>0</v>
      </c>
      <c r="T568" s="5">
        <f t="shared" si="141"/>
        <v>32734655.933667563</v>
      </c>
      <c r="U568" s="5">
        <f t="shared" si="142"/>
        <v>32734655.933667563</v>
      </c>
      <c r="V568" s="5" t="str">
        <f t="shared" si="143"/>
        <v>n/a</v>
      </c>
      <c r="W568" s="5" t="str">
        <f t="shared" si="144"/>
        <v>n/a</v>
      </c>
      <c r="X568" s="6" t="str">
        <f t="shared" si="145"/>
        <v>n/a</v>
      </c>
      <c r="Y568" s="16" t="str">
        <f t="shared" si="146"/>
        <v>error</v>
      </c>
      <c r="Z568" s="16" t="str">
        <f t="shared" si="147"/>
        <v>error</v>
      </c>
      <c r="AA568" s="16" t="str">
        <f t="shared" si="148"/>
        <v>error</v>
      </c>
      <c r="AB568" s="16" t="str">
        <f t="shared" si="149"/>
        <v>error</v>
      </c>
      <c r="AC568" s="18" t="str">
        <f t="shared" si="150"/>
        <v>error</v>
      </c>
      <c r="AD568" s="16" t="str">
        <f t="shared" si="151"/>
        <v>error</v>
      </c>
      <c r="AE568" s="16" t="str">
        <f t="shared" si="152"/>
        <v>error</v>
      </c>
      <c r="AF568" s="16" t="str">
        <f t="shared" si="153"/>
        <v>error</v>
      </c>
      <c r="AG568" s="16" t="str">
        <f t="shared" si="154"/>
        <v>error</v>
      </c>
      <c r="AH568" s="16" t="str">
        <f t="shared" si="155"/>
        <v>error</v>
      </c>
    </row>
    <row r="569" spans="1:34" x14ac:dyDescent="0.25">
      <c r="A569" s="12">
        <v>73262</v>
      </c>
      <c r="B569" s="13">
        <v>44.461500000000001</v>
      </c>
      <c r="C569" s="12">
        <v>89.290944999999994</v>
      </c>
      <c r="D569" s="14">
        <v>3</v>
      </c>
      <c r="E569" s="13" t="s">
        <v>42</v>
      </c>
      <c r="F569" s="13">
        <v>44.472119999999997</v>
      </c>
      <c r="G569" s="12">
        <v>89.482460000000003</v>
      </c>
      <c r="H569" s="13" t="s">
        <v>41</v>
      </c>
      <c r="I569" s="13">
        <v>44.453830000000004</v>
      </c>
      <c r="J569" s="12">
        <v>89.282889999999995</v>
      </c>
      <c r="K569" s="13" t="s">
        <v>43</v>
      </c>
      <c r="L569" s="13">
        <v>44.43627</v>
      </c>
      <c r="M569" s="12">
        <v>89.307379999999995</v>
      </c>
      <c r="T569" s="5">
        <f t="shared" si="141"/>
        <v>50011.392386813197</v>
      </c>
      <c r="U569" s="5">
        <f t="shared" si="142"/>
        <v>3496.9643289721239</v>
      </c>
      <c r="V569" s="5">
        <f t="shared" si="143"/>
        <v>10150.749849256386</v>
      </c>
      <c r="W569" s="5" t="str">
        <f t="shared" si="144"/>
        <v>n/a</v>
      </c>
      <c r="X569" s="6" t="str">
        <f t="shared" si="145"/>
        <v>n/a</v>
      </c>
      <c r="Y569" s="16">
        <f t="shared" si="146"/>
        <v>4.9435837908817448E-2</v>
      </c>
      <c r="Z569" s="16">
        <f t="shared" si="147"/>
        <v>0.70700037376574343</v>
      </c>
      <c r="AA569" s="16">
        <f t="shared" si="148"/>
        <v>0.24356378832543898</v>
      </c>
      <c r="AB569" s="16" t="e">
        <f t="shared" si="149"/>
        <v>#VALUE!</v>
      </c>
      <c r="AC569" s="18" t="e">
        <f t="shared" si="150"/>
        <v>#VALUE!</v>
      </c>
      <c r="AD569" s="16">
        <f t="shared" si="151"/>
        <v>4.3515476909651947E-3</v>
      </c>
      <c r="AE569" s="16">
        <f t="shared" si="152"/>
        <v>0.89001891218203844</v>
      </c>
      <c r="AF569" s="16">
        <f t="shared" si="153"/>
        <v>0.10562954012699637</v>
      </c>
      <c r="AG569" s="16" t="e">
        <f t="shared" si="154"/>
        <v>#VALUE!</v>
      </c>
      <c r="AH569" s="16" t="e">
        <f t="shared" si="155"/>
        <v>#VALUE!</v>
      </c>
    </row>
    <row r="570" spans="1:34" x14ac:dyDescent="0.25">
      <c r="A570" s="12">
        <v>73280</v>
      </c>
      <c r="B570" s="13">
        <v>44.524634399999997</v>
      </c>
      <c r="C570" s="12">
        <v>89.475154200000006</v>
      </c>
      <c r="D570" s="14">
        <v>4</v>
      </c>
      <c r="E570" s="13" t="s">
        <v>42</v>
      </c>
      <c r="F570" s="13">
        <v>44.482559999999999</v>
      </c>
      <c r="G570" s="12">
        <v>89.479280000000003</v>
      </c>
      <c r="H570" s="13" t="s">
        <v>39</v>
      </c>
      <c r="I570" s="13">
        <v>4453428</v>
      </c>
      <c r="J570" s="12">
        <v>89.521349999999998</v>
      </c>
      <c r="K570" s="13" t="s">
        <v>40</v>
      </c>
      <c r="L570" s="13">
        <v>44.546990000000001</v>
      </c>
      <c r="M570" s="12">
        <v>89.499669999999995</v>
      </c>
      <c r="N570" s="13" t="s">
        <v>41</v>
      </c>
      <c r="O570" s="13">
        <v>44.527839999999998</v>
      </c>
      <c r="P570" s="12">
        <v>89.339889999999997</v>
      </c>
      <c r="T570" s="5">
        <f t="shared" si="141"/>
        <v>15386.769641382782</v>
      </c>
      <c r="U570" s="5">
        <f t="shared" si="142"/>
        <v>64398384.107105523</v>
      </c>
      <c r="V570" s="5">
        <f t="shared" si="143"/>
        <v>10351.648498862765</v>
      </c>
      <c r="W570" s="5">
        <f t="shared" si="144"/>
        <v>35199.717114535044</v>
      </c>
      <c r="X570" s="6" t="str">
        <f t="shared" si="145"/>
        <v>n/a</v>
      </c>
      <c r="Y570" s="16">
        <f t="shared" si="146"/>
        <v>0.34202367103866321</v>
      </c>
      <c r="Z570" s="16">
        <f t="shared" si="147"/>
        <v>8.1720054177435972E-5</v>
      </c>
      <c r="AA570" s="16">
        <f t="shared" si="148"/>
        <v>0.50838660516246748</v>
      </c>
      <c r="AB570" s="16">
        <f t="shared" si="149"/>
        <v>0.1495080037446917</v>
      </c>
      <c r="AC570" s="18" t="e">
        <f t="shared" si="150"/>
        <v>#VALUE!</v>
      </c>
      <c r="AD570" s="16">
        <f t="shared" si="151"/>
        <v>0.29407540597091214</v>
      </c>
      <c r="AE570" s="16">
        <f t="shared" si="152"/>
        <v>1.6788182003735825E-8</v>
      </c>
      <c r="AF570" s="16">
        <f t="shared" si="153"/>
        <v>0.64973247726538397</v>
      </c>
      <c r="AG570" s="16">
        <f t="shared" si="154"/>
        <v>5.6192099975521846E-2</v>
      </c>
      <c r="AH570" s="16" t="e">
        <f t="shared" si="155"/>
        <v>#VALUE!</v>
      </c>
    </row>
    <row r="571" spans="1:34" x14ac:dyDescent="0.25">
      <c r="A571" s="12">
        <v>73281</v>
      </c>
      <c r="B571" s="13">
        <v>44.523183299999999</v>
      </c>
      <c r="C571" s="12">
        <v>89.478950100000006</v>
      </c>
      <c r="D571" s="14">
        <v>4</v>
      </c>
      <c r="E571" s="13" t="s">
        <v>42</v>
      </c>
      <c r="F571" s="13">
        <v>44.482559999999999</v>
      </c>
      <c r="G571" s="12">
        <v>89.479280000000003</v>
      </c>
      <c r="H571" s="13" t="s">
        <v>39</v>
      </c>
      <c r="I571" s="13">
        <v>4453428</v>
      </c>
      <c r="J571" s="12">
        <v>89.521349999999998</v>
      </c>
      <c r="K571" s="13" t="s">
        <v>40</v>
      </c>
      <c r="L571" s="13">
        <v>44.546990000000001</v>
      </c>
      <c r="M571" s="12">
        <v>89.499669999999995</v>
      </c>
      <c r="N571" s="13" t="s">
        <v>41</v>
      </c>
      <c r="O571" s="13">
        <v>44.527839999999998</v>
      </c>
      <c r="P571" s="12">
        <v>89.339889999999997</v>
      </c>
      <c r="T571" s="5">
        <f t="shared" si="141"/>
        <v>14820.146424913895</v>
      </c>
      <c r="U571" s="5">
        <f t="shared" si="142"/>
        <v>64397863.170282125</v>
      </c>
      <c r="V571" s="5">
        <f t="shared" si="143"/>
        <v>10220.615145183901</v>
      </c>
      <c r="W571" s="5">
        <f t="shared" si="144"/>
        <v>36207.870239679069</v>
      </c>
      <c r="X571" s="6" t="str">
        <f t="shared" si="145"/>
        <v>n/a</v>
      </c>
      <c r="Y571" s="16">
        <f t="shared" si="146"/>
        <v>0.34970386242295259</v>
      </c>
      <c r="Z571" s="16">
        <f t="shared" si="147"/>
        <v>8.0478795278688076E-5</v>
      </c>
      <c r="AA571" s="16">
        <f t="shared" si="148"/>
        <v>0.50707930714994642</v>
      </c>
      <c r="AB571" s="16">
        <f t="shared" si="149"/>
        <v>0.14313635163182242</v>
      </c>
      <c r="AC571" s="18" t="e">
        <f t="shared" si="150"/>
        <v>#VALUE!</v>
      </c>
      <c r="AD571" s="16">
        <f t="shared" si="151"/>
        <v>0.30580060260953579</v>
      </c>
      <c r="AE571" s="16">
        <f t="shared" si="152"/>
        <v>1.6195725675455002E-8</v>
      </c>
      <c r="AF571" s="16">
        <f t="shared" si="153"/>
        <v>0.64296784652830163</v>
      </c>
      <c r="AG571" s="16">
        <f t="shared" si="154"/>
        <v>5.1231534666436887E-2</v>
      </c>
      <c r="AH571" s="16" t="e">
        <f t="shared" si="155"/>
        <v>#VALUE!</v>
      </c>
    </row>
    <row r="572" spans="1:34" x14ac:dyDescent="0.25">
      <c r="A572" s="12">
        <v>73282</v>
      </c>
      <c r="B572" s="13">
        <v>44.520883300000001</v>
      </c>
      <c r="C572" s="12">
        <v>89.477366700000005</v>
      </c>
      <c r="D572" s="14">
        <v>4</v>
      </c>
      <c r="E572" s="13" t="s">
        <v>42</v>
      </c>
      <c r="F572" s="13">
        <v>44.482559999999999</v>
      </c>
      <c r="G572" s="12">
        <v>89.479280000000003</v>
      </c>
      <c r="H572" s="13" t="s">
        <v>39</v>
      </c>
      <c r="I572" s="13">
        <v>4453428</v>
      </c>
      <c r="J572" s="12">
        <v>89.521349999999998</v>
      </c>
      <c r="K572" s="13" t="s">
        <v>40</v>
      </c>
      <c r="L572" s="13">
        <v>44.546990000000001</v>
      </c>
      <c r="M572" s="12">
        <v>89.499669999999995</v>
      </c>
      <c r="N572" s="13" t="s">
        <v>41</v>
      </c>
      <c r="O572" s="13">
        <v>44.527839999999998</v>
      </c>
      <c r="P572" s="12">
        <v>89.339889999999997</v>
      </c>
      <c r="T572" s="5">
        <f t="shared" si="141"/>
        <v>13989.689140296014</v>
      </c>
      <c r="U572" s="5">
        <f t="shared" si="142"/>
        <v>64397020.705648921</v>
      </c>
      <c r="V572" s="5">
        <f t="shared" si="143"/>
        <v>11151.130031445813</v>
      </c>
      <c r="W572" s="5">
        <f t="shared" si="144"/>
        <v>35846.82818951927</v>
      </c>
      <c r="X572" s="6" t="str">
        <f t="shared" si="145"/>
        <v>n/a</v>
      </c>
      <c r="Y572" s="16">
        <f t="shared" si="146"/>
        <v>0.37806701794306907</v>
      </c>
      <c r="Z572" s="16">
        <f t="shared" si="147"/>
        <v>8.2131750774586614E-5</v>
      </c>
      <c r="AA572" s="16">
        <f t="shared" si="148"/>
        <v>0.47430529823500717</v>
      </c>
      <c r="AB572" s="16">
        <f t="shared" si="149"/>
        <v>0.14754555207114911</v>
      </c>
      <c r="AC572" s="18" t="e">
        <f t="shared" si="150"/>
        <v>#VALUE!</v>
      </c>
      <c r="AD572" s="16">
        <f t="shared" si="151"/>
        <v>0.36680964173144298</v>
      </c>
      <c r="AE572" s="16">
        <f t="shared" si="152"/>
        <v>1.7311126123085225E-8</v>
      </c>
      <c r="AF572" s="16">
        <f t="shared" si="153"/>
        <v>0.57732333428317506</v>
      </c>
      <c r="AG572" s="16">
        <f t="shared" si="154"/>
        <v>5.5867006674255787E-2</v>
      </c>
      <c r="AH572" s="16" t="e">
        <f t="shared" si="155"/>
        <v>#VALUE!</v>
      </c>
    </row>
    <row r="573" spans="1:34" x14ac:dyDescent="0.25">
      <c r="A573" s="12">
        <v>73355</v>
      </c>
      <c r="B573" s="13">
        <v>44.413649999999997</v>
      </c>
      <c r="C573" s="12">
        <v>89.621899999999997</v>
      </c>
      <c r="D573" s="14">
        <v>0</v>
      </c>
      <c r="T573" s="5">
        <f t="shared" si="141"/>
        <v>32734619.684347633</v>
      </c>
      <c r="U573" s="5">
        <f t="shared" si="142"/>
        <v>32734619.684347633</v>
      </c>
      <c r="V573" s="5" t="str">
        <f t="shared" si="143"/>
        <v>n/a</v>
      </c>
      <c r="W573" s="5" t="str">
        <f t="shared" si="144"/>
        <v>n/a</v>
      </c>
      <c r="X573" s="6" t="str">
        <f t="shared" si="145"/>
        <v>n/a</v>
      </c>
      <c r="Y573" s="16" t="str">
        <f t="shared" si="146"/>
        <v>error</v>
      </c>
      <c r="Z573" s="16" t="str">
        <f t="shared" si="147"/>
        <v>error</v>
      </c>
      <c r="AA573" s="16" t="str">
        <f t="shared" si="148"/>
        <v>error</v>
      </c>
      <c r="AB573" s="16" t="str">
        <f t="shared" si="149"/>
        <v>error</v>
      </c>
      <c r="AC573" s="18" t="str">
        <f t="shared" si="150"/>
        <v>error</v>
      </c>
      <c r="AD573" s="16" t="str">
        <f t="shared" si="151"/>
        <v>error</v>
      </c>
      <c r="AE573" s="16" t="str">
        <f t="shared" si="152"/>
        <v>error</v>
      </c>
      <c r="AF573" s="16" t="str">
        <f t="shared" si="153"/>
        <v>error</v>
      </c>
      <c r="AG573" s="16" t="str">
        <f t="shared" si="154"/>
        <v>error</v>
      </c>
      <c r="AH573" s="16" t="str">
        <f t="shared" si="155"/>
        <v>error</v>
      </c>
    </row>
    <row r="574" spans="1:34" x14ac:dyDescent="0.25">
      <c r="A574" s="12">
        <v>73372</v>
      </c>
      <c r="B574" s="13">
        <v>44.495883300000003</v>
      </c>
      <c r="C574" s="12">
        <v>89.365099999999998</v>
      </c>
      <c r="D574" s="14">
        <v>3</v>
      </c>
      <c r="E574" s="13" t="s">
        <v>42</v>
      </c>
      <c r="F574" s="13">
        <v>44.482199999999999</v>
      </c>
      <c r="G574" s="12">
        <v>89.479680000000002</v>
      </c>
      <c r="H574" s="13" t="s">
        <v>41</v>
      </c>
      <c r="I574" s="13">
        <v>44.500590000000003</v>
      </c>
      <c r="J574" s="12">
        <v>89.321280000000002</v>
      </c>
      <c r="K574" s="13" t="s">
        <v>43</v>
      </c>
      <c r="L574" s="13">
        <v>44.437359999999998</v>
      </c>
      <c r="M574" s="12">
        <v>89.338470000000001</v>
      </c>
      <c r="T574" s="5">
        <f t="shared" si="141"/>
        <v>30234.577047050603</v>
      </c>
      <c r="U574" s="5">
        <f t="shared" si="142"/>
        <v>11530.993440778882</v>
      </c>
      <c r="V574" s="5">
        <f t="shared" si="143"/>
        <v>22447.567070106317</v>
      </c>
      <c r="W574" s="5" t="str">
        <f t="shared" si="144"/>
        <v>n/a</v>
      </c>
      <c r="X574" s="6" t="str">
        <f t="shared" si="145"/>
        <v>n/a</v>
      </c>
      <c r="Y574" s="16">
        <f t="shared" si="146"/>
        <v>0.2012507814531159</v>
      </c>
      <c r="Z574" s="16">
        <f t="shared" si="147"/>
        <v>0.52768499859734297</v>
      </c>
      <c r="AA574" s="16">
        <f t="shared" si="148"/>
        <v>0.27106421994954111</v>
      </c>
      <c r="AB574" s="16" t="e">
        <f t="shared" si="149"/>
        <v>#VALUE!</v>
      </c>
      <c r="AC574" s="18" t="e">
        <f t="shared" si="150"/>
        <v>#VALUE!</v>
      </c>
      <c r="AD574" s="16">
        <f t="shared" si="151"/>
        <v>0.10320812670578833</v>
      </c>
      <c r="AE574" s="16">
        <f t="shared" si="152"/>
        <v>0.70955855470950324</v>
      </c>
      <c r="AF574" s="16">
        <f t="shared" si="153"/>
        <v>0.18723331858470829</v>
      </c>
      <c r="AG574" s="16" t="e">
        <f t="shared" si="154"/>
        <v>#VALUE!</v>
      </c>
      <c r="AH574" s="16" t="e">
        <f t="shared" si="155"/>
        <v>#VALUE!</v>
      </c>
    </row>
    <row r="575" spans="1:34" x14ac:dyDescent="0.25">
      <c r="A575" s="12">
        <v>73440</v>
      </c>
      <c r="B575" s="13">
        <v>44.418900000000001</v>
      </c>
      <c r="C575" s="12">
        <v>89.405900000000003</v>
      </c>
      <c r="D575" s="14">
        <v>5</v>
      </c>
      <c r="E575" s="13" t="s">
        <v>42</v>
      </c>
      <c r="F575" s="13">
        <v>44.467849999999999</v>
      </c>
      <c r="G575" s="12">
        <v>89.487679999999997</v>
      </c>
      <c r="H575" s="13" t="s">
        <v>44</v>
      </c>
      <c r="I575" s="13">
        <v>44.400129999999997</v>
      </c>
      <c r="J575" s="12">
        <v>89.480549999999994</v>
      </c>
      <c r="K575" s="13" t="s">
        <v>51</v>
      </c>
      <c r="L575" s="13">
        <v>44.37968</v>
      </c>
      <c r="M575" s="12">
        <v>89.436890000000005</v>
      </c>
      <c r="N575" s="13" t="s">
        <v>46</v>
      </c>
      <c r="O575" s="13">
        <v>44.382379999999998</v>
      </c>
      <c r="P575" s="12">
        <v>89.367450000000005</v>
      </c>
      <c r="Q575" s="13" t="s">
        <v>43</v>
      </c>
      <c r="R575" s="13">
        <v>44.436579999999999</v>
      </c>
      <c r="S575" s="12">
        <v>89.376000000000005</v>
      </c>
      <c r="T575" s="5">
        <f t="shared" si="141"/>
        <v>27795.415417996403</v>
      </c>
      <c r="U575" s="5">
        <f t="shared" si="142"/>
        <v>20624.187168770895</v>
      </c>
      <c r="V575" s="5">
        <f t="shared" si="143"/>
        <v>16430.619626347958</v>
      </c>
      <c r="W575" s="5">
        <f t="shared" si="144"/>
        <v>16671.486481041386</v>
      </c>
      <c r="X575" s="6">
        <f t="shared" si="145"/>
        <v>10113.383282008437</v>
      </c>
      <c r="Y575" s="16">
        <f t="shared" si="146"/>
        <v>0.11827298936285134</v>
      </c>
      <c r="Z575" s="16">
        <f t="shared" si="147"/>
        <v>0.15939764535528303</v>
      </c>
      <c r="AA575" s="16">
        <f t="shared" si="148"/>
        <v>0.20008051715816055</v>
      </c>
      <c r="AB575" s="16">
        <f t="shared" si="149"/>
        <v>0.19718978723385988</v>
      </c>
      <c r="AC575" s="18">
        <f t="shared" si="150"/>
        <v>0.32505906088984515</v>
      </c>
      <c r="AD575" s="16">
        <f t="shared" si="151"/>
        <v>6.2455484044371797E-2</v>
      </c>
      <c r="AE575" s="16">
        <f t="shared" si="152"/>
        <v>0.11343922068738251</v>
      </c>
      <c r="AF575" s="16">
        <f t="shared" si="153"/>
        <v>0.17873476495814353</v>
      </c>
      <c r="AG575" s="16">
        <f t="shared" si="154"/>
        <v>0.17360741391491707</v>
      </c>
      <c r="AH575" s="16">
        <f t="shared" si="155"/>
        <v>0.47176311639518498</v>
      </c>
    </row>
    <row r="576" spans="1:34" x14ac:dyDescent="0.25">
      <c r="A576" s="12">
        <v>73481</v>
      </c>
      <c r="B576" s="13">
        <v>44.422400000000003</v>
      </c>
      <c r="C576" s="12">
        <v>89.464883299999997</v>
      </c>
      <c r="D576" s="14">
        <v>5</v>
      </c>
      <c r="E576" s="13" t="s">
        <v>42</v>
      </c>
      <c r="F576" s="13">
        <v>44.467849999999999</v>
      </c>
      <c r="G576" s="12">
        <v>89.487679999999997</v>
      </c>
      <c r="H576" s="13" t="s">
        <v>44</v>
      </c>
      <c r="I576" s="13">
        <v>44.400129999999997</v>
      </c>
      <c r="J576" s="12">
        <v>89.480549999999994</v>
      </c>
      <c r="K576" s="13" t="s">
        <v>51</v>
      </c>
      <c r="L576" s="13">
        <v>44.37968</v>
      </c>
      <c r="M576" s="12">
        <v>89.436890000000005</v>
      </c>
      <c r="N576" s="13" t="s">
        <v>46</v>
      </c>
      <c r="O576" s="13">
        <v>44.382379999999998</v>
      </c>
      <c r="P576" s="12">
        <v>89.367450000000005</v>
      </c>
      <c r="Q576" s="13" t="s">
        <v>43</v>
      </c>
      <c r="R576" s="13">
        <v>44.436579999999999</v>
      </c>
      <c r="S576" s="12">
        <v>89.376000000000005</v>
      </c>
      <c r="T576" s="5">
        <f t="shared" si="141"/>
        <v>17611.729099122498</v>
      </c>
      <c r="U576" s="5">
        <f t="shared" si="142"/>
        <v>9092.5324665298522</v>
      </c>
      <c r="V576" s="5">
        <f t="shared" si="143"/>
        <v>17208.190907533681</v>
      </c>
      <c r="W576" s="5">
        <f t="shared" si="144"/>
        <v>29292.516971816232</v>
      </c>
      <c r="X576" s="6">
        <f t="shared" si="145"/>
        <v>23726.441234895192</v>
      </c>
      <c r="Y576" s="16">
        <f t="shared" si="146"/>
        <v>0.18854001296115266</v>
      </c>
      <c r="Z576" s="16">
        <f t="shared" si="147"/>
        <v>0.36519150685904933</v>
      </c>
      <c r="AA576" s="16">
        <f t="shared" si="148"/>
        <v>0.19296134326143233</v>
      </c>
      <c r="AB576" s="16">
        <f t="shared" si="149"/>
        <v>0.11335712925631131</v>
      </c>
      <c r="AC576" s="18">
        <f t="shared" si="150"/>
        <v>0.1399500076620544</v>
      </c>
      <c r="AD576" s="16">
        <f t="shared" si="151"/>
        <v>0.14899414918328382</v>
      </c>
      <c r="AE576" s="16">
        <f t="shared" si="152"/>
        <v>0.55898928966021477</v>
      </c>
      <c r="AF576" s="16">
        <f t="shared" si="153"/>
        <v>0.15606401540619705</v>
      </c>
      <c r="AG576" s="16">
        <f t="shared" si="154"/>
        <v>5.3859191190295745E-2</v>
      </c>
      <c r="AH576" s="16">
        <f t="shared" si="155"/>
        <v>8.2093354560008741E-2</v>
      </c>
    </row>
    <row r="577" spans="1:34" x14ac:dyDescent="0.25">
      <c r="A577" s="12">
        <v>73715</v>
      </c>
      <c r="B577" s="13">
        <v>44.482799999999997</v>
      </c>
      <c r="C577" s="12">
        <v>89.444333299999997</v>
      </c>
      <c r="D577" s="14">
        <v>3</v>
      </c>
      <c r="E577" s="13" t="s">
        <v>42</v>
      </c>
      <c r="F577" s="13">
        <v>44.481520000000003</v>
      </c>
      <c r="G577" s="12">
        <v>89.479870000000005</v>
      </c>
      <c r="H577" s="13" t="s">
        <v>41</v>
      </c>
      <c r="I577" s="13">
        <v>44.489049999999999</v>
      </c>
      <c r="J577" s="12">
        <v>89.307159999999996</v>
      </c>
      <c r="K577" s="13" t="s">
        <v>43</v>
      </c>
      <c r="L577" s="13">
        <v>44.436599999999999</v>
      </c>
      <c r="M577" s="12">
        <v>89.375630000000001</v>
      </c>
      <c r="T577" s="5">
        <f t="shared" si="141"/>
        <v>9261.3593523784075</v>
      </c>
      <c r="U577" s="5">
        <f t="shared" si="142"/>
        <v>35774.230576823385</v>
      </c>
      <c r="V577" s="5">
        <f t="shared" si="143"/>
        <v>24578.25420525614</v>
      </c>
      <c r="W577" s="5" t="str">
        <f t="shared" si="144"/>
        <v>n/a</v>
      </c>
      <c r="X577" s="6" t="str">
        <f t="shared" si="145"/>
        <v>n/a</v>
      </c>
      <c r="Y577" s="16">
        <f t="shared" si="146"/>
        <v>0.61136105026587817</v>
      </c>
      <c r="Z577" s="16">
        <f t="shared" si="147"/>
        <v>0.15827131119985482</v>
      </c>
      <c r="AA577" s="16">
        <f t="shared" si="148"/>
        <v>0.23036763853426706</v>
      </c>
      <c r="AB577" s="16" t="e">
        <f t="shared" si="149"/>
        <v>#VALUE!</v>
      </c>
      <c r="AC577" s="18" t="e">
        <f t="shared" si="150"/>
        <v>#VALUE!</v>
      </c>
      <c r="AD577" s="16">
        <f t="shared" si="151"/>
        <v>0.82712486405677743</v>
      </c>
      <c r="AE577" s="16">
        <f t="shared" si="152"/>
        <v>5.5434475659266597E-2</v>
      </c>
      <c r="AF577" s="16">
        <f t="shared" si="153"/>
        <v>0.117440660283956</v>
      </c>
      <c r="AG577" s="16" t="e">
        <f t="shared" si="154"/>
        <v>#VALUE!</v>
      </c>
      <c r="AH577" s="16" t="e">
        <f t="shared" si="155"/>
        <v>#VALUE!</v>
      </c>
    </row>
    <row r="578" spans="1:34" x14ac:dyDescent="0.25">
      <c r="A578" s="12">
        <v>73737</v>
      </c>
      <c r="B578" s="13">
        <v>44.382800000000003</v>
      </c>
      <c r="C578" s="12">
        <v>89.4011</v>
      </c>
      <c r="D578" s="14">
        <v>4</v>
      </c>
      <c r="E578" s="13" t="s">
        <v>42</v>
      </c>
      <c r="F578" s="13">
        <v>44.468020000000003</v>
      </c>
      <c r="G578" s="12">
        <v>89.486630000000005</v>
      </c>
      <c r="H578" s="13" t="s">
        <v>43</v>
      </c>
      <c r="I578" s="13">
        <v>44.43676</v>
      </c>
      <c r="J578" s="12">
        <v>89.377560000000003</v>
      </c>
      <c r="K578" s="13" t="s">
        <v>46</v>
      </c>
      <c r="L578" s="13">
        <v>44.394089999999998</v>
      </c>
      <c r="M578" s="12">
        <v>89.334530000000001</v>
      </c>
      <c r="N578" s="13" t="s">
        <v>44</v>
      </c>
      <c r="O578" s="13">
        <v>44.399996999999999</v>
      </c>
      <c r="P578" s="12">
        <v>89.480459999999994</v>
      </c>
      <c r="T578" s="5">
        <f t="shared" si="141"/>
        <v>38250.565888295918</v>
      </c>
      <c r="U578" s="5">
        <f t="shared" si="142"/>
        <v>20619.038495817505</v>
      </c>
      <c r="V578" s="5">
        <f t="shared" si="143"/>
        <v>17836.858206054731</v>
      </c>
      <c r="W578" s="5">
        <f t="shared" si="144"/>
        <v>21618.454963850625</v>
      </c>
      <c r="X578" s="6" t="str">
        <f t="shared" si="145"/>
        <v>n/a</v>
      </c>
      <c r="Y578" s="16">
        <f t="shared" si="146"/>
        <v>0.14773395506315692</v>
      </c>
      <c r="Z578" s="16">
        <f t="shared" si="147"/>
        <v>0.27406260399717947</v>
      </c>
      <c r="AA578" s="16">
        <f t="shared" si="148"/>
        <v>0.31681069147949098</v>
      </c>
      <c r="AB578" s="16">
        <f t="shared" si="149"/>
        <v>0.26139274946017266</v>
      </c>
      <c r="AC578" s="18" t="e">
        <f t="shared" si="150"/>
        <v>#VALUE!</v>
      </c>
      <c r="AD578" s="16">
        <f t="shared" si="151"/>
        <v>8.2164117098703873E-2</v>
      </c>
      <c r="AE578" s="16">
        <f t="shared" si="152"/>
        <v>0.28276203798217403</v>
      </c>
      <c r="AF578" s="16">
        <f t="shared" si="153"/>
        <v>0.37785154490528605</v>
      </c>
      <c r="AG578" s="16">
        <f t="shared" si="154"/>
        <v>0.25722230001383606</v>
      </c>
      <c r="AH578" s="16" t="e">
        <f t="shared" si="155"/>
        <v>#VALUE!</v>
      </c>
    </row>
    <row r="579" spans="1:34" x14ac:dyDescent="0.25">
      <c r="A579" s="12">
        <v>73760</v>
      </c>
      <c r="B579" s="13">
        <v>44.480589999999999</v>
      </c>
      <c r="C579" s="12">
        <v>89.429410000000004</v>
      </c>
      <c r="D579" s="14">
        <v>0</v>
      </c>
      <c r="T579" s="5">
        <f t="shared" si="141"/>
        <v>32684630.267627288</v>
      </c>
      <c r="U579" s="5">
        <f t="shared" si="142"/>
        <v>32684630.267627288</v>
      </c>
      <c r="V579" s="5" t="str">
        <f t="shared" si="143"/>
        <v>n/a</v>
      </c>
      <c r="W579" s="5" t="str">
        <f t="shared" si="144"/>
        <v>n/a</v>
      </c>
      <c r="X579" s="6" t="str">
        <f t="shared" si="145"/>
        <v>n/a</v>
      </c>
      <c r="Y579" s="16" t="str">
        <f t="shared" si="146"/>
        <v>error</v>
      </c>
      <c r="Z579" s="16" t="str">
        <f t="shared" si="147"/>
        <v>error</v>
      </c>
      <c r="AA579" s="16" t="str">
        <f t="shared" si="148"/>
        <v>error</v>
      </c>
      <c r="AB579" s="16" t="str">
        <f t="shared" si="149"/>
        <v>error</v>
      </c>
      <c r="AC579" s="18" t="str">
        <f t="shared" si="150"/>
        <v>error</v>
      </c>
      <c r="AD579" s="16" t="str">
        <f t="shared" si="151"/>
        <v>error</v>
      </c>
      <c r="AE579" s="16" t="str">
        <f t="shared" si="152"/>
        <v>error</v>
      </c>
      <c r="AF579" s="16" t="str">
        <f t="shared" si="153"/>
        <v>error</v>
      </c>
      <c r="AG579" s="16" t="str">
        <f t="shared" si="154"/>
        <v>error</v>
      </c>
      <c r="AH579" s="16" t="str">
        <f t="shared" si="155"/>
        <v>error</v>
      </c>
    </row>
    <row r="580" spans="1:34" x14ac:dyDescent="0.25">
      <c r="A580" s="12">
        <v>73761</v>
      </c>
      <c r="B580" s="13">
        <v>44.483179999999997</v>
      </c>
      <c r="C580" s="12">
        <v>89.427260000000004</v>
      </c>
      <c r="D580" s="14">
        <v>3</v>
      </c>
      <c r="E580" s="13" t="s">
        <v>42</v>
      </c>
      <c r="F580" s="13">
        <v>44.481520000000003</v>
      </c>
      <c r="G580" s="12">
        <v>89.479870000000005</v>
      </c>
      <c r="H580" s="13" t="s">
        <v>41</v>
      </c>
      <c r="I580" s="13">
        <v>44.489049999999999</v>
      </c>
      <c r="J580" s="12">
        <v>89.307159999999996</v>
      </c>
      <c r="K580" s="13" t="s">
        <v>43</v>
      </c>
      <c r="L580" s="13">
        <v>44.436599999999999</v>
      </c>
      <c r="M580" s="12">
        <v>89.375630000000001</v>
      </c>
      <c r="T580" s="5">
        <f t="shared" si="141"/>
        <v>13706.800042655614</v>
      </c>
      <c r="U580" s="5">
        <f t="shared" si="142"/>
        <v>31331.070508600023</v>
      </c>
      <c r="V580" s="5">
        <f t="shared" si="143"/>
        <v>21667.701244051808</v>
      </c>
      <c r="W580" s="5" t="str">
        <f t="shared" si="144"/>
        <v>n/a</v>
      </c>
      <c r="X580" s="6" t="str">
        <f t="shared" si="145"/>
        <v>n/a</v>
      </c>
      <c r="Y580" s="16">
        <f t="shared" si="146"/>
        <v>0.48307451960283104</v>
      </c>
      <c r="Z580" s="16">
        <f t="shared" si="147"/>
        <v>0.21133672544257381</v>
      </c>
      <c r="AA580" s="16">
        <f t="shared" si="148"/>
        <v>0.30558875495459514</v>
      </c>
      <c r="AB580" s="16" t="e">
        <f t="shared" si="149"/>
        <v>#VALUE!</v>
      </c>
      <c r="AC580" s="18" t="e">
        <f t="shared" si="150"/>
        <v>#VALUE!</v>
      </c>
      <c r="AD580" s="16">
        <f t="shared" si="151"/>
        <v>0.62831322386624067</v>
      </c>
      <c r="AE580" s="16">
        <f t="shared" si="152"/>
        <v>0.12025354468940544</v>
      </c>
      <c r="AF580" s="16">
        <f t="shared" si="153"/>
        <v>0.25143323144435381</v>
      </c>
      <c r="AG580" s="16" t="e">
        <f t="shared" si="154"/>
        <v>#VALUE!</v>
      </c>
      <c r="AH580" s="16" t="e">
        <f t="shared" si="155"/>
        <v>#VALUE!</v>
      </c>
    </row>
    <row r="581" spans="1:34" x14ac:dyDescent="0.25">
      <c r="A581" s="12">
        <v>73762</v>
      </c>
      <c r="B581" s="13">
        <v>44.487099999999998</v>
      </c>
      <c r="C581" s="12">
        <v>89.430999999999997</v>
      </c>
      <c r="D581" s="14">
        <v>3</v>
      </c>
      <c r="E581" s="13" t="s">
        <v>42</v>
      </c>
      <c r="F581" s="13">
        <v>44.481520000000003</v>
      </c>
      <c r="G581" s="12">
        <v>89.479870000000005</v>
      </c>
      <c r="H581" s="13" t="s">
        <v>41</v>
      </c>
      <c r="I581" s="13">
        <v>44.489049999999999</v>
      </c>
      <c r="J581" s="12">
        <v>89.307159999999996</v>
      </c>
      <c r="K581" s="13" t="s">
        <v>43</v>
      </c>
      <c r="L581" s="13">
        <v>44.436599999999999</v>
      </c>
      <c r="M581" s="12">
        <v>89.375630000000001</v>
      </c>
      <c r="T581" s="5">
        <f t="shared" si="141"/>
        <v>12881.399851164957</v>
      </c>
      <c r="U581" s="5">
        <f t="shared" si="142"/>
        <v>32237.958814210204</v>
      </c>
      <c r="V581" s="5">
        <f t="shared" si="143"/>
        <v>23393.465554290677</v>
      </c>
      <c r="W581" s="5" t="str">
        <f t="shared" si="144"/>
        <v>n/a</v>
      </c>
      <c r="X581" s="6" t="str">
        <f t="shared" si="145"/>
        <v>n/a</v>
      </c>
      <c r="Y581" s="16">
        <f t="shared" si="146"/>
        <v>0.51276440348111718</v>
      </c>
      <c r="Z581" s="16">
        <f t="shared" si="147"/>
        <v>0.20488652363973092</v>
      </c>
      <c r="AA581" s="16">
        <f t="shared" si="148"/>
        <v>0.28234907287915201</v>
      </c>
      <c r="AB581" s="16" t="e">
        <f t="shared" si="149"/>
        <v>#VALUE!</v>
      </c>
      <c r="AC581" s="18" t="e">
        <f t="shared" si="150"/>
        <v>#VALUE!</v>
      </c>
      <c r="AD581" s="16">
        <f t="shared" si="151"/>
        <v>0.68359074251716756</v>
      </c>
      <c r="AE581" s="16">
        <f t="shared" si="152"/>
        <v>0.10914082270427712</v>
      </c>
      <c r="AF581" s="16">
        <f t="shared" si="153"/>
        <v>0.20726843477855525</v>
      </c>
      <c r="AG581" s="16" t="e">
        <f t="shared" si="154"/>
        <v>#VALUE!</v>
      </c>
      <c r="AH581" s="16" t="e">
        <f t="shared" si="155"/>
        <v>#VALUE!</v>
      </c>
    </row>
    <row r="582" spans="1:34" x14ac:dyDescent="0.25">
      <c r="A582" s="12">
        <v>73906</v>
      </c>
      <c r="B582" s="13">
        <v>44.477200000000003</v>
      </c>
      <c r="C582" s="12">
        <v>89.356884100000002</v>
      </c>
      <c r="D582" s="14">
        <v>3</v>
      </c>
      <c r="E582" s="13" t="s">
        <v>42</v>
      </c>
      <c r="F582" s="13">
        <v>44.476509999999998</v>
      </c>
      <c r="G582" s="12">
        <v>89.479929999999996</v>
      </c>
      <c r="H582" s="13" t="s">
        <v>41</v>
      </c>
      <c r="I582" s="13">
        <v>44.488630000000001</v>
      </c>
      <c r="J582" s="12">
        <v>89.306510000000003</v>
      </c>
      <c r="K582" s="13" t="s">
        <v>43</v>
      </c>
      <c r="L582" s="13">
        <v>44.435510000000001</v>
      </c>
      <c r="M582" s="12">
        <v>89.359459999999999</v>
      </c>
      <c r="T582" s="5">
        <f t="shared" si="141"/>
        <v>32030.58807963863</v>
      </c>
      <c r="U582" s="5">
        <f t="shared" si="142"/>
        <v>13758.4211437537</v>
      </c>
      <c r="V582" s="5">
        <f t="shared" si="143"/>
        <v>15223.827500820978</v>
      </c>
      <c r="W582" s="5" t="str">
        <f t="shared" si="144"/>
        <v>n/a</v>
      </c>
      <c r="X582" s="6" t="str">
        <f t="shared" si="145"/>
        <v>n/a</v>
      </c>
      <c r="Y582" s="16">
        <f t="shared" si="146"/>
        <v>0.1840926012478962</v>
      </c>
      <c r="Z582" s="16">
        <f t="shared" si="147"/>
        <v>0.42858073738770353</v>
      </c>
      <c r="AA582" s="16">
        <f t="shared" si="148"/>
        <v>0.3873266613644003</v>
      </c>
      <c r="AB582" s="16" t="e">
        <f t="shared" si="149"/>
        <v>#VALUE!</v>
      </c>
      <c r="AC582" s="18" t="e">
        <f t="shared" si="150"/>
        <v>#VALUE!</v>
      </c>
      <c r="AD582" s="16">
        <f t="shared" si="151"/>
        <v>9.2194470152822228E-2</v>
      </c>
      <c r="AE582" s="16">
        <f t="shared" si="152"/>
        <v>0.49968636551977463</v>
      </c>
      <c r="AF582" s="16">
        <f t="shared" si="153"/>
        <v>0.40811916432740308</v>
      </c>
      <c r="AG582" s="16" t="e">
        <f t="shared" si="154"/>
        <v>#VALUE!</v>
      </c>
      <c r="AH582" s="16" t="e">
        <f t="shared" si="155"/>
        <v>#VALUE!</v>
      </c>
    </row>
    <row r="583" spans="1:34" x14ac:dyDescent="0.25">
      <c r="A583" s="12">
        <v>73907</v>
      </c>
      <c r="B583" s="13">
        <v>44.475960000000001</v>
      </c>
      <c r="C583" s="12">
        <v>89.350149999999999</v>
      </c>
      <c r="D583" s="14">
        <v>0</v>
      </c>
      <c r="T583" s="5">
        <f t="shared" si="141"/>
        <v>32663986.876987912</v>
      </c>
      <c r="U583" s="5">
        <f t="shared" si="142"/>
        <v>32663986.876987912</v>
      </c>
      <c r="V583" s="5" t="str">
        <f t="shared" si="143"/>
        <v>n/a</v>
      </c>
      <c r="W583" s="5" t="str">
        <f t="shared" si="144"/>
        <v>n/a</v>
      </c>
      <c r="X583" s="6" t="str">
        <f t="shared" si="145"/>
        <v>n/a</v>
      </c>
      <c r="Y583" s="16" t="str">
        <f t="shared" si="146"/>
        <v>error</v>
      </c>
      <c r="Z583" s="16" t="str">
        <f t="shared" si="147"/>
        <v>error</v>
      </c>
      <c r="AA583" s="16" t="str">
        <f t="shared" si="148"/>
        <v>error</v>
      </c>
      <c r="AB583" s="16" t="str">
        <f t="shared" si="149"/>
        <v>error</v>
      </c>
      <c r="AC583" s="18" t="str">
        <f t="shared" si="150"/>
        <v>error</v>
      </c>
      <c r="AD583" s="16" t="str">
        <f t="shared" si="151"/>
        <v>error</v>
      </c>
      <c r="AE583" s="16" t="str">
        <f t="shared" si="152"/>
        <v>error</v>
      </c>
      <c r="AF583" s="16" t="str">
        <f t="shared" si="153"/>
        <v>error</v>
      </c>
      <c r="AG583" s="16" t="str">
        <f t="shared" si="154"/>
        <v>error</v>
      </c>
      <c r="AH583" s="16" t="str">
        <f t="shared" si="155"/>
        <v>error</v>
      </c>
    </row>
    <row r="584" spans="1:34" x14ac:dyDescent="0.25">
      <c r="A584" s="12">
        <v>73940</v>
      </c>
      <c r="B584" s="13">
        <v>44.433127200000001</v>
      </c>
      <c r="C584" s="12">
        <v>89.398570000000007</v>
      </c>
      <c r="D584" s="14">
        <v>5</v>
      </c>
      <c r="E584" s="13" t="s">
        <v>42</v>
      </c>
      <c r="F584" s="13">
        <v>44.468879999999999</v>
      </c>
      <c r="G584" s="12">
        <v>89.485780000000005</v>
      </c>
      <c r="H584" s="13" t="s">
        <v>43</v>
      </c>
      <c r="I584" s="13">
        <v>44.436549999999997</v>
      </c>
      <c r="J584" s="12">
        <v>89.376350000000002</v>
      </c>
      <c r="K584" s="13" t="s">
        <v>46</v>
      </c>
      <c r="L584" s="13">
        <v>44.382390000000001</v>
      </c>
      <c r="M584" s="12">
        <v>89.365430000000003</v>
      </c>
      <c r="N584" s="13" t="s">
        <v>51</v>
      </c>
      <c r="O584" s="13">
        <v>44.37961</v>
      </c>
      <c r="P584" s="12">
        <v>89.437510000000003</v>
      </c>
      <c r="Q584" s="13" t="s">
        <v>44</v>
      </c>
      <c r="R584" s="13">
        <v>44.400100000000002</v>
      </c>
      <c r="S584" s="12">
        <v>89.480630000000005</v>
      </c>
      <c r="T584" s="5">
        <f t="shared" si="141"/>
        <v>26190.213564471604</v>
      </c>
      <c r="U584" s="5">
        <f t="shared" si="142"/>
        <v>5921.3227616157938</v>
      </c>
      <c r="V584" s="5">
        <f t="shared" si="143"/>
        <v>20425.424297610494</v>
      </c>
      <c r="W584" s="5">
        <f t="shared" si="144"/>
        <v>22003.869430087008</v>
      </c>
      <c r="X584" s="6">
        <f t="shared" si="145"/>
        <v>24543.72899260361</v>
      </c>
      <c r="Y584" s="16">
        <f t="shared" si="146"/>
        <v>0.11157465586744117</v>
      </c>
      <c r="Z584" s="16">
        <f t="shared" si="147"/>
        <v>0.49349852781092401</v>
      </c>
      <c r="AA584" s="16">
        <f t="shared" si="148"/>
        <v>0.14306503615166338</v>
      </c>
      <c r="AB584" s="16">
        <f t="shared" si="149"/>
        <v>0.13280228165483865</v>
      </c>
      <c r="AC584" s="18">
        <f t="shared" si="150"/>
        <v>0.1190594985151327</v>
      </c>
      <c r="AD584" s="16">
        <f t="shared" si="151"/>
        <v>4.0383260211778342E-2</v>
      </c>
      <c r="AE584" s="16">
        <f t="shared" si="152"/>
        <v>0.79002709863068121</v>
      </c>
      <c r="AF584" s="16">
        <f t="shared" si="153"/>
        <v>6.6395291696629694E-2</v>
      </c>
      <c r="AG584" s="16">
        <f t="shared" si="154"/>
        <v>5.7211237082247533E-2</v>
      </c>
      <c r="AH584" s="16">
        <f t="shared" si="155"/>
        <v>4.5983112378663253E-2</v>
      </c>
    </row>
    <row r="585" spans="1:34" x14ac:dyDescent="0.25">
      <c r="A585" s="12">
        <v>73941</v>
      </c>
      <c r="B585" s="13">
        <v>44.430500000000002</v>
      </c>
      <c r="C585" s="12">
        <v>89.403800000000004</v>
      </c>
      <c r="D585" s="14">
        <v>5</v>
      </c>
      <c r="E585" s="13" t="s">
        <v>42</v>
      </c>
      <c r="F585" s="13">
        <v>44.468879999999999</v>
      </c>
      <c r="G585" s="12">
        <v>89.485780000000005</v>
      </c>
      <c r="H585" s="13" t="s">
        <v>43</v>
      </c>
      <c r="I585" s="13">
        <v>44.436549999999997</v>
      </c>
      <c r="J585" s="12">
        <v>89.376350000000002</v>
      </c>
      <c r="K585" s="13" t="s">
        <v>46</v>
      </c>
      <c r="L585" s="13">
        <v>44.382390000000001</v>
      </c>
      <c r="M585" s="12">
        <v>89.365430000000003</v>
      </c>
      <c r="N585" s="13" t="s">
        <v>51</v>
      </c>
      <c r="O585" s="13">
        <v>44.37961</v>
      </c>
      <c r="P585" s="12">
        <v>89.437510000000003</v>
      </c>
      <c r="Q585" s="13" t="s">
        <v>44</v>
      </c>
      <c r="R585" s="13">
        <v>44.400100000000002</v>
      </c>
      <c r="S585" s="12">
        <v>89.480630000000005</v>
      </c>
      <c r="T585" s="5">
        <f t="shared" si="141"/>
        <v>25531.499298281164</v>
      </c>
      <c r="U585" s="5">
        <f t="shared" si="142"/>
        <v>7483.5805651852324</v>
      </c>
      <c r="V585" s="5">
        <f t="shared" si="143"/>
        <v>20200.058264422918</v>
      </c>
      <c r="W585" s="5">
        <f t="shared" si="144"/>
        <v>20539.226376869668</v>
      </c>
      <c r="X585" s="6">
        <f t="shared" si="145"/>
        <v>22886.928525531464</v>
      </c>
      <c r="Y585" s="16">
        <f t="shared" si="146"/>
        <v>0.12446773386982832</v>
      </c>
      <c r="Z585" s="16">
        <f t="shared" si="147"/>
        <v>0.42464270041268826</v>
      </c>
      <c r="AA585" s="16">
        <f t="shared" si="148"/>
        <v>0.15731874722129444</v>
      </c>
      <c r="AB585" s="16">
        <f t="shared" si="149"/>
        <v>0.15472091312723027</v>
      </c>
      <c r="AC585" s="18">
        <f t="shared" si="150"/>
        <v>0.13884990536895883</v>
      </c>
      <c r="AD585" s="16">
        <f t="shared" si="151"/>
        <v>5.8731429722385264E-2</v>
      </c>
      <c r="AE585" s="16">
        <f t="shared" si="152"/>
        <v>0.68360358864046211</v>
      </c>
      <c r="AF585" s="16">
        <f t="shared" si="153"/>
        <v>9.3824868977505166E-2</v>
      </c>
      <c r="AG585" s="16">
        <f t="shared" si="154"/>
        <v>9.0751758193247503E-2</v>
      </c>
      <c r="AH585" s="16">
        <f t="shared" si="155"/>
        <v>7.3088354466399844E-2</v>
      </c>
    </row>
    <row r="586" spans="1:34" x14ac:dyDescent="0.25">
      <c r="A586" s="12">
        <v>73942</v>
      </c>
      <c r="B586" s="13">
        <v>44.432989999999997</v>
      </c>
      <c r="C586" s="12">
        <v>89.399933300000001</v>
      </c>
      <c r="D586" s="14">
        <v>5</v>
      </c>
      <c r="E586" s="13" t="s">
        <v>42</v>
      </c>
      <c r="F586" s="13">
        <v>44.468879999999999</v>
      </c>
      <c r="G586" s="12">
        <v>89.485780000000005</v>
      </c>
      <c r="H586" s="13" t="s">
        <v>43</v>
      </c>
      <c r="I586" s="13">
        <v>44.436549999999997</v>
      </c>
      <c r="J586" s="12">
        <v>89.376350000000002</v>
      </c>
      <c r="K586" s="13" t="s">
        <v>46</v>
      </c>
      <c r="L586" s="13">
        <v>44.382390000000001</v>
      </c>
      <c r="M586" s="12">
        <v>89.365430000000003</v>
      </c>
      <c r="N586" s="13" t="s">
        <v>51</v>
      </c>
      <c r="O586" s="13">
        <v>44.37961</v>
      </c>
      <c r="P586" s="12">
        <v>89.437510000000003</v>
      </c>
      <c r="Q586" s="13" t="s">
        <v>44</v>
      </c>
      <c r="R586" s="13">
        <v>44.400100000000002</v>
      </c>
      <c r="S586" s="12">
        <v>89.480630000000005</v>
      </c>
      <c r="T586" s="5">
        <f t="shared" si="141"/>
        <v>25908.225582546049</v>
      </c>
      <c r="U586" s="5">
        <f t="shared" si="142"/>
        <v>6279.0831394048055</v>
      </c>
      <c r="V586" s="5">
        <f t="shared" si="143"/>
        <v>20533.17286111465</v>
      </c>
      <c r="W586" s="5">
        <f t="shared" si="144"/>
        <v>21797.549955189701</v>
      </c>
      <c r="X586" s="6">
        <f t="shared" si="145"/>
        <v>24210.042382253934</v>
      </c>
      <c r="Y586" s="16">
        <f t="shared" si="146"/>
        <v>0.11565215212598182</v>
      </c>
      <c r="Z586" s="16">
        <f t="shared" si="147"/>
        <v>0.47719419855792722</v>
      </c>
      <c r="AA586" s="16">
        <f t="shared" si="148"/>
        <v>0.14592688946097013</v>
      </c>
      <c r="AB586" s="16">
        <f t="shared" si="149"/>
        <v>0.13746233189264839</v>
      </c>
      <c r="AC586" s="18">
        <f t="shared" si="150"/>
        <v>0.12376442796247233</v>
      </c>
      <c r="AD586" s="16">
        <f t="shared" si="151"/>
        <v>4.5096138523078248E-2</v>
      </c>
      <c r="AE586" s="16">
        <f t="shared" si="152"/>
        <v>0.76775424878368814</v>
      </c>
      <c r="AF586" s="16">
        <f t="shared" si="153"/>
        <v>7.1796383516142995E-2</v>
      </c>
      <c r="AG586" s="16">
        <f t="shared" si="154"/>
        <v>6.3708786391298386E-2</v>
      </c>
      <c r="AH586" s="16">
        <f t="shared" si="155"/>
        <v>5.1644442785792069E-2</v>
      </c>
    </row>
    <row r="587" spans="1:34" x14ac:dyDescent="0.25">
      <c r="A587" s="12">
        <v>74131</v>
      </c>
      <c r="B587" s="13">
        <v>44.486400000000003</v>
      </c>
      <c r="C587" s="12">
        <v>89.344890000000007</v>
      </c>
      <c r="D587" s="14">
        <v>4</v>
      </c>
      <c r="E587" s="13" t="s">
        <v>42</v>
      </c>
      <c r="F587" s="13">
        <v>44.472119999999997</v>
      </c>
      <c r="G587" s="12">
        <v>89.482460000000003</v>
      </c>
      <c r="H587" s="13" t="s">
        <v>41</v>
      </c>
      <c r="I587" s="13">
        <v>44.474519999999998</v>
      </c>
      <c r="J587" s="12">
        <v>89.295339999999996</v>
      </c>
      <c r="K587" s="13" t="s">
        <v>43</v>
      </c>
      <c r="L587" s="13">
        <v>44.43627</v>
      </c>
      <c r="M587" s="12">
        <v>89.307379999999995</v>
      </c>
      <c r="N587" s="13" t="s">
        <v>45</v>
      </c>
      <c r="O587" s="13">
        <v>44.49091</v>
      </c>
      <c r="P587" s="12">
        <v>89.345470000000006</v>
      </c>
      <c r="T587" s="5">
        <f t="shared" si="141"/>
        <v>36185.794609956793</v>
      </c>
      <c r="U587" s="5">
        <f t="shared" si="142"/>
        <v>13606.084533268011</v>
      </c>
      <c r="V587" s="5">
        <f t="shared" si="143"/>
        <v>20732.613451289002</v>
      </c>
      <c r="W587" s="5">
        <f t="shared" si="144"/>
        <v>1652.2152331179634</v>
      </c>
      <c r="X587" s="6" t="str">
        <f t="shared" si="145"/>
        <v>n/a</v>
      </c>
      <c r="Y587" s="16">
        <f t="shared" si="146"/>
        <v>3.6621629654781808E-2</v>
      </c>
      <c r="Z587" s="16">
        <f t="shared" si="147"/>
        <v>9.7396335127101052E-2</v>
      </c>
      <c r="AA587" s="16">
        <f t="shared" si="148"/>
        <v>6.3917786924612113E-2</v>
      </c>
      <c r="AB587" s="16">
        <f t="shared" si="149"/>
        <v>0.80206424829350498</v>
      </c>
      <c r="AC587" s="18" t="e">
        <f t="shared" si="150"/>
        <v>#VALUE!</v>
      </c>
      <c r="AD587" s="16">
        <f t="shared" si="151"/>
        <v>2.0375319880575156E-3</v>
      </c>
      <c r="AE587" s="16">
        <f t="shared" si="152"/>
        <v>1.4411670812796656E-2</v>
      </c>
      <c r="AF587" s="16">
        <f t="shared" si="153"/>
        <v>6.2068687527760905E-3</v>
      </c>
      <c r="AG587" s="16">
        <f t="shared" si="154"/>
        <v>0.97734392844636986</v>
      </c>
      <c r="AH587" s="16" t="e">
        <f t="shared" si="155"/>
        <v>#VALUE!</v>
      </c>
    </row>
    <row r="588" spans="1:34" x14ac:dyDescent="0.25">
      <c r="A588" s="12">
        <v>74169</v>
      </c>
      <c r="B588" s="13">
        <v>44.4373</v>
      </c>
      <c r="C588" s="12">
        <v>89.654899999999998</v>
      </c>
      <c r="D588" s="14">
        <v>0</v>
      </c>
      <c r="T588" s="5">
        <f t="shared" si="141"/>
        <v>32743255.377697036</v>
      </c>
      <c r="U588" s="5">
        <f t="shared" si="142"/>
        <v>32743255.377697036</v>
      </c>
      <c r="V588" s="5" t="str">
        <f t="shared" si="143"/>
        <v>n/a</v>
      </c>
      <c r="W588" s="5" t="str">
        <f t="shared" si="144"/>
        <v>n/a</v>
      </c>
      <c r="X588" s="6" t="str">
        <f t="shared" si="145"/>
        <v>n/a</v>
      </c>
      <c r="Y588" s="16" t="str">
        <f t="shared" si="146"/>
        <v>error</v>
      </c>
      <c r="Z588" s="16" t="str">
        <f t="shared" si="147"/>
        <v>error</v>
      </c>
      <c r="AA588" s="16" t="str">
        <f t="shared" si="148"/>
        <v>error</v>
      </c>
      <c r="AB588" s="16" t="str">
        <f t="shared" si="149"/>
        <v>error</v>
      </c>
      <c r="AC588" s="18" t="str">
        <f t="shared" si="150"/>
        <v>error</v>
      </c>
      <c r="AD588" s="16" t="str">
        <f t="shared" si="151"/>
        <v>error</v>
      </c>
      <c r="AE588" s="16" t="str">
        <f t="shared" si="152"/>
        <v>error</v>
      </c>
      <c r="AF588" s="16" t="str">
        <f t="shared" si="153"/>
        <v>error</v>
      </c>
      <c r="AG588" s="16" t="str">
        <f t="shared" si="154"/>
        <v>error</v>
      </c>
      <c r="AH588" s="16" t="str">
        <f t="shared" si="155"/>
        <v>error</v>
      </c>
    </row>
    <row r="589" spans="1:34" x14ac:dyDescent="0.25">
      <c r="A589" s="12">
        <v>74233</v>
      </c>
      <c r="B589" s="13">
        <v>44.491999999999997</v>
      </c>
      <c r="C589" s="12">
        <v>89.368899999999996</v>
      </c>
      <c r="D589" s="14">
        <v>0</v>
      </c>
      <c r="T589" s="5">
        <f t="shared" si="141"/>
        <v>32668912.70611288</v>
      </c>
      <c r="U589" s="5">
        <f t="shared" si="142"/>
        <v>32668912.70611288</v>
      </c>
      <c r="V589" s="5" t="str">
        <f t="shared" si="143"/>
        <v>n/a</v>
      </c>
      <c r="W589" s="5" t="str">
        <f t="shared" si="144"/>
        <v>n/a</v>
      </c>
      <c r="X589" s="6" t="str">
        <f t="shared" si="145"/>
        <v>n/a</v>
      </c>
      <c r="Y589" s="16" t="str">
        <f t="shared" si="146"/>
        <v>error</v>
      </c>
      <c r="Z589" s="16" t="str">
        <f t="shared" si="147"/>
        <v>error</v>
      </c>
      <c r="AA589" s="16" t="str">
        <f t="shared" si="148"/>
        <v>error</v>
      </c>
      <c r="AB589" s="16" t="str">
        <f t="shared" si="149"/>
        <v>error</v>
      </c>
      <c r="AC589" s="18" t="str">
        <f t="shared" si="150"/>
        <v>error</v>
      </c>
      <c r="AD589" s="16" t="str">
        <f t="shared" si="151"/>
        <v>error</v>
      </c>
      <c r="AE589" s="16" t="str">
        <f t="shared" si="152"/>
        <v>error</v>
      </c>
      <c r="AF589" s="16" t="str">
        <f t="shared" si="153"/>
        <v>error</v>
      </c>
      <c r="AG589" s="16" t="str">
        <f t="shared" si="154"/>
        <v>error</v>
      </c>
      <c r="AH589" s="16" t="str">
        <f t="shared" si="155"/>
        <v>error</v>
      </c>
    </row>
    <row r="590" spans="1:34" x14ac:dyDescent="0.25">
      <c r="A590" s="12">
        <v>74235</v>
      </c>
      <c r="B590" s="13">
        <v>44.494300000000003</v>
      </c>
      <c r="C590" s="12">
        <v>89.374300000000005</v>
      </c>
      <c r="D590" s="14">
        <v>0</v>
      </c>
      <c r="T590" s="5">
        <f t="shared" si="141"/>
        <v>32670324.374589693</v>
      </c>
      <c r="U590" s="5">
        <f t="shared" si="142"/>
        <v>32670324.374589693</v>
      </c>
      <c r="V590" s="5" t="str">
        <f t="shared" si="143"/>
        <v>n/a</v>
      </c>
      <c r="W590" s="5" t="str">
        <f t="shared" si="144"/>
        <v>n/a</v>
      </c>
      <c r="X590" s="6" t="str">
        <f t="shared" si="145"/>
        <v>n/a</v>
      </c>
      <c r="Y590" s="16" t="str">
        <f t="shared" si="146"/>
        <v>error</v>
      </c>
      <c r="Z590" s="16" t="str">
        <f t="shared" si="147"/>
        <v>error</v>
      </c>
      <c r="AA590" s="16" t="str">
        <f t="shared" si="148"/>
        <v>error</v>
      </c>
      <c r="AB590" s="16" t="str">
        <f t="shared" si="149"/>
        <v>error</v>
      </c>
      <c r="AC590" s="18" t="str">
        <f t="shared" si="150"/>
        <v>error</v>
      </c>
      <c r="AD590" s="16" t="str">
        <f t="shared" si="151"/>
        <v>error</v>
      </c>
      <c r="AE590" s="16" t="str">
        <f t="shared" si="152"/>
        <v>error</v>
      </c>
      <c r="AF590" s="16" t="str">
        <f t="shared" si="153"/>
        <v>error</v>
      </c>
      <c r="AG590" s="16" t="str">
        <f t="shared" si="154"/>
        <v>error</v>
      </c>
      <c r="AH590" s="16" t="str">
        <f t="shared" si="155"/>
        <v>error</v>
      </c>
    </row>
    <row r="591" spans="1:34" x14ac:dyDescent="0.25">
      <c r="A591" s="12">
        <v>74280</v>
      </c>
      <c r="B591" s="13">
        <v>44.586100000000002</v>
      </c>
      <c r="C591" s="12">
        <v>89.413399999999996</v>
      </c>
      <c r="D591" s="14">
        <v>4</v>
      </c>
      <c r="E591" s="13" t="s">
        <v>42</v>
      </c>
      <c r="F591" s="13">
        <v>44.481119999999997</v>
      </c>
      <c r="G591" s="12">
        <v>89.479669999999999</v>
      </c>
      <c r="H591" s="13" t="s">
        <v>39</v>
      </c>
      <c r="I591" s="13">
        <v>44.58616</v>
      </c>
      <c r="J591" s="12">
        <v>89.487179999999995</v>
      </c>
      <c r="K591" s="13" t="s">
        <v>40</v>
      </c>
      <c r="L591" s="13">
        <v>44.554780000000001</v>
      </c>
      <c r="M591" s="13">
        <v>89.461330000000004</v>
      </c>
      <c r="N591" s="13" t="s">
        <v>41</v>
      </c>
      <c r="O591" s="13">
        <v>44.598619999999997</v>
      </c>
      <c r="P591" s="12">
        <v>89.366849999999999</v>
      </c>
      <c r="T591" s="5">
        <f t="shared" si="141"/>
        <v>41996.906501307276</v>
      </c>
      <c r="U591" s="5">
        <f t="shared" si="142"/>
        <v>19169.39734367056</v>
      </c>
      <c r="V591" s="5">
        <f t="shared" si="143"/>
        <v>16903.107221738483</v>
      </c>
      <c r="W591" s="5">
        <f t="shared" si="144"/>
        <v>12927.029856276149</v>
      </c>
      <c r="X591" s="6" t="str">
        <f t="shared" si="145"/>
        <v>n/a</v>
      </c>
      <c r="Y591" s="16">
        <f t="shared" si="146"/>
        <v>0.11205530220704993</v>
      </c>
      <c r="Z591" s="16">
        <f t="shared" si="147"/>
        <v>0.24549420961943008</v>
      </c>
      <c r="AA591" s="16">
        <f t="shared" si="148"/>
        <v>0.27840893322341459</v>
      </c>
      <c r="AB591" s="16">
        <f t="shared" si="149"/>
        <v>0.36404155495010537</v>
      </c>
      <c r="AC591" s="18" t="e">
        <f t="shared" si="150"/>
        <v>#VALUE!</v>
      </c>
      <c r="AD591" s="16">
        <f t="shared" si="151"/>
        <v>4.4390583220447519E-2</v>
      </c>
      <c r="AE591" s="16">
        <f t="shared" si="152"/>
        <v>0.21306324378384583</v>
      </c>
      <c r="AF591" s="16">
        <f t="shared" si="153"/>
        <v>0.27402637212488268</v>
      </c>
      <c r="AG591" s="16">
        <f t="shared" si="154"/>
        <v>0.46851980087082401</v>
      </c>
      <c r="AH591" s="16" t="e">
        <f t="shared" si="155"/>
        <v>#VALUE!</v>
      </c>
    </row>
    <row r="592" spans="1:34" x14ac:dyDescent="0.25">
      <c r="A592" s="12">
        <v>74388</v>
      </c>
      <c r="B592" s="13">
        <v>44.377600000000001</v>
      </c>
      <c r="C592" s="12">
        <v>89.474599999999995</v>
      </c>
      <c r="D592" s="14">
        <v>0</v>
      </c>
      <c r="M592" s="13"/>
      <c r="T592" s="5">
        <f t="shared" si="141"/>
        <v>32696151.299602814</v>
      </c>
      <c r="U592" s="5">
        <f t="shared" si="142"/>
        <v>32696151.299602814</v>
      </c>
      <c r="V592" s="5" t="str">
        <f t="shared" si="143"/>
        <v>n/a</v>
      </c>
      <c r="W592" s="5" t="str">
        <f t="shared" si="144"/>
        <v>n/a</v>
      </c>
      <c r="X592" s="6" t="str">
        <f t="shared" si="145"/>
        <v>n/a</v>
      </c>
      <c r="Y592" s="16" t="str">
        <f t="shared" si="146"/>
        <v>error</v>
      </c>
      <c r="Z592" s="16" t="str">
        <f t="shared" si="147"/>
        <v>error</v>
      </c>
      <c r="AA592" s="16" t="str">
        <f t="shared" si="148"/>
        <v>error</v>
      </c>
      <c r="AB592" s="16" t="str">
        <f t="shared" si="149"/>
        <v>error</v>
      </c>
      <c r="AC592" s="18" t="str">
        <f t="shared" si="150"/>
        <v>error</v>
      </c>
      <c r="AD592" s="16" t="str">
        <f t="shared" si="151"/>
        <v>error</v>
      </c>
      <c r="AE592" s="16" t="str">
        <f t="shared" si="152"/>
        <v>error</v>
      </c>
      <c r="AF592" s="16" t="str">
        <f t="shared" si="153"/>
        <v>error</v>
      </c>
      <c r="AG592" s="16" t="str">
        <f t="shared" si="154"/>
        <v>error</v>
      </c>
      <c r="AH592" s="16" t="str">
        <f t="shared" si="155"/>
        <v>error</v>
      </c>
    </row>
    <row r="593" spans="1:34" x14ac:dyDescent="0.25">
      <c r="A593" s="12">
        <v>84404</v>
      </c>
      <c r="B593" s="13">
        <v>44.430553500000002</v>
      </c>
      <c r="C593" s="12">
        <v>89.516164200000006</v>
      </c>
      <c r="D593" s="14">
        <v>4</v>
      </c>
      <c r="E593" s="13" t="s">
        <v>42</v>
      </c>
      <c r="F593" s="13">
        <v>44.469799999999999</v>
      </c>
      <c r="G593" s="12">
        <v>89.511669999999995</v>
      </c>
      <c r="H593" s="13" t="s">
        <v>48</v>
      </c>
      <c r="I593" s="13">
        <v>44.462269999999997</v>
      </c>
      <c r="J593" s="12">
        <v>89.556250000000006</v>
      </c>
      <c r="K593" s="13" t="s">
        <v>50</v>
      </c>
      <c r="L593" s="13">
        <v>44.42971</v>
      </c>
      <c r="M593" s="12">
        <v>89.569090000000003</v>
      </c>
      <c r="N593" s="13" t="s">
        <v>44</v>
      </c>
      <c r="O593" s="13">
        <v>44.395130000000002</v>
      </c>
      <c r="P593" s="12">
        <v>89.512289999999993</v>
      </c>
      <c r="T593" s="5">
        <f t="shared" si="141"/>
        <v>14365.381611279814</v>
      </c>
      <c r="U593" s="5">
        <f t="shared" si="142"/>
        <v>15584.365553557482</v>
      </c>
      <c r="V593" s="5">
        <f t="shared" si="143"/>
        <v>13791.370157467729</v>
      </c>
      <c r="W593" s="5">
        <f t="shared" si="144"/>
        <v>12962.320536324001</v>
      </c>
      <c r="X593" s="6" t="str">
        <f t="shared" si="145"/>
        <v>n/a</v>
      </c>
      <c r="Y593" s="16">
        <f t="shared" si="146"/>
        <v>0.24560102906256978</v>
      </c>
      <c r="Z593" s="16">
        <f t="shared" si="147"/>
        <v>0.22639051262510065</v>
      </c>
      <c r="AA593" s="16">
        <f t="shared" si="148"/>
        <v>0.2558232043896248</v>
      </c>
      <c r="AB593" s="16">
        <f t="shared" si="149"/>
        <v>0.27218525392270476</v>
      </c>
      <c r="AC593" s="18" t="e">
        <f t="shared" si="150"/>
        <v>#VALUE!</v>
      </c>
      <c r="AD593" s="16">
        <f t="shared" si="151"/>
        <v>0.2402197526073927</v>
      </c>
      <c r="AE593" s="16">
        <f t="shared" si="152"/>
        <v>0.204110241608052</v>
      </c>
      <c r="AF593" s="16">
        <f t="shared" si="153"/>
        <v>0.26063229011984168</v>
      </c>
      <c r="AG593" s="16">
        <f t="shared" si="154"/>
        <v>0.29503771566471348</v>
      </c>
      <c r="AH593" s="16" t="e">
        <f t="shared" si="155"/>
        <v>#VALUE!</v>
      </c>
    </row>
    <row r="594" spans="1:34" x14ac:dyDescent="0.25">
      <c r="A594" s="12">
        <v>84409</v>
      </c>
      <c r="B594" s="13">
        <v>44.455864099999999</v>
      </c>
      <c r="C594" s="12">
        <v>89.505949900000005</v>
      </c>
      <c r="D594" s="14">
        <v>2</v>
      </c>
      <c r="E594" s="13" t="s">
        <v>42</v>
      </c>
      <c r="F594" s="13">
        <v>44.469230000000003</v>
      </c>
      <c r="G594" s="12">
        <v>89.502459999999999</v>
      </c>
      <c r="H594" s="13" t="s">
        <v>48</v>
      </c>
      <c r="I594" s="13">
        <v>44.463709999999999</v>
      </c>
      <c r="J594" s="12">
        <v>89.554119999999998</v>
      </c>
      <c r="T594" s="5">
        <f t="shared" si="141"/>
        <v>4959.994286405723</v>
      </c>
      <c r="U594" s="5">
        <f t="shared" si="142"/>
        <v>12865.0872231055</v>
      </c>
      <c r="V594" s="5" t="str">
        <f t="shared" si="143"/>
        <v>n/a</v>
      </c>
      <c r="W594" s="5" t="str">
        <f t="shared" si="144"/>
        <v>n/a</v>
      </c>
      <c r="X594" s="6" t="str">
        <f t="shared" si="145"/>
        <v>n/a</v>
      </c>
      <c r="Y594" s="16">
        <f t="shared" si="146"/>
        <v>0.7217407233869233</v>
      </c>
      <c r="Z594" s="16">
        <f t="shared" si="147"/>
        <v>0.27825927661307676</v>
      </c>
      <c r="AA594" s="16" t="e">
        <f t="shared" si="148"/>
        <v>#VALUE!</v>
      </c>
      <c r="AB594" s="16" t="e">
        <f t="shared" si="149"/>
        <v>#VALUE!</v>
      </c>
      <c r="AC594" s="18" t="e">
        <f t="shared" si="150"/>
        <v>#VALUE!</v>
      </c>
      <c r="AD594" s="16">
        <f t="shared" si="151"/>
        <v>0.87059448276096252</v>
      </c>
      <c r="AE594" s="16">
        <f t="shared" si="152"/>
        <v>0.12940551723903759</v>
      </c>
      <c r="AF594" s="16" t="e">
        <f t="shared" si="153"/>
        <v>#VALUE!</v>
      </c>
      <c r="AG594" s="16" t="e">
        <f t="shared" si="154"/>
        <v>#VALUE!</v>
      </c>
      <c r="AH594" s="16" t="e">
        <f t="shared" si="155"/>
        <v>#VALUE!</v>
      </c>
    </row>
    <row r="595" spans="1:34" x14ac:dyDescent="0.25">
      <c r="A595" s="12">
        <v>84411</v>
      </c>
      <c r="B595" s="13">
        <v>44.455864099999999</v>
      </c>
      <c r="C595" s="12">
        <v>89.505949900000005</v>
      </c>
      <c r="D595" s="14">
        <v>2</v>
      </c>
      <c r="E595" s="13" t="s">
        <v>42</v>
      </c>
      <c r="F595" s="13">
        <v>44.469230000000003</v>
      </c>
      <c r="G595" s="12">
        <v>89.502459999999999</v>
      </c>
      <c r="H595" s="13" t="s">
        <v>48</v>
      </c>
      <c r="I595" s="13">
        <v>44.463709999999999</v>
      </c>
      <c r="J595" s="12">
        <v>89.554119999999998</v>
      </c>
      <c r="T595" s="5">
        <f t="shared" si="141"/>
        <v>4959.994286405723</v>
      </c>
      <c r="U595" s="5">
        <f t="shared" si="142"/>
        <v>12865.0872231055</v>
      </c>
      <c r="V595" s="5" t="str">
        <f t="shared" si="143"/>
        <v>n/a</v>
      </c>
      <c r="W595" s="5" t="str">
        <f t="shared" si="144"/>
        <v>n/a</v>
      </c>
      <c r="X595" s="6" t="str">
        <f t="shared" si="145"/>
        <v>n/a</v>
      </c>
      <c r="Y595" s="16">
        <f t="shared" si="146"/>
        <v>0.7217407233869233</v>
      </c>
      <c r="Z595" s="16">
        <f t="shared" si="147"/>
        <v>0.27825927661307676</v>
      </c>
      <c r="AA595" s="16" t="e">
        <f t="shared" si="148"/>
        <v>#VALUE!</v>
      </c>
      <c r="AB595" s="16" t="e">
        <f t="shared" si="149"/>
        <v>#VALUE!</v>
      </c>
      <c r="AC595" s="18" t="e">
        <f t="shared" si="150"/>
        <v>#VALUE!</v>
      </c>
      <c r="AD595" s="16">
        <f t="shared" si="151"/>
        <v>0.87059448276096252</v>
      </c>
      <c r="AE595" s="16">
        <f t="shared" si="152"/>
        <v>0.12940551723903759</v>
      </c>
      <c r="AF595" s="16" t="e">
        <f t="shared" si="153"/>
        <v>#VALUE!</v>
      </c>
      <c r="AG595" s="16" t="e">
        <f t="shared" si="154"/>
        <v>#VALUE!</v>
      </c>
      <c r="AH595" s="16" t="e">
        <f t="shared" si="155"/>
        <v>#VALUE!</v>
      </c>
    </row>
    <row r="596" spans="1:34" x14ac:dyDescent="0.25">
      <c r="A596" s="12">
        <v>84461</v>
      </c>
      <c r="B596" s="13">
        <v>44.450474700000001</v>
      </c>
      <c r="C596" s="12">
        <v>89.283623399999996</v>
      </c>
      <c r="D596" s="13">
        <v>0</v>
      </c>
      <c r="T596" s="5">
        <f t="shared" si="141"/>
        <v>32646588.508413944</v>
      </c>
      <c r="U596" s="5">
        <f t="shared" si="142"/>
        <v>32646588.508413944</v>
      </c>
      <c r="V596" s="5" t="str">
        <f t="shared" si="143"/>
        <v>n/a</v>
      </c>
      <c r="W596" s="5" t="str">
        <f t="shared" si="144"/>
        <v>n/a</v>
      </c>
      <c r="X596" s="6" t="str">
        <f t="shared" si="145"/>
        <v>n/a</v>
      </c>
      <c r="Y596" s="16" t="str">
        <f t="shared" si="146"/>
        <v>error</v>
      </c>
      <c r="Z596" s="16" t="str">
        <f t="shared" si="147"/>
        <v>error</v>
      </c>
      <c r="AA596" s="16" t="str">
        <f t="shared" si="148"/>
        <v>error</v>
      </c>
      <c r="AB596" s="16" t="str">
        <f t="shared" si="149"/>
        <v>error</v>
      </c>
      <c r="AC596" s="18" t="str">
        <f t="shared" si="150"/>
        <v>error</v>
      </c>
      <c r="AD596" s="16" t="str">
        <f t="shared" si="151"/>
        <v>error</v>
      </c>
      <c r="AE596" s="16" t="str">
        <f t="shared" si="152"/>
        <v>error</v>
      </c>
      <c r="AF596" s="16" t="str">
        <f t="shared" si="153"/>
        <v>error</v>
      </c>
      <c r="AG596" s="16" t="str">
        <f t="shared" si="154"/>
        <v>error</v>
      </c>
      <c r="AH596" s="16" t="str">
        <f t="shared" si="155"/>
        <v>error</v>
      </c>
    </row>
    <row r="597" spans="1:34" x14ac:dyDescent="0.25">
      <c r="A597" s="12">
        <v>84462</v>
      </c>
      <c r="B597" s="13">
        <v>44.450219799999999</v>
      </c>
      <c r="C597" s="12">
        <v>89.283882500000004</v>
      </c>
      <c r="D597" s="13">
        <v>0</v>
      </c>
      <c r="T597" s="5">
        <f t="shared" si="141"/>
        <v>32646655.167702734</v>
      </c>
      <c r="U597" s="5">
        <f t="shared" si="142"/>
        <v>32646655.167702734</v>
      </c>
      <c r="V597" s="5" t="str">
        <f t="shared" si="143"/>
        <v>n/a</v>
      </c>
      <c r="W597" s="5" t="str">
        <f t="shared" si="144"/>
        <v>n/a</v>
      </c>
      <c r="X597" s="6" t="str">
        <f t="shared" si="145"/>
        <v>n/a</v>
      </c>
      <c r="Y597" s="16" t="str">
        <f t="shared" si="146"/>
        <v>error</v>
      </c>
      <c r="Z597" s="16" t="str">
        <f t="shared" si="147"/>
        <v>error</v>
      </c>
      <c r="AA597" s="16" t="str">
        <f t="shared" si="148"/>
        <v>error</v>
      </c>
      <c r="AB597" s="16" t="str">
        <f t="shared" si="149"/>
        <v>error</v>
      </c>
      <c r="AC597" s="18" t="str">
        <f t="shared" si="150"/>
        <v>error</v>
      </c>
      <c r="AD597" s="16" t="str">
        <f t="shared" si="151"/>
        <v>error</v>
      </c>
      <c r="AE597" s="16" t="str">
        <f t="shared" si="152"/>
        <v>error</v>
      </c>
      <c r="AF597" s="16" t="str">
        <f t="shared" si="153"/>
        <v>error</v>
      </c>
      <c r="AG597" s="16" t="str">
        <f t="shared" si="154"/>
        <v>error</v>
      </c>
      <c r="AH597" s="16" t="str">
        <f t="shared" si="155"/>
        <v>error</v>
      </c>
    </row>
    <row r="598" spans="1:34" x14ac:dyDescent="0.25">
      <c r="A598" s="12">
        <v>84466</v>
      </c>
      <c r="B598" s="13">
        <v>44.521724399999997</v>
      </c>
      <c r="C598" s="12">
        <v>89.533492899999999</v>
      </c>
      <c r="D598" s="13">
        <v>0</v>
      </c>
      <c r="T598" s="5">
        <f t="shared" si="141"/>
        <v>32711807.045117524</v>
      </c>
      <c r="U598" s="5">
        <f t="shared" si="142"/>
        <v>32711807.045117524</v>
      </c>
      <c r="V598" s="5" t="str">
        <f t="shared" si="143"/>
        <v>n/a</v>
      </c>
      <c r="W598" s="5" t="str">
        <f t="shared" si="144"/>
        <v>n/a</v>
      </c>
      <c r="X598" s="6" t="str">
        <f t="shared" si="145"/>
        <v>n/a</v>
      </c>
      <c r="Y598" s="16" t="str">
        <f t="shared" si="146"/>
        <v>error</v>
      </c>
      <c r="Z598" s="16" t="str">
        <f t="shared" si="147"/>
        <v>error</v>
      </c>
      <c r="AA598" s="16" t="str">
        <f t="shared" si="148"/>
        <v>error</v>
      </c>
      <c r="AB598" s="16" t="str">
        <f t="shared" si="149"/>
        <v>error</v>
      </c>
      <c r="AC598" s="18" t="str">
        <f t="shared" si="150"/>
        <v>error</v>
      </c>
      <c r="AD598" s="16" t="str">
        <f t="shared" si="151"/>
        <v>error</v>
      </c>
      <c r="AE598" s="16" t="str">
        <f t="shared" si="152"/>
        <v>error</v>
      </c>
      <c r="AF598" s="16" t="str">
        <f t="shared" si="153"/>
        <v>error</v>
      </c>
      <c r="AG598" s="16" t="str">
        <f t="shared" si="154"/>
        <v>error</v>
      </c>
      <c r="AH598" s="16" t="str">
        <f t="shared" si="155"/>
        <v>error</v>
      </c>
    </row>
    <row r="599" spans="1:34" x14ac:dyDescent="0.25">
      <c r="A599" s="12">
        <v>84471</v>
      </c>
      <c r="B599" s="13">
        <v>44.490314699999999</v>
      </c>
      <c r="C599" s="12">
        <v>89.5381201</v>
      </c>
      <c r="D599" s="13">
        <v>0</v>
      </c>
      <c r="T599" s="5">
        <f t="shared" si="141"/>
        <v>32712945.835999765</v>
      </c>
      <c r="U599" s="5">
        <f t="shared" si="142"/>
        <v>32712945.835999765</v>
      </c>
      <c r="V599" s="5" t="str">
        <f t="shared" si="143"/>
        <v>n/a</v>
      </c>
      <c r="W599" s="5" t="str">
        <f t="shared" si="144"/>
        <v>n/a</v>
      </c>
      <c r="X599" s="6" t="str">
        <f t="shared" si="145"/>
        <v>n/a</v>
      </c>
      <c r="Y599" s="16" t="str">
        <f t="shared" si="146"/>
        <v>error</v>
      </c>
      <c r="Z599" s="16" t="str">
        <f t="shared" si="147"/>
        <v>error</v>
      </c>
      <c r="AA599" s="16" t="str">
        <f t="shared" si="148"/>
        <v>error</v>
      </c>
      <c r="AB599" s="16" t="str">
        <f t="shared" si="149"/>
        <v>error</v>
      </c>
      <c r="AC599" s="18" t="str">
        <f t="shared" si="150"/>
        <v>error</v>
      </c>
      <c r="AD599" s="16" t="str">
        <f t="shared" si="151"/>
        <v>error</v>
      </c>
      <c r="AE599" s="16" t="str">
        <f t="shared" si="152"/>
        <v>error</v>
      </c>
      <c r="AF599" s="16" t="str">
        <f t="shared" si="153"/>
        <v>error</v>
      </c>
      <c r="AG599" s="16" t="str">
        <f t="shared" si="154"/>
        <v>error</v>
      </c>
      <c r="AH599" s="16" t="str">
        <f t="shared" si="155"/>
        <v>error</v>
      </c>
    </row>
    <row r="600" spans="1:34" x14ac:dyDescent="0.25">
      <c r="A600" s="12">
        <v>91072</v>
      </c>
      <c r="B600" s="13">
        <v>44.554099999999998</v>
      </c>
      <c r="C600" s="12">
        <v>89.400700000000001</v>
      </c>
      <c r="D600" s="14">
        <v>4</v>
      </c>
      <c r="E600" s="13" t="s">
        <v>42</v>
      </c>
      <c r="F600" s="13">
        <v>44.481119999999997</v>
      </c>
      <c r="G600" s="12">
        <v>89.479669999999999</v>
      </c>
      <c r="H600" s="13" t="s">
        <v>39</v>
      </c>
      <c r="I600" s="13">
        <v>44.566249999999997</v>
      </c>
      <c r="J600" s="12">
        <v>89.504400000000004</v>
      </c>
      <c r="K600" s="13" t="s">
        <v>40</v>
      </c>
      <c r="L600" s="13">
        <v>44.554780000000001</v>
      </c>
      <c r="M600" s="13">
        <v>89.461330000000004</v>
      </c>
      <c r="N600" s="13" t="s">
        <v>41</v>
      </c>
      <c r="O600" s="13">
        <v>44.570529999999998</v>
      </c>
      <c r="P600" s="12">
        <v>89.378259999999997</v>
      </c>
      <c r="T600" s="5">
        <f t="shared" si="141"/>
        <v>33627.566688930077</v>
      </c>
      <c r="U600" s="5">
        <f t="shared" si="142"/>
        <v>27317.175438711965</v>
      </c>
      <c r="V600" s="5">
        <f t="shared" si="143"/>
        <v>15763.313562165453</v>
      </c>
      <c r="W600" s="5">
        <f t="shared" si="144"/>
        <v>8363.4324665072436</v>
      </c>
      <c r="X600" s="6" t="str">
        <f t="shared" si="145"/>
        <v>n/a</v>
      </c>
      <c r="Y600" s="16">
        <f t="shared" si="146"/>
        <v>0.11925958593818335</v>
      </c>
      <c r="Z600" s="16">
        <f t="shared" si="147"/>
        <v>0.14680909043572565</v>
      </c>
      <c r="AA600" s="16">
        <f t="shared" si="148"/>
        <v>0.25441412832490318</v>
      </c>
      <c r="AB600" s="16">
        <f t="shared" si="149"/>
        <v>0.47951719530118775</v>
      </c>
      <c r="AC600" s="18" t="e">
        <f t="shared" si="150"/>
        <v>#VALUE!</v>
      </c>
      <c r="AD600" s="16">
        <f t="shared" si="151"/>
        <v>4.3042276512611437E-2</v>
      </c>
      <c r="AE600" s="16">
        <f t="shared" si="152"/>
        <v>6.5225067134846743E-2</v>
      </c>
      <c r="AF600" s="16">
        <f t="shared" si="153"/>
        <v>0.19588044829714965</v>
      </c>
      <c r="AG600" s="16">
        <f t="shared" si="154"/>
        <v>0.69585220805539205</v>
      </c>
      <c r="AH600" s="16" t="e">
        <f t="shared" si="155"/>
        <v>#VALUE!</v>
      </c>
    </row>
    <row r="601" spans="1:34" x14ac:dyDescent="0.25">
      <c r="A601" s="12">
        <v>91102</v>
      </c>
      <c r="B601" s="13">
        <v>44.399000000000001</v>
      </c>
      <c r="C601" s="12">
        <v>89.389799999999994</v>
      </c>
      <c r="D601" s="13">
        <v>0</v>
      </c>
      <c r="T601" s="5">
        <f t="shared" si="141"/>
        <v>32674098.519327644</v>
      </c>
      <c r="U601" s="5">
        <f t="shared" si="142"/>
        <v>32674098.519327644</v>
      </c>
      <c r="V601" s="5" t="str">
        <f t="shared" si="143"/>
        <v>n/a</v>
      </c>
      <c r="W601" s="5" t="str">
        <f t="shared" si="144"/>
        <v>n/a</v>
      </c>
      <c r="X601" s="6" t="str">
        <f t="shared" si="145"/>
        <v>n/a</v>
      </c>
      <c r="Y601" s="16" t="str">
        <f t="shared" si="146"/>
        <v>error</v>
      </c>
      <c r="Z601" s="16" t="str">
        <f t="shared" si="147"/>
        <v>error</v>
      </c>
      <c r="AA601" s="16" t="str">
        <f t="shared" si="148"/>
        <v>error</v>
      </c>
      <c r="AB601" s="16" t="str">
        <f t="shared" si="149"/>
        <v>error</v>
      </c>
      <c r="AC601" s="18" t="str">
        <f t="shared" si="150"/>
        <v>error</v>
      </c>
      <c r="AD601" s="16" t="str">
        <f t="shared" si="151"/>
        <v>error</v>
      </c>
      <c r="AE601" s="16" t="str">
        <f t="shared" si="152"/>
        <v>error</v>
      </c>
      <c r="AF601" s="16" t="str">
        <f t="shared" si="153"/>
        <v>error</v>
      </c>
      <c r="AG601" s="16" t="str">
        <f t="shared" si="154"/>
        <v>error</v>
      </c>
      <c r="AH601" s="16" t="str">
        <f t="shared" si="155"/>
        <v>error</v>
      </c>
    </row>
    <row r="602" spans="1:34" x14ac:dyDescent="0.25">
      <c r="A602" s="12">
        <v>91103</v>
      </c>
      <c r="B602" s="13">
        <v>44.402200000000001</v>
      </c>
      <c r="C602" s="12">
        <v>89.386799999999994</v>
      </c>
      <c r="D602" s="14">
        <v>5</v>
      </c>
      <c r="E602" s="13" t="s">
        <v>42</v>
      </c>
      <c r="F602" s="13">
        <v>44.467849999999999</v>
      </c>
      <c r="G602" s="12">
        <v>89.487679999999997</v>
      </c>
      <c r="H602" s="13" t="s">
        <v>44</v>
      </c>
      <c r="I602" s="13">
        <v>44.400129999999997</v>
      </c>
      <c r="J602" s="12">
        <v>89.480549999999994</v>
      </c>
      <c r="K602" s="13" t="s">
        <v>51</v>
      </c>
      <c r="L602" s="13">
        <v>44.37968</v>
      </c>
      <c r="M602" s="12">
        <v>89.436890000000005</v>
      </c>
      <c r="N602" s="13" t="s">
        <v>46</v>
      </c>
      <c r="O602" s="13">
        <v>44.382379999999998</v>
      </c>
      <c r="P602" s="12">
        <v>89.367450000000005</v>
      </c>
      <c r="Q602" s="13" t="s">
        <v>43</v>
      </c>
      <c r="R602" s="13">
        <v>44.436579999999999</v>
      </c>
      <c r="S602" s="12">
        <v>89.376000000000005</v>
      </c>
      <c r="T602" s="5">
        <f t="shared" si="141"/>
        <v>35555.022430992612</v>
      </c>
      <c r="U602" s="5">
        <f t="shared" si="142"/>
        <v>24446.998040028433</v>
      </c>
      <c r="V602" s="5">
        <f t="shared" si="143"/>
        <v>15427.410429162488</v>
      </c>
      <c r="W602" s="5">
        <f t="shared" si="144"/>
        <v>8816.2092341285916</v>
      </c>
      <c r="X602" s="6">
        <f t="shared" si="145"/>
        <v>12854.079276326313</v>
      </c>
      <c r="Y602" s="16">
        <f t="shared" si="146"/>
        <v>8.6520143819844741E-2</v>
      </c>
      <c r="Z602" s="16">
        <f t="shared" si="147"/>
        <v>0.12583244982514463</v>
      </c>
      <c r="AA602" s="16">
        <f t="shared" si="148"/>
        <v>0.19940000095105309</v>
      </c>
      <c r="AB602" s="16">
        <f t="shared" si="149"/>
        <v>0.34892838549462418</v>
      </c>
      <c r="AC602" s="18">
        <f t="shared" si="150"/>
        <v>0.23931901990933338</v>
      </c>
      <c r="AD602" s="16">
        <f t="shared" si="151"/>
        <v>3.0919437256877538E-2</v>
      </c>
      <c r="AE602" s="16">
        <f t="shared" si="152"/>
        <v>6.5400703438636534E-2</v>
      </c>
      <c r="AF602" s="16">
        <f t="shared" si="153"/>
        <v>0.16422808461548943</v>
      </c>
      <c r="AG602" s="16">
        <f t="shared" si="154"/>
        <v>0.50288619944273549</v>
      </c>
      <c r="AH602" s="16">
        <f t="shared" si="155"/>
        <v>0.23656557524626104</v>
      </c>
    </row>
    <row r="603" spans="1:34" x14ac:dyDescent="0.25">
      <c r="A603" s="12">
        <v>91159</v>
      </c>
      <c r="B603" s="13">
        <v>44.512099999999997</v>
      </c>
      <c r="C603" s="12">
        <v>89.513999999999996</v>
      </c>
      <c r="D603" s="13">
        <v>0</v>
      </c>
      <c r="T603" s="5">
        <f t="shared" si="141"/>
        <v>32706716.032135807</v>
      </c>
      <c r="U603" s="5">
        <f t="shared" si="142"/>
        <v>32706716.032135807</v>
      </c>
      <c r="V603" s="5" t="str">
        <f t="shared" si="143"/>
        <v>n/a</v>
      </c>
      <c r="W603" s="5" t="str">
        <f t="shared" si="144"/>
        <v>n/a</v>
      </c>
      <c r="X603" s="6" t="str">
        <f t="shared" si="145"/>
        <v>n/a</v>
      </c>
      <c r="Y603" s="16" t="str">
        <f t="shared" si="146"/>
        <v>error</v>
      </c>
      <c r="Z603" s="16" t="str">
        <f t="shared" si="147"/>
        <v>error</v>
      </c>
      <c r="AA603" s="16" t="str">
        <f t="shared" si="148"/>
        <v>error</v>
      </c>
      <c r="AB603" s="16" t="str">
        <f t="shared" si="149"/>
        <v>error</v>
      </c>
      <c r="AC603" s="18" t="str">
        <f t="shared" si="150"/>
        <v>error</v>
      </c>
      <c r="AD603" s="16" t="str">
        <f t="shared" si="151"/>
        <v>error</v>
      </c>
      <c r="AE603" s="16" t="str">
        <f t="shared" si="152"/>
        <v>error</v>
      </c>
      <c r="AF603" s="16" t="str">
        <f t="shared" si="153"/>
        <v>error</v>
      </c>
      <c r="AG603" s="16" t="str">
        <f t="shared" si="154"/>
        <v>error</v>
      </c>
      <c r="AH603" s="16" t="str">
        <f t="shared" si="155"/>
        <v>error</v>
      </c>
    </row>
    <row r="604" spans="1:34" x14ac:dyDescent="0.25">
      <c r="A604" s="12">
        <v>91165</v>
      </c>
      <c r="B604" s="13">
        <v>44.494700000000002</v>
      </c>
      <c r="C604" s="12">
        <v>89.347800000000007</v>
      </c>
      <c r="D604" s="13">
        <v>0</v>
      </c>
      <c r="T604" s="5">
        <f t="shared" si="141"/>
        <v>32663429.699571423</v>
      </c>
      <c r="U604" s="5">
        <f t="shared" si="142"/>
        <v>32663429.699571423</v>
      </c>
      <c r="V604" s="5" t="str">
        <f t="shared" si="143"/>
        <v>n/a</v>
      </c>
      <c r="W604" s="5" t="str">
        <f t="shared" si="144"/>
        <v>n/a</v>
      </c>
      <c r="X604" s="6" t="str">
        <f t="shared" si="145"/>
        <v>n/a</v>
      </c>
      <c r="Y604" s="16" t="str">
        <f t="shared" si="146"/>
        <v>error</v>
      </c>
      <c r="Z604" s="16" t="str">
        <f t="shared" si="147"/>
        <v>error</v>
      </c>
      <c r="AA604" s="16" t="str">
        <f t="shared" si="148"/>
        <v>error</v>
      </c>
      <c r="AB604" s="16" t="str">
        <f t="shared" si="149"/>
        <v>error</v>
      </c>
      <c r="AC604" s="18" t="str">
        <f t="shared" si="150"/>
        <v>error</v>
      </c>
      <c r="AD604" s="16" t="str">
        <f t="shared" si="151"/>
        <v>error</v>
      </c>
      <c r="AE604" s="16" t="str">
        <f t="shared" si="152"/>
        <v>error</v>
      </c>
      <c r="AF604" s="16" t="str">
        <f t="shared" si="153"/>
        <v>error</v>
      </c>
      <c r="AG604" s="16" t="str">
        <f t="shared" si="154"/>
        <v>error</v>
      </c>
      <c r="AH604" s="16" t="str">
        <f t="shared" si="155"/>
        <v>error</v>
      </c>
    </row>
    <row r="605" spans="1:34" x14ac:dyDescent="0.25">
      <c r="A605" s="12">
        <v>91167</v>
      </c>
      <c r="B605" s="13">
        <v>44.505200000000002</v>
      </c>
      <c r="C605" s="12">
        <v>89.326999999999998</v>
      </c>
      <c r="D605" s="13">
        <v>0</v>
      </c>
      <c r="T605" s="5">
        <f t="shared" si="141"/>
        <v>32658048.702809356</v>
      </c>
      <c r="U605" s="5">
        <f t="shared" si="142"/>
        <v>32658048.702809356</v>
      </c>
      <c r="V605" s="5" t="str">
        <f t="shared" si="143"/>
        <v>n/a</v>
      </c>
      <c r="W605" s="5" t="str">
        <f t="shared" si="144"/>
        <v>n/a</v>
      </c>
      <c r="X605" s="6" t="str">
        <f t="shared" si="145"/>
        <v>n/a</v>
      </c>
      <c r="Y605" s="16" t="str">
        <f t="shared" si="146"/>
        <v>error</v>
      </c>
      <c r="Z605" s="16" t="str">
        <f t="shared" si="147"/>
        <v>error</v>
      </c>
      <c r="AA605" s="16" t="str">
        <f t="shared" si="148"/>
        <v>error</v>
      </c>
      <c r="AB605" s="16" t="str">
        <f t="shared" si="149"/>
        <v>error</v>
      </c>
      <c r="AC605" s="18" t="str">
        <f t="shared" si="150"/>
        <v>error</v>
      </c>
      <c r="AD605" s="16" t="str">
        <f t="shared" si="151"/>
        <v>error</v>
      </c>
      <c r="AE605" s="16" t="str">
        <f t="shared" si="152"/>
        <v>error</v>
      </c>
      <c r="AF605" s="16" t="str">
        <f t="shared" si="153"/>
        <v>error</v>
      </c>
      <c r="AG605" s="16" t="str">
        <f t="shared" si="154"/>
        <v>error</v>
      </c>
      <c r="AH605" s="16" t="str">
        <f t="shared" si="155"/>
        <v>error</v>
      </c>
    </row>
    <row r="606" spans="1:34" x14ac:dyDescent="0.25">
      <c r="A606" s="12">
        <v>91169</v>
      </c>
      <c r="B606" s="13">
        <v>44.506999999999998</v>
      </c>
      <c r="C606" s="12">
        <v>89.327799999999996</v>
      </c>
      <c r="D606" s="13">
        <v>0</v>
      </c>
      <c r="T606" s="5">
        <f t="shared" si="141"/>
        <v>32658262.239964344</v>
      </c>
      <c r="U606" s="5">
        <f t="shared" si="142"/>
        <v>32658262.239964344</v>
      </c>
      <c r="V606" s="5" t="str">
        <f t="shared" si="143"/>
        <v>n/a</v>
      </c>
      <c r="W606" s="5" t="str">
        <f t="shared" si="144"/>
        <v>n/a</v>
      </c>
      <c r="X606" s="6" t="str">
        <f t="shared" si="145"/>
        <v>n/a</v>
      </c>
      <c r="Y606" s="16" t="str">
        <f t="shared" si="146"/>
        <v>error</v>
      </c>
      <c r="Z606" s="16" t="str">
        <f t="shared" si="147"/>
        <v>error</v>
      </c>
      <c r="AA606" s="16" t="str">
        <f t="shared" si="148"/>
        <v>error</v>
      </c>
      <c r="AB606" s="16" t="str">
        <f t="shared" si="149"/>
        <v>error</v>
      </c>
      <c r="AC606" s="18" t="str">
        <f t="shared" si="150"/>
        <v>error</v>
      </c>
      <c r="AD606" s="16" t="str">
        <f t="shared" si="151"/>
        <v>error</v>
      </c>
      <c r="AE606" s="16" t="str">
        <f t="shared" si="152"/>
        <v>error</v>
      </c>
      <c r="AF606" s="16" t="str">
        <f t="shared" si="153"/>
        <v>error</v>
      </c>
      <c r="AG606" s="16" t="str">
        <f t="shared" si="154"/>
        <v>error</v>
      </c>
      <c r="AH606" s="16" t="str">
        <f t="shared" si="155"/>
        <v>error</v>
      </c>
    </row>
    <row r="607" spans="1:34" x14ac:dyDescent="0.25">
      <c r="A607" s="12">
        <v>91171</v>
      </c>
      <c r="B607" s="13">
        <v>44.537700000000001</v>
      </c>
      <c r="C607" s="12">
        <v>89.445899999999995</v>
      </c>
      <c r="D607" s="13">
        <v>0</v>
      </c>
      <c r="T607" s="5">
        <f t="shared" si="141"/>
        <v>32689063.58784521</v>
      </c>
      <c r="U607" s="5">
        <f t="shared" si="142"/>
        <v>32689063.58784521</v>
      </c>
      <c r="V607" s="5" t="str">
        <f t="shared" si="143"/>
        <v>n/a</v>
      </c>
      <c r="W607" s="5" t="str">
        <f t="shared" si="144"/>
        <v>n/a</v>
      </c>
      <c r="X607" s="6" t="str">
        <f t="shared" si="145"/>
        <v>n/a</v>
      </c>
      <c r="Y607" s="16" t="str">
        <f t="shared" si="146"/>
        <v>error</v>
      </c>
      <c r="Z607" s="16" t="str">
        <f t="shared" si="147"/>
        <v>error</v>
      </c>
      <c r="AA607" s="16" t="str">
        <f t="shared" si="148"/>
        <v>error</v>
      </c>
      <c r="AB607" s="16" t="str">
        <f t="shared" si="149"/>
        <v>error</v>
      </c>
      <c r="AC607" s="18" t="str">
        <f t="shared" si="150"/>
        <v>error</v>
      </c>
      <c r="AD607" s="16" t="str">
        <f t="shared" si="151"/>
        <v>error</v>
      </c>
      <c r="AE607" s="16" t="str">
        <f t="shared" si="152"/>
        <v>error</v>
      </c>
      <c r="AF607" s="16" t="str">
        <f t="shared" si="153"/>
        <v>error</v>
      </c>
      <c r="AG607" s="16" t="str">
        <f t="shared" si="154"/>
        <v>error</v>
      </c>
      <c r="AH607" s="16" t="str">
        <f t="shared" si="155"/>
        <v>error</v>
      </c>
    </row>
    <row r="608" spans="1:34" x14ac:dyDescent="0.25">
      <c r="A608" s="12">
        <v>91173</v>
      </c>
      <c r="B608" s="13">
        <v>44.536299999999997</v>
      </c>
      <c r="C608" s="12">
        <v>89.433499999999995</v>
      </c>
      <c r="D608" s="14">
        <v>4</v>
      </c>
      <c r="E608" s="13" t="s">
        <v>42</v>
      </c>
      <c r="F608" s="13">
        <v>44.481119999999997</v>
      </c>
      <c r="G608" s="12">
        <v>89.479669999999999</v>
      </c>
      <c r="H608" s="13" t="s">
        <v>39</v>
      </c>
      <c r="I608" s="13">
        <v>44.558810000000001</v>
      </c>
      <c r="J608" s="12">
        <v>89.506240000000005</v>
      </c>
      <c r="K608" s="13" t="s">
        <v>40</v>
      </c>
      <c r="L608" s="13">
        <v>44.554780000000001</v>
      </c>
      <c r="M608" s="13">
        <v>89.461330000000004</v>
      </c>
      <c r="N608" s="13" t="s">
        <v>41</v>
      </c>
      <c r="O608" s="13">
        <v>44.54806</v>
      </c>
      <c r="P608" s="12">
        <v>89.354929999999996</v>
      </c>
      <c r="T608" s="5">
        <f t="shared" si="141"/>
        <v>23441.721352398716</v>
      </c>
      <c r="U608" s="5">
        <f t="shared" si="142"/>
        <v>20617.678854828475</v>
      </c>
      <c r="V608" s="5">
        <f t="shared" si="143"/>
        <v>9889.775911450326</v>
      </c>
      <c r="W608" s="5">
        <f t="shared" si="144"/>
        <v>20874.956605486135</v>
      </c>
      <c r="X608" s="6" t="str">
        <f t="shared" si="145"/>
        <v>n/a</v>
      </c>
      <c r="Y608" s="16">
        <f t="shared" si="146"/>
        <v>0.17761265410476923</v>
      </c>
      <c r="Z608" s="16">
        <f t="shared" si="147"/>
        <v>0.20194059551999041</v>
      </c>
      <c r="AA608" s="16">
        <f t="shared" si="148"/>
        <v>0.42099501378625231</v>
      </c>
      <c r="AB608" s="16">
        <f t="shared" si="149"/>
        <v>0.19945173658898802</v>
      </c>
      <c r="AC608" s="18" t="e">
        <f t="shared" si="150"/>
        <v>#VALUE!</v>
      </c>
      <c r="AD608" s="16">
        <f t="shared" si="151"/>
        <v>0.10902679442429107</v>
      </c>
      <c r="AE608" s="16">
        <f t="shared" si="152"/>
        <v>0.14093949155158192</v>
      </c>
      <c r="AF608" s="16">
        <f t="shared" si="153"/>
        <v>0.61254689022330511</v>
      </c>
      <c r="AG608" s="16">
        <f t="shared" si="154"/>
        <v>0.13748682380082192</v>
      </c>
      <c r="AH608" s="16" t="e">
        <f t="shared" si="155"/>
        <v>#VALUE!</v>
      </c>
    </row>
    <row r="609" spans="1:34" x14ac:dyDescent="0.25">
      <c r="A609" s="12">
        <v>91175</v>
      </c>
      <c r="B609" s="13">
        <v>44.596499999999999</v>
      </c>
      <c r="C609" s="12">
        <v>89.403400000000005</v>
      </c>
      <c r="D609" s="14">
        <v>4</v>
      </c>
      <c r="E609" s="13" t="s">
        <v>42</v>
      </c>
      <c r="F609" s="13">
        <v>44.481119999999997</v>
      </c>
      <c r="G609" s="12">
        <v>89.479669999999999</v>
      </c>
      <c r="H609" s="13" t="s">
        <v>39</v>
      </c>
      <c r="I609" s="13">
        <v>44.58616</v>
      </c>
      <c r="J609" s="12">
        <v>89.487179999999995</v>
      </c>
      <c r="K609" s="13" t="s">
        <v>40</v>
      </c>
      <c r="L609" s="13">
        <v>44.554780000000001</v>
      </c>
      <c r="M609" s="13">
        <v>89.461330000000004</v>
      </c>
      <c r="N609" s="13" t="s">
        <v>41</v>
      </c>
      <c r="O609" s="13">
        <v>44.598619999999997</v>
      </c>
      <c r="P609" s="12">
        <v>89.366849999999999</v>
      </c>
      <c r="T609" s="5">
        <f t="shared" si="141"/>
        <v>46530.315938353124</v>
      </c>
      <c r="U609" s="5">
        <f t="shared" si="142"/>
        <v>22090.074419717719</v>
      </c>
      <c r="V609" s="5">
        <f t="shared" si="143"/>
        <v>21407.25100827009</v>
      </c>
      <c r="W609" s="5">
        <f t="shared" si="144"/>
        <v>9525.9349243502147</v>
      </c>
      <c r="X609" s="6" t="str">
        <f t="shared" si="145"/>
        <v>n/a</v>
      </c>
      <c r="Y609" s="16">
        <f t="shared" si="146"/>
        <v>9.8381035491718408E-2</v>
      </c>
      <c r="Z609" s="16">
        <f t="shared" si="147"/>
        <v>0.20722884752646686</v>
      </c>
      <c r="AA609" s="16">
        <f t="shared" si="148"/>
        <v>0.21383879051091254</v>
      </c>
      <c r="AB609" s="16">
        <f t="shared" si="149"/>
        <v>0.48055132647090226</v>
      </c>
      <c r="AC609" s="18" t="e">
        <f t="shared" si="150"/>
        <v>#VALUE!</v>
      </c>
      <c r="AD609" s="16">
        <f t="shared" si="151"/>
        <v>2.9393983249784025E-2</v>
      </c>
      <c r="AE609" s="16">
        <f t="shared" si="152"/>
        <v>0.13041756495120574</v>
      </c>
      <c r="AF609" s="16">
        <f t="shared" si="153"/>
        <v>0.13887006615421157</v>
      </c>
      <c r="AG609" s="16">
        <f t="shared" si="154"/>
        <v>0.70131838564479865</v>
      </c>
      <c r="AH609" s="16" t="e">
        <f t="shared" si="155"/>
        <v>#VALUE!</v>
      </c>
    </row>
    <row r="610" spans="1:34" x14ac:dyDescent="0.25">
      <c r="A610" s="12">
        <v>91391</v>
      </c>
      <c r="B610" s="13">
        <v>44.450400000000002</v>
      </c>
      <c r="C610" s="12">
        <v>89.410899999999998</v>
      </c>
      <c r="D610" s="14">
        <v>3</v>
      </c>
      <c r="E610" s="13" t="s">
        <v>42</v>
      </c>
      <c r="F610" s="13">
        <v>44.469529999999999</v>
      </c>
      <c r="G610" s="12">
        <v>89.48254</v>
      </c>
      <c r="H610" s="13" t="s">
        <v>43</v>
      </c>
      <c r="I610" s="13">
        <v>44.436579999999999</v>
      </c>
      <c r="J610" s="12">
        <v>89.375649999999993</v>
      </c>
      <c r="K610" s="13" t="s">
        <v>44</v>
      </c>
      <c r="L610" s="13">
        <v>44.40034</v>
      </c>
      <c r="M610" s="12">
        <v>89.480369999999994</v>
      </c>
      <c r="T610" s="5">
        <f t="shared" si="141"/>
        <v>19916.478970863114</v>
      </c>
      <c r="U610" s="5">
        <f t="shared" si="142"/>
        <v>10474.267708132558</v>
      </c>
      <c r="V610" s="5">
        <f t="shared" si="143"/>
        <v>25712.031990237705</v>
      </c>
      <c r="W610" s="5" t="str">
        <f t="shared" si="144"/>
        <v>n/a</v>
      </c>
      <c r="X610" s="6" t="str">
        <f t="shared" si="145"/>
        <v>n/a</v>
      </c>
      <c r="Y610" s="16">
        <f t="shared" si="146"/>
        <v>0.27203000561597512</v>
      </c>
      <c r="Z610" s="16">
        <f t="shared" si="147"/>
        <v>0.51725619749891705</v>
      </c>
      <c r="AA610" s="16">
        <f t="shared" si="148"/>
        <v>0.21071379688510788</v>
      </c>
      <c r="AB610" s="16" t="e">
        <f t="shared" si="149"/>
        <v>#VALUE!</v>
      </c>
      <c r="AC610" s="18" t="e">
        <f t="shared" si="150"/>
        <v>#VALUE!</v>
      </c>
      <c r="AD610" s="16">
        <f t="shared" si="151"/>
        <v>0.19173323383412152</v>
      </c>
      <c r="AE610" s="16">
        <f t="shared" si="152"/>
        <v>0.69322654131255557</v>
      </c>
      <c r="AF610" s="16">
        <f t="shared" si="153"/>
        <v>0.11504022485332303</v>
      </c>
      <c r="AG610" s="16" t="e">
        <f t="shared" si="154"/>
        <v>#VALUE!</v>
      </c>
      <c r="AH610" s="16" t="e">
        <f t="shared" si="155"/>
        <v>#VALUE!</v>
      </c>
    </row>
    <row r="611" spans="1:34" x14ac:dyDescent="0.25">
      <c r="A611" s="12">
        <v>91562</v>
      </c>
      <c r="B611" s="13">
        <v>44.444699999999997</v>
      </c>
      <c r="C611" s="12">
        <v>89.3827</v>
      </c>
      <c r="D611" s="14">
        <v>3</v>
      </c>
      <c r="E611" s="13" t="s">
        <v>42</v>
      </c>
      <c r="F611" s="13">
        <v>44.469459999999998</v>
      </c>
      <c r="G611" s="12">
        <v>89.482420000000005</v>
      </c>
      <c r="H611" s="13" t="s">
        <v>43</v>
      </c>
      <c r="I611" s="13">
        <v>44.436599999999999</v>
      </c>
      <c r="J611" s="12">
        <v>89.374629999999996</v>
      </c>
      <c r="K611" s="13" t="s">
        <v>41</v>
      </c>
      <c r="L611" s="13">
        <v>44.46584</v>
      </c>
      <c r="M611" s="12">
        <v>89.286299999999997</v>
      </c>
      <c r="T611" s="5">
        <f t="shared" si="141"/>
        <v>27492.744339416055</v>
      </c>
      <c r="U611" s="5">
        <f t="shared" si="142"/>
        <v>3626.3229881044394</v>
      </c>
      <c r="V611" s="5">
        <f t="shared" si="143"/>
        <v>26260.753367358669</v>
      </c>
      <c r="W611" s="5" t="str">
        <f t="shared" si="144"/>
        <v>n/a</v>
      </c>
      <c r="X611" s="6" t="str">
        <f t="shared" si="145"/>
        <v>n/a</v>
      </c>
      <c r="Y611" s="16">
        <f t="shared" si="146"/>
        <v>0.10385993185694835</v>
      </c>
      <c r="Z611" s="16">
        <f t="shared" si="147"/>
        <v>0.78740767521781962</v>
      </c>
      <c r="AA611" s="16">
        <f t="shared" si="148"/>
        <v>0.10873239292523207</v>
      </c>
      <c r="AB611" s="16" t="e">
        <f t="shared" si="149"/>
        <v>#VALUE!</v>
      </c>
      <c r="AC611" s="18" t="e">
        <f t="shared" si="150"/>
        <v>#VALUE!</v>
      </c>
      <c r="AD611" s="16">
        <f t="shared" si="151"/>
        <v>1.6785779508962706E-2</v>
      </c>
      <c r="AE611" s="16">
        <f t="shared" si="152"/>
        <v>0.96481652869295209</v>
      </c>
      <c r="AF611" s="16">
        <f t="shared" si="153"/>
        <v>1.8397691798085102E-2</v>
      </c>
      <c r="AG611" s="16" t="e">
        <f t="shared" si="154"/>
        <v>#VALUE!</v>
      </c>
      <c r="AH611" s="16" t="e">
        <f t="shared" si="155"/>
        <v>#VALUE!</v>
      </c>
    </row>
    <row r="612" spans="1:34" x14ac:dyDescent="0.25">
      <c r="A612" s="12">
        <v>91690</v>
      </c>
      <c r="B612" s="13">
        <v>44.430700000000002</v>
      </c>
      <c r="C612" s="12">
        <v>89.423000000000002</v>
      </c>
      <c r="D612" s="14">
        <v>5</v>
      </c>
      <c r="E612" s="13" t="s">
        <v>42</v>
      </c>
      <c r="F612" s="13">
        <v>44.4679</v>
      </c>
      <c r="G612" s="12">
        <v>89.487129999999993</v>
      </c>
      <c r="H612" s="13" t="s">
        <v>43</v>
      </c>
      <c r="I612" s="13">
        <v>44.43656</v>
      </c>
      <c r="J612" s="12">
        <v>89.375929999999997</v>
      </c>
      <c r="K612" s="13" t="s">
        <v>46</v>
      </c>
      <c r="L612" s="13">
        <v>44.381639999999997</v>
      </c>
      <c r="M612" s="12">
        <v>89.367919999999998</v>
      </c>
      <c r="N612" s="13" t="s">
        <v>51</v>
      </c>
      <c r="O612" s="13">
        <v>44.379649999999998</v>
      </c>
      <c r="P612" s="12">
        <v>89.438910000000007</v>
      </c>
      <c r="Q612" s="13" t="s">
        <v>44</v>
      </c>
      <c r="R612" s="13">
        <v>44.400129999999997</v>
      </c>
      <c r="S612" s="12">
        <v>89.480639999999994</v>
      </c>
      <c r="T612" s="5">
        <f t="shared" ref="T612:T675" si="156">ACOS( SIN($B612*PI()/180)*SIN(F612*PI()/180) + COS($B612*PI()/180) *COS(F612*PI()/180) *COS(G612*PI()/180 - $C612*PI()/180))*20902230.97</f>
        <v>21519.915949619164</v>
      </c>
      <c r="U612" s="5">
        <f t="shared" ref="U612:U675" si="157">ACOS( SIN($B612*PI()/180)*SIN(I612*PI()/180) + COS($B612*PI()/180) *COS(I612*PI()/180) *COS(J612*PI()/180 - $C612*PI()/180))*20902230.97</f>
        <v>12446.64813583994</v>
      </c>
      <c r="V612" s="5">
        <f t="shared" ref="V612:V675" si="158">IF(D612&lt;3,"n/a",ACOS( SIN($B612*PI()/180)*SIN(L612*PI()/180) + COS($B612*PI()/180) *COS(L612*PI()/180) *COS(M612*PI()/180 - $C612*PI()/180))*20902230.97)</f>
        <v>22943.292246194909</v>
      </c>
      <c r="W612" s="5">
        <f t="shared" ref="W612:W675" si="159">IF(D612&lt;4,"n/a",ACOS( SIN($B612*PI()/180)*SIN(O612*PI()/180) + COS($B612*PI()/180) *COS(O612*PI()/180) *COS(P612*PI()/180 - $C612*PI()/180))*20902230.97)</f>
        <v>19079.721602622878</v>
      </c>
      <c r="X612" s="6">
        <f t="shared" ref="X612:X675" si="160">IF(D612&lt;5,"n/a", ACOS( SIN($B612*PI()/180)*SIN(R612*PI()/180) + COS($B612*PI()/180) *COS(R612*PI()/180) *COS(S612*PI()/180 - $C612*PI()/180))*20902230.97)</f>
        <v>18707.47921447203</v>
      </c>
      <c r="Y612" s="16">
        <f t="shared" ref="Y612:Y675" si="161">IF($D612=2,(1/T612)/((1/$T612)+(1/$U612)),IF($D612=3,(1/T612)/((1/$T612)+(1/$U612)+(1/$V612)),IF($D612=4,(1/T612)/((1/$T612)+(1/$U612)+(1/$V612)+(1/$W612)),IF($D612=5,(1/T612)/((1/$T612)+(1/$U612)+(1/$V612)+(1/$W612)+(1/$X612)),"error"))))</f>
        <v>0.16820387875369888</v>
      </c>
      <c r="Z612" s="16">
        <f t="shared" ref="Z612:Z675" si="162">IF($D612=2,(1/U612)/((1/$T612)+(1/$U612)),IF($D612=3,(1/U612)/((1/$T612)+(1/$U612)+(1/$V612)),IF($D612=4,(1/U612)/((1/$T612)+(1/$U612)+(1/$V612)+(1/$W612)),IF($D612=5,(1/U612)/((1/$T612)+(1/$U612)+(1/$V612)+(1/$W612)+(1/$X612)),"error"))))</f>
        <v>0.29081992948419294</v>
      </c>
      <c r="AA612" s="16">
        <f t="shared" ref="AA612:AA675" si="163">IF($D612=2,(1/V612)/((1/$T612)+(1/$U612)),IF($D612=3,(1/V612)/((1/$T612)+(1/$U612)+(1/$V612)),IF($D612=4,(1/V612)/((1/$T612)+(1/$U612)+(1/$V612)+(1/$W612)),IF($D612=5,(1/V612)/((1/$T612)+(1/$U612)+(1/$V612)+(1/$W612)+(1/$X612)),"error"))))</f>
        <v>0.15776869746232067</v>
      </c>
      <c r="AB612" s="16">
        <f t="shared" ref="AB612:AB675" si="164">IF($D612=2,(1/W612)/((1/$T612)+(1/$U612)),IF($D612=3,(1/W612)/((1/$T612)+(1/$U612)+(1/$V612)),IF($D612=4,(1/W612)/((1/$T612)+(1/$U612)+(1/$V612)+(1/$W612)),IF($D612=5,(1/W612)/((1/$T612)+(1/$U612)+(1/$V612)+(1/$W612)+(1/$X612)),"error"))))</f>
        <v>0.1897162552247057</v>
      </c>
      <c r="AC612" s="18">
        <f t="shared" ref="AC612:AC675" si="165">IF($D612=2,(1/X612)/((1/$T612)+(1/$U612)),IF($D612=3,(1/X612)/((1/$T612)+(1/$U612)+(1/$V612)),IF($D612=4,(1/X612)/((1/$T612)+(1/$U612)+(1/$V612)+(1/$W612)),IF($D612=5,(1/X612)/((1/$T612)+(1/$U612)+(1/$V612)+(1/$W612)+(1/$X612)),"error"))))</f>
        <v>0.19349123907508187</v>
      </c>
      <c r="AD612" s="16">
        <f t="shared" ref="AD612:AD675" si="166">IF($D612=2,(1/T612^2)/((1/$T612^2)+(1/$U612^2)),IF($D612=3,(1/T612^2)/((1/$T612^2)+(1/$U612^2)+(1/$V612^2)),IF($D612=4,(1/T612^2)/((1/$T612^2)+(1/$U612^2)+(1/$V612^2)+(1/$W612^2)),IF($D612=5,(1/T612^2)/((1/$T612^2)+(1/$U612^2)+(1/$V612^2)+(1/$W612^2)+(1/$X612^2)),"error"))))</f>
        <v>0.13396671366298815</v>
      </c>
      <c r="AE612" s="16">
        <f t="shared" ref="AE612:AE675" si="167">IF($D612=2,(1/U612^2)/((1/$T612^2)+(1/$U612^2)),IF($D612=3,(1/U612^2)/((1/$T612^2)+(1/$U612^2)+(1/$V612^2)),IF($D612=4,(1/U612^2)/((1/$T612^2)+(1/$U612^2)+(1/$V612^2)+(1/$W612^2)),IF($D612=5,(1/U612^2)/((1/$T612^2)+(1/$U612^2)+(1/$V612^2)+(1/$W612^2)+(1/$X612^2)),"error"))))</f>
        <v>0.40047298119134733</v>
      </c>
      <c r="AF612" s="16">
        <f t="shared" ref="AF612:AF675" si="168">IF($D612=2,(1/V612^2)/((1/$T612^2)+(1/$U612^2)),IF($D612=3,(1/V612^2)/((1/$T612^2)+(1/$U612^2)+(1/$V612^2)),IF($D612=4,(1/V612^2)/((1/$T612^2)+(1/$U612^2)+(1/$V612^2)+(1/$W612^2)),IF($D612=5,(1/V612^2)/((1/$T612^2)+(1/$U612^2)+(1/$V612^2)+(1/$W612^2)+(1/$X612^2)),"error"))))</f>
        <v>0.11786003647995429</v>
      </c>
      <c r="AG612" s="16">
        <f t="shared" ref="AG612:AG675" si="169">IF($D612=2,(1/W612^2)/((1/$T612^2)+(1/$U612^2)),IF($D612=3,(1/W612^2)/((1/$T612^2)+(1/$U612^2)+(1/$V612^2)),IF($D612=4,(1/W612^2)/((1/$T612^2)+(1/$U612^2)+(1/$V612^2)+(1/$W612^2)),IF($D612=5,(1/W612^2)/((1/$T612^2)+(1/$U612^2)+(1/$V612^2)+(1/$W612^2)+(1/$X612^2)),"error"))))</f>
        <v>0.17042526515254583</v>
      </c>
      <c r="AH612" s="16">
        <f t="shared" ref="AH612:AH675" si="170">IF($D612=2,(1/X612^2)/((1/$T612^2)+(1/$U612^2)),IF($D612=3,(1/X612^2)/((1/$T612^2)+(1/$U612^2)+(1/$V612^2)),IF($D612=4,(1/X612^2)/((1/$T612^2)+(1/$U612^2)+(1/$V612^2)+(1/$W612^2)),IF($D612=5,(1/X612^2)/((1/$T612^2)+(1/$U612^2)+(1/$V612^2)+(1/$W612^2)+(1/$X612^2)),"error"))))</f>
        <v>0.17727500351316436</v>
      </c>
    </row>
    <row r="613" spans="1:34" x14ac:dyDescent="0.25">
      <c r="A613" s="12">
        <v>91799</v>
      </c>
      <c r="B613" s="13">
        <v>44.441699999999997</v>
      </c>
      <c r="C613" s="12">
        <v>89.581699999999998</v>
      </c>
      <c r="D613" s="14">
        <v>0</v>
      </c>
      <c r="T613" s="5">
        <f t="shared" si="156"/>
        <v>32724196.470266823</v>
      </c>
      <c r="U613" s="5">
        <f t="shared" si="157"/>
        <v>32724196.470266823</v>
      </c>
      <c r="V613" s="5" t="str">
        <f t="shared" si="158"/>
        <v>n/a</v>
      </c>
      <c r="W613" s="5" t="str">
        <f t="shared" si="159"/>
        <v>n/a</v>
      </c>
      <c r="X613" s="6" t="str">
        <f t="shared" si="160"/>
        <v>n/a</v>
      </c>
      <c r="Y613" s="16" t="str">
        <f t="shared" si="161"/>
        <v>error</v>
      </c>
      <c r="Z613" s="16" t="str">
        <f t="shared" si="162"/>
        <v>error</v>
      </c>
      <c r="AA613" s="16" t="str">
        <f t="shared" si="163"/>
        <v>error</v>
      </c>
      <c r="AB613" s="16" t="str">
        <f t="shared" si="164"/>
        <v>error</v>
      </c>
      <c r="AC613" s="18" t="str">
        <f t="shared" si="165"/>
        <v>error</v>
      </c>
      <c r="AD613" s="16" t="str">
        <f t="shared" si="166"/>
        <v>error</v>
      </c>
      <c r="AE613" s="16" t="str">
        <f t="shared" si="167"/>
        <v>error</v>
      </c>
      <c r="AF613" s="16" t="str">
        <f t="shared" si="168"/>
        <v>error</v>
      </c>
      <c r="AG613" s="16" t="str">
        <f t="shared" si="169"/>
        <v>error</v>
      </c>
      <c r="AH613" s="16" t="str">
        <f t="shared" si="170"/>
        <v>error</v>
      </c>
    </row>
    <row r="614" spans="1:34" x14ac:dyDescent="0.25">
      <c r="A614" s="12">
        <v>91808</v>
      </c>
      <c r="B614" s="13">
        <v>44.475900000000003</v>
      </c>
      <c r="C614" s="12">
        <v>89.307900000000004</v>
      </c>
      <c r="D614" s="14">
        <v>3</v>
      </c>
      <c r="E614" s="13" t="s">
        <v>42</v>
      </c>
      <c r="F614" s="13">
        <v>44.472119999999997</v>
      </c>
      <c r="G614" s="12">
        <v>89.482460000000003</v>
      </c>
      <c r="H614" s="13" t="s">
        <v>41</v>
      </c>
      <c r="I614" s="13">
        <v>44.474519999999998</v>
      </c>
      <c r="J614" s="12">
        <v>89.295339999999996</v>
      </c>
      <c r="K614" s="13" t="s">
        <v>43</v>
      </c>
      <c r="L614" s="13">
        <v>44.43627</v>
      </c>
      <c r="M614" s="12">
        <v>89.307379999999995</v>
      </c>
      <c r="T614" s="5">
        <f t="shared" si="156"/>
        <v>45462.163803241863</v>
      </c>
      <c r="U614" s="5">
        <f t="shared" si="157"/>
        <v>3308.0699338327231</v>
      </c>
      <c r="V614" s="5">
        <f t="shared" si="158"/>
        <v>14458.16343040014</v>
      </c>
      <c r="W614" s="5" t="str">
        <f t="shared" si="159"/>
        <v>n/a</v>
      </c>
      <c r="X614" s="6" t="str">
        <f t="shared" si="160"/>
        <v>n/a</v>
      </c>
      <c r="Y614" s="16">
        <f t="shared" si="161"/>
        <v>5.5905898432203026E-2</v>
      </c>
      <c r="Z614" s="16">
        <f t="shared" si="162"/>
        <v>0.76830392432106787</v>
      </c>
      <c r="AA614" s="16">
        <f t="shared" si="163"/>
        <v>0.17579017724672905</v>
      </c>
      <c r="AB614" s="16" t="e">
        <f t="shared" si="164"/>
        <v>#VALUE!</v>
      </c>
      <c r="AC614" s="18" t="e">
        <f t="shared" si="165"/>
        <v>#VALUE!</v>
      </c>
      <c r="AD614" s="16">
        <f t="shared" si="166"/>
        <v>5.0062093289310536E-3</v>
      </c>
      <c r="AE614" s="16">
        <f t="shared" si="167"/>
        <v>0.94549632639044034</v>
      </c>
      <c r="AF614" s="16">
        <f t="shared" si="168"/>
        <v>4.9497464280628664E-2</v>
      </c>
      <c r="AG614" s="16" t="e">
        <f t="shared" si="169"/>
        <v>#VALUE!</v>
      </c>
      <c r="AH614" s="16" t="e">
        <f t="shared" si="170"/>
        <v>#VALUE!</v>
      </c>
    </row>
    <row r="615" spans="1:34" x14ac:dyDescent="0.25">
      <c r="A615" s="12">
        <v>91837</v>
      </c>
      <c r="B615" s="13">
        <v>44.393000000000001</v>
      </c>
      <c r="C615" s="12">
        <v>89.386099999999999</v>
      </c>
      <c r="D615" s="14">
        <v>5</v>
      </c>
      <c r="E615" s="13" t="s">
        <v>42</v>
      </c>
      <c r="F615" s="13">
        <v>44.4679</v>
      </c>
      <c r="G615" s="12">
        <v>89.487129999999993</v>
      </c>
      <c r="H615" s="13" t="s">
        <v>43</v>
      </c>
      <c r="I615" s="13">
        <v>44.43656</v>
      </c>
      <c r="J615" s="12">
        <v>89.375929999999997</v>
      </c>
      <c r="K615" s="13" t="s">
        <v>46</v>
      </c>
      <c r="L615" s="13">
        <v>44.381639999999997</v>
      </c>
      <c r="M615" s="12">
        <v>89.367919999999998</v>
      </c>
      <c r="N615" s="13" t="s">
        <v>51</v>
      </c>
      <c r="O615" s="13">
        <v>44.379649999999998</v>
      </c>
      <c r="P615" s="12">
        <v>89.438910000000007</v>
      </c>
      <c r="Q615" s="13" t="s">
        <v>44</v>
      </c>
      <c r="R615" s="13">
        <v>44.400129999999997</v>
      </c>
      <c r="S615" s="12">
        <v>89.480639999999994</v>
      </c>
      <c r="T615" s="5">
        <f t="shared" si="156"/>
        <v>37938.761234062265</v>
      </c>
      <c r="U615" s="5">
        <f t="shared" si="157"/>
        <v>16110.704377553104</v>
      </c>
      <c r="V615" s="5">
        <f t="shared" si="158"/>
        <v>6295.9514261554714</v>
      </c>
      <c r="W615" s="5">
        <f t="shared" si="159"/>
        <v>14604.084070901285</v>
      </c>
      <c r="X615" s="6">
        <f t="shared" si="160"/>
        <v>24780.07255167644</v>
      </c>
      <c r="Y615" s="16">
        <f t="shared" si="161"/>
        <v>7.4021356029857072E-2</v>
      </c>
      <c r="Z615" s="16">
        <f t="shared" si="162"/>
        <v>0.17431134522901501</v>
      </c>
      <c r="AA615" s="16">
        <f t="shared" si="163"/>
        <v>0.44604514275185503</v>
      </c>
      <c r="AB615" s="16">
        <f t="shared" si="164"/>
        <v>0.19229405548505246</v>
      </c>
      <c r="AC615" s="18">
        <f t="shared" si="165"/>
        <v>0.11332810050422047</v>
      </c>
      <c r="AD615" s="16">
        <f t="shared" si="166"/>
        <v>1.924943260670128E-2</v>
      </c>
      <c r="AE615" s="16">
        <f t="shared" si="167"/>
        <v>0.10674687455287502</v>
      </c>
      <c r="AF615" s="16">
        <f t="shared" si="168"/>
        <v>0.69897475090988015</v>
      </c>
      <c r="AG615" s="16">
        <f t="shared" si="169"/>
        <v>0.12990790430711532</v>
      </c>
      <c r="AH615" s="16">
        <f t="shared" si="170"/>
        <v>4.5121037623428277E-2</v>
      </c>
    </row>
    <row r="616" spans="1:34" x14ac:dyDescent="0.25">
      <c r="A616" s="12">
        <v>91877</v>
      </c>
      <c r="B616" s="13">
        <v>44.429400000000001</v>
      </c>
      <c r="C616" s="12">
        <v>89.471900000000005</v>
      </c>
      <c r="D616" s="14">
        <v>3</v>
      </c>
      <c r="E616" s="13" t="s">
        <v>42</v>
      </c>
      <c r="F616" s="13">
        <v>44.468000000000004</v>
      </c>
      <c r="G616" s="12">
        <v>89.488240000000005</v>
      </c>
      <c r="H616" s="13" t="s">
        <v>44</v>
      </c>
      <c r="I616" s="13">
        <v>44.40005</v>
      </c>
      <c r="J616" s="12">
        <v>89.480500000000006</v>
      </c>
      <c r="K616" s="13" t="s">
        <v>43</v>
      </c>
      <c r="L616" s="13">
        <v>44.43629</v>
      </c>
      <c r="M616" s="12">
        <v>89.375780000000006</v>
      </c>
      <c r="T616" s="5">
        <f t="shared" si="156"/>
        <v>14710.716971501941</v>
      </c>
      <c r="U616" s="5">
        <f t="shared" si="157"/>
        <v>10939.261471043752</v>
      </c>
      <c r="V616" s="5">
        <f t="shared" si="158"/>
        <v>25165.331480466328</v>
      </c>
      <c r="W616" s="5" t="str">
        <f t="shared" si="159"/>
        <v>n/a</v>
      </c>
      <c r="X616" s="6" t="str">
        <f t="shared" si="160"/>
        <v>n/a</v>
      </c>
      <c r="Y616" s="16">
        <f t="shared" si="161"/>
        <v>0.34137544720238033</v>
      </c>
      <c r="Z616" s="16">
        <f t="shared" si="162"/>
        <v>0.45906916093988992</v>
      </c>
      <c r="AA616" s="16">
        <f t="shared" si="163"/>
        <v>0.19955539185772977</v>
      </c>
      <c r="AB616" s="16" t="e">
        <f t="shared" si="164"/>
        <v>#VALUE!</v>
      </c>
      <c r="AC616" s="18" t="e">
        <f t="shared" si="165"/>
        <v>#VALUE!</v>
      </c>
      <c r="AD616" s="16">
        <f t="shared" si="166"/>
        <v>0.31745004603517929</v>
      </c>
      <c r="AE616" s="16">
        <f t="shared" si="167"/>
        <v>0.57407292960912859</v>
      </c>
      <c r="AF616" s="16">
        <f t="shared" si="168"/>
        <v>0.10847702435569215</v>
      </c>
      <c r="AG616" s="16" t="e">
        <f t="shared" si="169"/>
        <v>#VALUE!</v>
      </c>
      <c r="AH616" s="16" t="e">
        <f t="shared" si="170"/>
        <v>#VALUE!</v>
      </c>
    </row>
    <row r="617" spans="1:34" x14ac:dyDescent="0.25">
      <c r="A617" s="12">
        <v>91884</v>
      </c>
      <c r="B617" s="13">
        <v>44.420400000000001</v>
      </c>
      <c r="C617" s="12">
        <v>89.363200000000006</v>
      </c>
      <c r="D617" s="14">
        <v>0</v>
      </c>
      <c r="T617" s="5">
        <f t="shared" si="156"/>
        <v>32667226.065423816</v>
      </c>
      <c r="U617" s="5">
        <f t="shared" si="157"/>
        <v>32667226.065423816</v>
      </c>
      <c r="V617" s="5" t="str">
        <f t="shared" si="158"/>
        <v>n/a</v>
      </c>
      <c r="W617" s="5" t="str">
        <f t="shared" si="159"/>
        <v>n/a</v>
      </c>
      <c r="X617" s="6" t="str">
        <f t="shared" si="160"/>
        <v>n/a</v>
      </c>
      <c r="Y617" s="16" t="str">
        <f t="shared" si="161"/>
        <v>error</v>
      </c>
      <c r="Z617" s="16" t="str">
        <f t="shared" si="162"/>
        <v>error</v>
      </c>
      <c r="AA617" s="16" t="str">
        <f t="shared" si="163"/>
        <v>error</v>
      </c>
      <c r="AB617" s="16" t="str">
        <f t="shared" si="164"/>
        <v>error</v>
      </c>
      <c r="AC617" s="18" t="str">
        <f t="shared" si="165"/>
        <v>error</v>
      </c>
      <c r="AD617" s="16" t="str">
        <f t="shared" si="166"/>
        <v>error</v>
      </c>
      <c r="AE617" s="16" t="str">
        <f t="shared" si="167"/>
        <v>error</v>
      </c>
      <c r="AF617" s="16" t="str">
        <f t="shared" si="168"/>
        <v>error</v>
      </c>
      <c r="AG617" s="16" t="str">
        <f t="shared" si="169"/>
        <v>error</v>
      </c>
      <c r="AH617" s="16" t="str">
        <f t="shared" si="170"/>
        <v>error</v>
      </c>
    </row>
    <row r="618" spans="1:34" x14ac:dyDescent="0.25">
      <c r="A618" s="12">
        <v>91885</v>
      </c>
      <c r="B618" s="13">
        <v>44.420400000000001</v>
      </c>
      <c r="C618" s="12">
        <v>89.363200000000006</v>
      </c>
      <c r="D618" s="14">
        <v>5</v>
      </c>
      <c r="E618" s="13" t="s">
        <v>42</v>
      </c>
      <c r="F618" s="13">
        <v>44.4679</v>
      </c>
      <c r="G618" s="12">
        <v>89.487129999999993</v>
      </c>
      <c r="H618" s="13" t="s">
        <v>43</v>
      </c>
      <c r="I618" s="13">
        <v>44.4343</v>
      </c>
      <c r="J618" s="12">
        <v>89.365579999999994</v>
      </c>
      <c r="K618" s="13" t="s">
        <v>46</v>
      </c>
      <c r="L618" s="13">
        <v>44.391249999999999</v>
      </c>
      <c r="M618" s="12">
        <v>89.342299999999994</v>
      </c>
      <c r="N618" s="13" t="s">
        <v>51</v>
      </c>
      <c r="O618" s="13">
        <v>44.379649999999998</v>
      </c>
      <c r="P618" s="12">
        <v>89.438910000000007</v>
      </c>
      <c r="Q618" s="13" t="s">
        <v>44</v>
      </c>
      <c r="R618" s="13">
        <v>44.400129999999997</v>
      </c>
      <c r="S618" s="12">
        <v>89.480639999999994</v>
      </c>
      <c r="T618" s="5">
        <f t="shared" si="156"/>
        <v>36635.194031660627</v>
      </c>
      <c r="U618" s="5">
        <f t="shared" si="157"/>
        <v>5108.66575915663</v>
      </c>
      <c r="V618" s="5">
        <f t="shared" si="158"/>
        <v>11948.143993229112</v>
      </c>
      <c r="W618" s="5">
        <f t="shared" si="159"/>
        <v>24706.692454946526</v>
      </c>
      <c r="X618" s="6">
        <f t="shared" si="160"/>
        <v>31485.894250780173</v>
      </c>
      <c r="Y618" s="16">
        <f t="shared" si="161"/>
        <v>7.2026822611202579E-2</v>
      </c>
      <c r="Z618" s="16">
        <f t="shared" si="162"/>
        <v>0.51651776535112826</v>
      </c>
      <c r="AA618" s="16">
        <f t="shared" si="163"/>
        <v>0.22084740720740731</v>
      </c>
      <c r="AB618" s="16">
        <f t="shared" si="164"/>
        <v>0.10680169458769907</v>
      </c>
      <c r="AC618" s="18">
        <f t="shared" si="165"/>
        <v>8.3806310242562812E-2</v>
      </c>
      <c r="AD618" s="16">
        <f t="shared" si="166"/>
        <v>1.5295213201080972E-2</v>
      </c>
      <c r="AE618" s="16">
        <f t="shared" si="167"/>
        <v>0.78657030812993434</v>
      </c>
      <c r="AF618" s="16">
        <f t="shared" si="168"/>
        <v>0.14379759791191357</v>
      </c>
      <c r="AG618" s="16">
        <f t="shared" si="169"/>
        <v>3.3629724432059541E-2</v>
      </c>
      <c r="AH618" s="16">
        <f t="shared" si="170"/>
        <v>2.0707156325011574E-2</v>
      </c>
    </row>
    <row r="619" spans="1:34" x14ac:dyDescent="0.25">
      <c r="A619" s="12">
        <v>91895</v>
      </c>
      <c r="B619" s="13">
        <v>44.503300000000003</v>
      </c>
      <c r="C619" s="12">
        <v>89.4131</v>
      </c>
      <c r="D619" s="14">
        <v>4</v>
      </c>
      <c r="E619" s="13" t="s">
        <v>42</v>
      </c>
      <c r="F619" s="13">
        <v>44.482410000000002</v>
      </c>
      <c r="G619" s="12">
        <v>89.479749999999996</v>
      </c>
      <c r="H619" s="13" t="s">
        <v>40</v>
      </c>
      <c r="I619" s="13">
        <v>44.551259999999999</v>
      </c>
      <c r="J619" s="12">
        <v>89.468959999999996</v>
      </c>
      <c r="K619" s="13" t="s">
        <v>41</v>
      </c>
      <c r="L619" s="13">
        <v>44.516109999999998</v>
      </c>
      <c r="M619" s="12">
        <v>89.335679999999996</v>
      </c>
      <c r="N619" s="13" t="s">
        <v>43</v>
      </c>
      <c r="O619" s="13">
        <v>44.436770000000003</v>
      </c>
      <c r="P619" s="12">
        <v>89.376199999999997</v>
      </c>
      <c r="T619" s="5">
        <f t="shared" si="156"/>
        <v>18945.062823966171</v>
      </c>
      <c r="U619" s="5">
        <f t="shared" si="157"/>
        <v>22741.837720748204</v>
      </c>
      <c r="V619" s="5">
        <f t="shared" si="158"/>
        <v>20676.589473225868</v>
      </c>
      <c r="W619" s="5">
        <f t="shared" si="159"/>
        <v>26102.955947433977</v>
      </c>
      <c r="X619" s="6" t="str">
        <f t="shared" si="160"/>
        <v>n/a</v>
      </c>
      <c r="Y619" s="16">
        <f t="shared" si="161"/>
        <v>0.28776251059845243</v>
      </c>
      <c r="Z619" s="16">
        <f t="shared" si="162"/>
        <v>0.23972024198801434</v>
      </c>
      <c r="AA619" s="16">
        <f t="shared" si="163"/>
        <v>0.26366431701559367</v>
      </c>
      <c r="AB619" s="16">
        <f t="shared" si="164"/>
        <v>0.20885293039793962</v>
      </c>
      <c r="AC619" s="18" t="e">
        <f t="shared" si="165"/>
        <v>#VALUE!</v>
      </c>
      <c r="AD619" s="16">
        <f t="shared" si="166"/>
        <v>0.32676997887900633</v>
      </c>
      <c r="AE619" s="16">
        <f t="shared" si="167"/>
        <v>0.22676871400199416</v>
      </c>
      <c r="AF619" s="16">
        <f t="shared" si="168"/>
        <v>0.27433198091168071</v>
      </c>
      <c r="AG619" s="16">
        <f t="shared" si="169"/>
        <v>0.17212932620731894</v>
      </c>
      <c r="AH619" s="16" t="e">
        <f t="shared" si="170"/>
        <v>#VALUE!</v>
      </c>
    </row>
    <row r="620" spans="1:34" x14ac:dyDescent="0.25">
      <c r="A620" s="12">
        <v>91952</v>
      </c>
      <c r="B620" s="13">
        <v>44.440899999999999</v>
      </c>
      <c r="C620" s="12">
        <v>89.576700000000002</v>
      </c>
      <c r="D620" s="14">
        <v>0</v>
      </c>
      <c r="T620" s="5">
        <f t="shared" si="156"/>
        <v>32722892.663235191</v>
      </c>
      <c r="U620" s="5">
        <f t="shared" si="157"/>
        <v>32722892.663235191</v>
      </c>
      <c r="V620" s="5" t="str">
        <f t="shared" si="158"/>
        <v>n/a</v>
      </c>
      <c r="W620" s="5" t="str">
        <f t="shared" si="159"/>
        <v>n/a</v>
      </c>
      <c r="X620" s="6" t="str">
        <f t="shared" si="160"/>
        <v>n/a</v>
      </c>
      <c r="Y620" s="16" t="str">
        <f t="shared" si="161"/>
        <v>error</v>
      </c>
      <c r="Z620" s="16" t="str">
        <f t="shared" si="162"/>
        <v>error</v>
      </c>
      <c r="AA620" s="16" t="str">
        <f t="shared" si="163"/>
        <v>error</v>
      </c>
      <c r="AB620" s="16" t="str">
        <f t="shared" si="164"/>
        <v>error</v>
      </c>
      <c r="AC620" s="18" t="str">
        <f t="shared" si="165"/>
        <v>error</v>
      </c>
      <c r="AD620" s="16" t="str">
        <f t="shared" si="166"/>
        <v>error</v>
      </c>
      <c r="AE620" s="16" t="str">
        <f t="shared" si="167"/>
        <v>error</v>
      </c>
      <c r="AF620" s="16" t="str">
        <f t="shared" si="168"/>
        <v>error</v>
      </c>
      <c r="AG620" s="16" t="str">
        <f t="shared" si="169"/>
        <v>error</v>
      </c>
      <c r="AH620" s="16" t="str">
        <f t="shared" si="170"/>
        <v>error</v>
      </c>
    </row>
    <row r="621" spans="1:34" x14ac:dyDescent="0.25">
      <c r="A621" s="12">
        <v>91978</v>
      </c>
      <c r="B621" s="13">
        <v>44.399500000000003</v>
      </c>
      <c r="C621" s="12">
        <v>89.554299999999998</v>
      </c>
      <c r="D621" s="14">
        <v>0</v>
      </c>
      <c r="T621" s="5">
        <f t="shared" si="156"/>
        <v>32716976.065032233</v>
      </c>
      <c r="U621" s="5">
        <f t="shared" si="157"/>
        <v>32716976.065032233</v>
      </c>
      <c r="V621" s="5" t="str">
        <f t="shared" si="158"/>
        <v>n/a</v>
      </c>
      <c r="W621" s="5" t="str">
        <f t="shared" si="159"/>
        <v>n/a</v>
      </c>
      <c r="X621" s="6" t="str">
        <f t="shared" si="160"/>
        <v>n/a</v>
      </c>
      <c r="Y621" s="16" t="str">
        <f t="shared" si="161"/>
        <v>error</v>
      </c>
      <c r="Z621" s="16" t="str">
        <f t="shared" si="162"/>
        <v>error</v>
      </c>
      <c r="AA621" s="16" t="str">
        <f t="shared" si="163"/>
        <v>error</v>
      </c>
      <c r="AB621" s="16" t="str">
        <f t="shared" si="164"/>
        <v>error</v>
      </c>
      <c r="AC621" s="18" t="str">
        <f t="shared" si="165"/>
        <v>error</v>
      </c>
      <c r="AD621" s="16" t="str">
        <f t="shared" si="166"/>
        <v>error</v>
      </c>
      <c r="AE621" s="16" t="str">
        <f t="shared" si="167"/>
        <v>error</v>
      </c>
      <c r="AF621" s="16" t="str">
        <f t="shared" si="168"/>
        <v>error</v>
      </c>
      <c r="AG621" s="16" t="str">
        <f t="shared" si="169"/>
        <v>error</v>
      </c>
      <c r="AH621" s="16" t="str">
        <f t="shared" si="170"/>
        <v>error</v>
      </c>
    </row>
    <row r="622" spans="1:34" x14ac:dyDescent="0.25">
      <c r="A622" s="12">
        <v>91996</v>
      </c>
      <c r="B622" s="13">
        <v>44.4557</v>
      </c>
      <c r="C622" s="12">
        <v>89.3322</v>
      </c>
      <c r="D622" s="14">
        <v>3</v>
      </c>
      <c r="E622" s="13" t="s">
        <v>42</v>
      </c>
      <c r="F622" s="13">
        <v>44.469819999999999</v>
      </c>
      <c r="G622" s="12">
        <v>89.482579999999999</v>
      </c>
      <c r="H622" s="13" t="s">
        <v>41</v>
      </c>
      <c r="I622" s="13">
        <v>44.465670000000003</v>
      </c>
      <c r="J622" s="12">
        <v>89.285349999999994</v>
      </c>
      <c r="K622" s="13" t="s">
        <v>43</v>
      </c>
      <c r="L622" s="13">
        <v>44.437190000000001</v>
      </c>
      <c r="M622" s="12">
        <v>89.337519999999998</v>
      </c>
      <c r="T622" s="5">
        <f t="shared" si="156"/>
        <v>39491.6748149247</v>
      </c>
      <c r="U622" s="5">
        <f t="shared" si="157"/>
        <v>12729.410572582496</v>
      </c>
      <c r="V622" s="5">
        <f t="shared" si="158"/>
        <v>6893.3656964491929</v>
      </c>
      <c r="W622" s="5" t="str">
        <f t="shared" si="159"/>
        <v>n/a</v>
      </c>
      <c r="X622" s="6" t="str">
        <f t="shared" si="160"/>
        <v>n/a</v>
      </c>
      <c r="Y622" s="16">
        <f t="shared" si="161"/>
        <v>0.10171557914631836</v>
      </c>
      <c r="Z622" s="16">
        <f t="shared" si="162"/>
        <v>0.31556202483641027</v>
      </c>
      <c r="AA622" s="16">
        <f t="shared" si="163"/>
        <v>0.58272239601727138</v>
      </c>
      <c r="AB622" s="16" t="e">
        <f t="shared" si="164"/>
        <v>#VALUE!</v>
      </c>
      <c r="AC622" s="18" t="e">
        <f t="shared" si="165"/>
        <v>#VALUE!</v>
      </c>
      <c r="AD622" s="16">
        <f t="shared" si="166"/>
        <v>2.3017285534241979E-2</v>
      </c>
      <c r="AE622" s="16">
        <f t="shared" si="167"/>
        <v>0.22153819911685976</v>
      </c>
      <c r="AF622" s="16">
        <f t="shared" si="168"/>
        <v>0.75544451534889834</v>
      </c>
      <c r="AG622" s="16" t="e">
        <f t="shared" si="169"/>
        <v>#VALUE!</v>
      </c>
      <c r="AH622" s="16" t="e">
        <f t="shared" si="170"/>
        <v>#VALUE!</v>
      </c>
    </row>
    <row r="623" spans="1:34" x14ac:dyDescent="0.25">
      <c r="A623" s="12">
        <v>91997</v>
      </c>
      <c r="B623" s="13">
        <v>44.455500000000001</v>
      </c>
      <c r="C623" s="12">
        <v>89.337699999999998</v>
      </c>
      <c r="D623" s="14">
        <v>3</v>
      </c>
      <c r="E623" s="13" t="s">
        <v>42</v>
      </c>
      <c r="F623" s="13">
        <v>44.469819999999999</v>
      </c>
      <c r="G623" s="12">
        <v>89.482579999999999</v>
      </c>
      <c r="H623" s="13" t="s">
        <v>41</v>
      </c>
      <c r="I623" s="13">
        <v>44.465670000000003</v>
      </c>
      <c r="J623" s="12">
        <v>89.285349999999994</v>
      </c>
      <c r="K623" s="13" t="s">
        <v>43</v>
      </c>
      <c r="L623" s="13">
        <v>44.437190000000001</v>
      </c>
      <c r="M623" s="12">
        <v>89.337519999999998</v>
      </c>
      <c r="T623" s="5">
        <f t="shared" si="156"/>
        <v>38082.342812895804</v>
      </c>
      <c r="U623" s="5">
        <f t="shared" si="157"/>
        <v>14126.732111416428</v>
      </c>
      <c r="V623" s="5">
        <f t="shared" si="158"/>
        <v>6679.8859817910097</v>
      </c>
      <c r="W623" s="5" t="str">
        <f t="shared" si="159"/>
        <v>n/a</v>
      </c>
      <c r="X623" s="6" t="str">
        <f t="shared" si="160"/>
        <v>n/a</v>
      </c>
      <c r="Y623" s="16">
        <f t="shared" si="161"/>
        <v>0.10641907829746736</v>
      </c>
      <c r="Z623" s="16">
        <f t="shared" si="162"/>
        <v>0.28688077253771932</v>
      </c>
      <c r="AA623" s="16">
        <f t="shared" si="163"/>
        <v>0.60670014916481341</v>
      </c>
      <c r="AB623" s="16" t="e">
        <f t="shared" si="164"/>
        <v>#VALUE!</v>
      </c>
      <c r="AC623" s="18" t="e">
        <f t="shared" si="165"/>
        <v>#VALUE!</v>
      </c>
      <c r="AD623" s="16">
        <f t="shared" si="166"/>
        <v>2.4528391889445215E-2</v>
      </c>
      <c r="AE623" s="16">
        <f t="shared" si="167"/>
        <v>0.17825140981153184</v>
      </c>
      <c r="AF623" s="16">
        <f t="shared" si="168"/>
        <v>0.79722019829902291</v>
      </c>
      <c r="AG623" s="16" t="e">
        <f t="shared" si="169"/>
        <v>#VALUE!</v>
      </c>
      <c r="AH623" s="16" t="e">
        <f t="shared" si="170"/>
        <v>#VALUE!</v>
      </c>
    </row>
    <row r="624" spans="1:34" x14ac:dyDescent="0.25">
      <c r="A624" s="12">
        <v>92040</v>
      </c>
      <c r="B624" s="13">
        <v>44.399039999999999</v>
      </c>
      <c r="C624" s="12">
        <v>89.682900000000004</v>
      </c>
      <c r="D624" s="14">
        <v>0</v>
      </c>
      <c r="T624" s="5">
        <f t="shared" si="156"/>
        <v>32750494.763166472</v>
      </c>
      <c r="U624" s="5">
        <f t="shared" si="157"/>
        <v>32750494.763166472</v>
      </c>
      <c r="V624" s="5" t="str">
        <f t="shared" si="158"/>
        <v>n/a</v>
      </c>
      <c r="W624" s="5" t="str">
        <f t="shared" si="159"/>
        <v>n/a</v>
      </c>
      <c r="X624" s="6" t="str">
        <f t="shared" si="160"/>
        <v>n/a</v>
      </c>
      <c r="Y624" s="16" t="str">
        <f t="shared" si="161"/>
        <v>error</v>
      </c>
      <c r="Z624" s="16" t="str">
        <f t="shared" si="162"/>
        <v>error</v>
      </c>
      <c r="AA624" s="16" t="str">
        <f t="shared" si="163"/>
        <v>error</v>
      </c>
      <c r="AB624" s="16" t="str">
        <f t="shared" si="164"/>
        <v>error</v>
      </c>
      <c r="AC624" s="18" t="str">
        <f t="shared" si="165"/>
        <v>error</v>
      </c>
      <c r="AD624" s="16" t="str">
        <f t="shared" si="166"/>
        <v>error</v>
      </c>
      <c r="AE624" s="16" t="str">
        <f t="shared" si="167"/>
        <v>error</v>
      </c>
      <c r="AF624" s="16" t="str">
        <f t="shared" si="168"/>
        <v>error</v>
      </c>
      <c r="AG624" s="16" t="str">
        <f t="shared" si="169"/>
        <v>error</v>
      </c>
      <c r="AH624" s="16" t="str">
        <f t="shared" si="170"/>
        <v>error</v>
      </c>
    </row>
    <row r="625" spans="1:34" x14ac:dyDescent="0.25">
      <c r="A625" s="12">
        <v>92068</v>
      </c>
      <c r="B625" s="13">
        <v>44.43441</v>
      </c>
      <c r="C625" s="12">
        <v>89.602760000000004</v>
      </c>
      <c r="D625" s="14">
        <v>0</v>
      </c>
      <c r="T625" s="5">
        <f t="shared" si="156"/>
        <v>32729668.841340721</v>
      </c>
      <c r="U625" s="5">
        <f t="shared" si="157"/>
        <v>32729668.841340721</v>
      </c>
      <c r="V625" s="5" t="str">
        <f t="shared" si="158"/>
        <v>n/a</v>
      </c>
      <c r="W625" s="5" t="str">
        <f t="shared" si="159"/>
        <v>n/a</v>
      </c>
      <c r="X625" s="6" t="str">
        <f t="shared" si="160"/>
        <v>n/a</v>
      </c>
      <c r="Y625" s="16" t="str">
        <f t="shared" si="161"/>
        <v>error</v>
      </c>
      <c r="Z625" s="16" t="str">
        <f t="shared" si="162"/>
        <v>error</v>
      </c>
      <c r="AA625" s="16" t="str">
        <f t="shared" si="163"/>
        <v>error</v>
      </c>
      <c r="AB625" s="16" t="str">
        <f t="shared" si="164"/>
        <v>error</v>
      </c>
      <c r="AC625" s="18" t="str">
        <f t="shared" si="165"/>
        <v>error</v>
      </c>
      <c r="AD625" s="16" t="str">
        <f t="shared" si="166"/>
        <v>error</v>
      </c>
      <c r="AE625" s="16" t="str">
        <f t="shared" si="167"/>
        <v>error</v>
      </c>
      <c r="AF625" s="16" t="str">
        <f t="shared" si="168"/>
        <v>error</v>
      </c>
      <c r="AG625" s="16" t="str">
        <f t="shared" si="169"/>
        <v>error</v>
      </c>
      <c r="AH625" s="16" t="str">
        <f t="shared" si="170"/>
        <v>error</v>
      </c>
    </row>
    <row r="626" spans="1:34" x14ac:dyDescent="0.25">
      <c r="A626" s="12">
        <v>92099</v>
      </c>
      <c r="B626" s="13">
        <v>44.4009</v>
      </c>
      <c r="C626" s="12">
        <v>89.43</v>
      </c>
      <c r="D626" s="14">
        <v>5</v>
      </c>
      <c r="E626" s="13" t="s">
        <v>42</v>
      </c>
      <c r="F626" s="13">
        <v>44.467849999999999</v>
      </c>
      <c r="G626" s="12">
        <v>89.487679999999997</v>
      </c>
      <c r="H626" s="13" t="s">
        <v>44</v>
      </c>
      <c r="I626" s="13">
        <v>44.400129999999997</v>
      </c>
      <c r="J626" s="12">
        <v>89.480549999999994</v>
      </c>
      <c r="K626" s="13" t="s">
        <v>51</v>
      </c>
      <c r="L626" s="13">
        <v>44.37968</v>
      </c>
      <c r="M626" s="12">
        <v>89.436890000000005</v>
      </c>
      <c r="N626" s="13" t="s">
        <v>46</v>
      </c>
      <c r="O626" s="13">
        <v>44.382379999999998</v>
      </c>
      <c r="P626" s="12">
        <v>89.367450000000005</v>
      </c>
      <c r="Q626" s="13" t="s">
        <v>43</v>
      </c>
      <c r="R626" s="13">
        <v>44.436579999999999</v>
      </c>
      <c r="S626" s="12">
        <v>89.376000000000005</v>
      </c>
      <c r="T626" s="5">
        <f t="shared" si="156"/>
        <v>28675.848173985873</v>
      </c>
      <c r="U626" s="5">
        <f t="shared" si="157"/>
        <v>13178.671946155091</v>
      </c>
      <c r="V626" s="5">
        <f t="shared" si="158"/>
        <v>7946.9715076378989</v>
      </c>
      <c r="W626" s="5">
        <f t="shared" si="159"/>
        <v>17650.230821900845</v>
      </c>
      <c r="X626" s="6">
        <f t="shared" si="160"/>
        <v>19167.925266835369</v>
      </c>
      <c r="Y626" s="16">
        <f t="shared" si="161"/>
        <v>0.1009587679299053</v>
      </c>
      <c r="Z626" s="16">
        <f t="shared" si="162"/>
        <v>0.21967906271733889</v>
      </c>
      <c r="AA626" s="16">
        <f t="shared" si="163"/>
        <v>0.36429956974278255</v>
      </c>
      <c r="AB626" s="16">
        <f t="shared" si="164"/>
        <v>0.16402495413251783</v>
      </c>
      <c r="AC626" s="18">
        <f t="shared" si="165"/>
        <v>0.15103764547745532</v>
      </c>
      <c r="AD626" s="16">
        <f t="shared" si="166"/>
        <v>4.2313914293384464E-2</v>
      </c>
      <c r="AE626" s="16">
        <f t="shared" si="167"/>
        <v>0.20034220623624419</v>
      </c>
      <c r="AF626" s="16">
        <f t="shared" si="168"/>
        <v>0.55095031388470084</v>
      </c>
      <c r="AG626" s="16">
        <f t="shared" si="169"/>
        <v>0.11169017416505714</v>
      </c>
      <c r="AH626" s="16">
        <f t="shared" si="170"/>
        <v>9.4703391420613417E-2</v>
      </c>
    </row>
    <row r="627" spans="1:34" x14ac:dyDescent="0.25">
      <c r="A627" s="12">
        <v>92184</v>
      </c>
      <c r="B627" s="13">
        <v>44.411299999999997</v>
      </c>
      <c r="C627" s="12">
        <v>89.442099999999996</v>
      </c>
      <c r="D627" s="14">
        <v>5</v>
      </c>
      <c r="E627" s="13" t="s">
        <v>42</v>
      </c>
      <c r="F627" s="13">
        <v>44.467680000000001</v>
      </c>
      <c r="G627" s="12">
        <v>89.487570000000005</v>
      </c>
      <c r="H627" s="13" t="s">
        <v>44</v>
      </c>
      <c r="I627" s="13">
        <v>44.400109999999998</v>
      </c>
      <c r="J627" s="12">
        <v>89.480549999999994</v>
      </c>
      <c r="K627" s="13" t="s">
        <v>51</v>
      </c>
      <c r="L627" s="13">
        <v>44.379390000000001</v>
      </c>
      <c r="M627" s="12">
        <v>89.439729999999997</v>
      </c>
      <c r="N627" s="13" t="s">
        <v>46</v>
      </c>
      <c r="O627" s="13">
        <v>44.382060000000003</v>
      </c>
      <c r="P627" s="12">
        <v>89.365819999999999</v>
      </c>
      <c r="Q627" s="13" t="s">
        <v>43</v>
      </c>
      <c r="R627" s="13">
        <v>44.43656</v>
      </c>
      <c r="S627" s="12">
        <v>89.376000000000005</v>
      </c>
      <c r="T627" s="5">
        <f t="shared" si="156"/>
        <v>23734.396957961086</v>
      </c>
      <c r="U627" s="5">
        <f t="shared" si="157"/>
        <v>10820.562779781701</v>
      </c>
      <c r="V627" s="5">
        <f t="shared" si="158"/>
        <v>11657.556063677814</v>
      </c>
      <c r="W627" s="5">
        <f t="shared" si="159"/>
        <v>22564.078921997272</v>
      </c>
      <c r="X627" s="6">
        <f t="shared" si="160"/>
        <v>19532.303673237999</v>
      </c>
      <c r="Y627" s="16">
        <f t="shared" si="161"/>
        <v>0.13339697477063284</v>
      </c>
      <c r="Z627" s="16">
        <f t="shared" si="162"/>
        <v>0.29260000765516508</v>
      </c>
      <c r="AA627" s="16">
        <f t="shared" si="163"/>
        <v>0.27159181005889632</v>
      </c>
      <c r="AB627" s="16">
        <f t="shared" si="164"/>
        <v>0.14031579853723855</v>
      </c>
      <c r="AC627" s="18">
        <f t="shared" si="165"/>
        <v>0.16209540897806732</v>
      </c>
      <c r="AD627" s="16">
        <f t="shared" si="166"/>
        <v>7.9748793376483385E-2</v>
      </c>
      <c r="AE627" s="16">
        <f t="shared" si="167"/>
        <v>0.38369030518731229</v>
      </c>
      <c r="AF627" s="16">
        <f t="shared" si="168"/>
        <v>0.33057156863646919</v>
      </c>
      <c r="AG627" s="16">
        <f t="shared" si="169"/>
        <v>8.82358967744587E-2</v>
      </c>
      <c r="AH627" s="16">
        <f t="shared" si="170"/>
        <v>0.11775343602527646</v>
      </c>
    </row>
    <row r="628" spans="1:34" x14ac:dyDescent="0.25">
      <c r="A628" s="12">
        <v>92236</v>
      </c>
      <c r="B628" s="13">
        <v>44.410747999999998</v>
      </c>
      <c r="C628" s="12">
        <v>89.534090000000006</v>
      </c>
      <c r="D628" s="14">
        <v>0</v>
      </c>
      <c r="T628" s="5">
        <f t="shared" si="156"/>
        <v>32711731.738852147</v>
      </c>
      <c r="U628" s="5">
        <f t="shared" si="157"/>
        <v>32711731.738852147</v>
      </c>
      <c r="V628" s="5" t="str">
        <f t="shared" si="158"/>
        <v>n/a</v>
      </c>
      <c r="W628" s="5" t="str">
        <f t="shared" si="159"/>
        <v>n/a</v>
      </c>
      <c r="X628" s="6" t="str">
        <f t="shared" si="160"/>
        <v>n/a</v>
      </c>
      <c r="Y628" s="16" t="str">
        <f t="shared" si="161"/>
        <v>error</v>
      </c>
      <c r="Z628" s="16" t="str">
        <f t="shared" si="162"/>
        <v>error</v>
      </c>
      <c r="AA628" s="16" t="str">
        <f t="shared" si="163"/>
        <v>error</v>
      </c>
      <c r="AB628" s="16" t="str">
        <f t="shared" si="164"/>
        <v>error</v>
      </c>
      <c r="AC628" s="18" t="str">
        <f t="shared" si="165"/>
        <v>error</v>
      </c>
      <c r="AD628" s="16" t="str">
        <f t="shared" si="166"/>
        <v>error</v>
      </c>
      <c r="AE628" s="16" t="str">
        <f t="shared" si="167"/>
        <v>error</v>
      </c>
      <c r="AF628" s="16" t="str">
        <f t="shared" si="168"/>
        <v>error</v>
      </c>
      <c r="AG628" s="16" t="str">
        <f t="shared" si="169"/>
        <v>error</v>
      </c>
      <c r="AH628" s="16" t="str">
        <f t="shared" si="170"/>
        <v>error</v>
      </c>
    </row>
    <row r="629" spans="1:34" x14ac:dyDescent="0.25">
      <c r="A629" s="12">
        <v>92299</v>
      </c>
      <c r="B629" s="13">
        <v>44.456679999999999</v>
      </c>
      <c r="C629" s="12">
        <v>89.319689999999994</v>
      </c>
      <c r="D629" s="14">
        <v>3</v>
      </c>
      <c r="E629" s="13" t="s">
        <v>42</v>
      </c>
      <c r="F629" s="13">
        <v>44.469819999999999</v>
      </c>
      <c r="G629" s="12">
        <v>89.482579999999999</v>
      </c>
      <c r="H629" s="13" t="s">
        <v>41</v>
      </c>
      <c r="I629" s="13">
        <v>44.465670000000003</v>
      </c>
      <c r="J629" s="12">
        <v>89.285349999999994</v>
      </c>
      <c r="K629" s="13" t="s">
        <v>43</v>
      </c>
      <c r="L629" s="13">
        <v>44.437190000000001</v>
      </c>
      <c r="M629" s="12">
        <v>89.337519999999998</v>
      </c>
      <c r="T629" s="5">
        <f t="shared" si="156"/>
        <v>42681.190534627262</v>
      </c>
      <c r="U629" s="5">
        <f t="shared" si="157"/>
        <v>9523.8285662005474</v>
      </c>
      <c r="V629" s="5">
        <f t="shared" si="158"/>
        <v>8492.2505619935109</v>
      </c>
      <c r="W629" s="5" t="str">
        <f t="shared" si="159"/>
        <v>n/a</v>
      </c>
      <c r="X629" s="6" t="str">
        <f t="shared" si="160"/>
        <v>n/a</v>
      </c>
      <c r="Y629" s="16">
        <f t="shared" si="161"/>
        <v>9.5170889328930586E-2</v>
      </c>
      <c r="Z629" s="16">
        <f t="shared" si="162"/>
        <v>0.42650986759818532</v>
      </c>
      <c r="AA629" s="16">
        <f t="shared" si="163"/>
        <v>0.47831924307288409</v>
      </c>
      <c r="AB629" s="16" t="e">
        <f t="shared" si="164"/>
        <v>#VALUE!</v>
      </c>
      <c r="AC629" s="18" t="e">
        <f t="shared" si="165"/>
        <v>#VALUE!</v>
      </c>
      <c r="AD629" s="16">
        <f t="shared" si="166"/>
        <v>2.1577932402613412E-2</v>
      </c>
      <c r="AE629" s="16">
        <f t="shared" si="167"/>
        <v>0.43337089372112542</v>
      </c>
      <c r="AF629" s="16">
        <f t="shared" si="168"/>
        <v>0.54505117387626123</v>
      </c>
      <c r="AG629" s="16" t="e">
        <f t="shared" si="169"/>
        <v>#VALUE!</v>
      </c>
      <c r="AH629" s="16" t="e">
        <f t="shared" si="170"/>
        <v>#VALUE!</v>
      </c>
    </row>
    <row r="630" spans="1:34" x14ac:dyDescent="0.25">
      <c r="A630" s="12">
        <v>92315</v>
      </c>
      <c r="B630" s="13">
        <v>44.406489999999998</v>
      </c>
      <c r="C630" s="12">
        <v>89.672820000000002</v>
      </c>
      <c r="D630" s="14">
        <v>0</v>
      </c>
      <c r="T630" s="5">
        <f t="shared" si="156"/>
        <v>32747878.260356098</v>
      </c>
      <c r="U630" s="5">
        <f t="shared" si="157"/>
        <v>32747878.260356098</v>
      </c>
      <c r="V630" s="5" t="str">
        <f t="shared" si="158"/>
        <v>n/a</v>
      </c>
      <c r="W630" s="5" t="str">
        <f t="shared" si="159"/>
        <v>n/a</v>
      </c>
      <c r="X630" s="6" t="str">
        <f t="shared" si="160"/>
        <v>n/a</v>
      </c>
      <c r="Y630" s="16" t="str">
        <f t="shared" si="161"/>
        <v>error</v>
      </c>
      <c r="Z630" s="16" t="str">
        <f t="shared" si="162"/>
        <v>error</v>
      </c>
      <c r="AA630" s="16" t="str">
        <f t="shared" si="163"/>
        <v>error</v>
      </c>
      <c r="AB630" s="16" t="str">
        <f t="shared" si="164"/>
        <v>error</v>
      </c>
      <c r="AC630" s="18" t="str">
        <f t="shared" si="165"/>
        <v>error</v>
      </c>
      <c r="AD630" s="16" t="str">
        <f t="shared" si="166"/>
        <v>error</v>
      </c>
      <c r="AE630" s="16" t="str">
        <f t="shared" si="167"/>
        <v>error</v>
      </c>
      <c r="AF630" s="16" t="str">
        <f t="shared" si="168"/>
        <v>error</v>
      </c>
      <c r="AG630" s="16" t="str">
        <f t="shared" si="169"/>
        <v>error</v>
      </c>
      <c r="AH630" s="16" t="str">
        <f t="shared" si="170"/>
        <v>error</v>
      </c>
    </row>
    <row r="631" spans="1:34" x14ac:dyDescent="0.25">
      <c r="A631" s="12">
        <v>92376</v>
      </c>
      <c r="B631" s="13">
        <v>44.406300000000002</v>
      </c>
      <c r="C631" s="12">
        <v>89.671999999999997</v>
      </c>
      <c r="D631" s="14">
        <v>0</v>
      </c>
      <c r="T631" s="5">
        <f t="shared" si="156"/>
        <v>32747664.276144821</v>
      </c>
      <c r="U631" s="5">
        <f t="shared" si="157"/>
        <v>32747664.276144821</v>
      </c>
      <c r="V631" s="5" t="str">
        <f t="shared" si="158"/>
        <v>n/a</v>
      </c>
      <c r="W631" s="5" t="str">
        <f t="shared" si="159"/>
        <v>n/a</v>
      </c>
      <c r="X631" s="6" t="str">
        <f t="shared" si="160"/>
        <v>n/a</v>
      </c>
      <c r="Y631" s="16" t="str">
        <f t="shared" si="161"/>
        <v>error</v>
      </c>
      <c r="Z631" s="16" t="str">
        <f t="shared" si="162"/>
        <v>error</v>
      </c>
      <c r="AA631" s="16" t="str">
        <f t="shared" si="163"/>
        <v>error</v>
      </c>
      <c r="AB631" s="16" t="str">
        <f t="shared" si="164"/>
        <v>error</v>
      </c>
      <c r="AC631" s="18" t="str">
        <f t="shared" si="165"/>
        <v>error</v>
      </c>
      <c r="AD631" s="16" t="str">
        <f t="shared" si="166"/>
        <v>error</v>
      </c>
      <c r="AE631" s="16" t="str">
        <f t="shared" si="167"/>
        <v>error</v>
      </c>
      <c r="AF631" s="16" t="str">
        <f t="shared" si="168"/>
        <v>error</v>
      </c>
      <c r="AG631" s="16" t="str">
        <f t="shared" si="169"/>
        <v>error</v>
      </c>
      <c r="AH631" s="16" t="str">
        <f t="shared" si="170"/>
        <v>error</v>
      </c>
    </row>
    <row r="632" spans="1:34" x14ac:dyDescent="0.25">
      <c r="A632" s="12">
        <v>92386</v>
      </c>
      <c r="B632" s="13">
        <v>44.371699999999997</v>
      </c>
      <c r="C632" s="12">
        <v>89.461399999999998</v>
      </c>
      <c r="D632" s="14">
        <v>0</v>
      </c>
      <c r="T632" s="5">
        <f t="shared" si="156"/>
        <v>32692695.341622192</v>
      </c>
      <c r="U632" s="5">
        <f t="shared" si="157"/>
        <v>32692695.341622192</v>
      </c>
      <c r="V632" s="5" t="str">
        <f t="shared" si="158"/>
        <v>n/a</v>
      </c>
      <c r="W632" s="5" t="str">
        <f t="shared" si="159"/>
        <v>n/a</v>
      </c>
      <c r="X632" s="6" t="str">
        <f t="shared" si="160"/>
        <v>n/a</v>
      </c>
      <c r="Y632" s="16" t="str">
        <f t="shared" si="161"/>
        <v>error</v>
      </c>
      <c r="Z632" s="16" t="str">
        <f t="shared" si="162"/>
        <v>error</v>
      </c>
      <c r="AA632" s="16" t="str">
        <f t="shared" si="163"/>
        <v>error</v>
      </c>
      <c r="AB632" s="16" t="str">
        <f t="shared" si="164"/>
        <v>error</v>
      </c>
      <c r="AC632" s="18" t="str">
        <f t="shared" si="165"/>
        <v>error</v>
      </c>
      <c r="AD632" s="16" t="str">
        <f t="shared" si="166"/>
        <v>error</v>
      </c>
      <c r="AE632" s="16" t="str">
        <f t="shared" si="167"/>
        <v>error</v>
      </c>
      <c r="AF632" s="16" t="str">
        <f t="shared" si="168"/>
        <v>error</v>
      </c>
      <c r="AG632" s="16" t="str">
        <f t="shared" si="169"/>
        <v>error</v>
      </c>
      <c r="AH632" s="16" t="str">
        <f t="shared" si="170"/>
        <v>error</v>
      </c>
    </row>
    <row r="633" spans="1:34" x14ac:dyDescent="0.25">
      <c r="A633" s="12">
        <v>92631</v>
      </c>
      <c r="B633" s="13">
        <v>44.408560000000001</v>
      </c>
      <c r="C633" s="12">
        <v>89.315010000000001</v>
      </c>
      <c r="D633" s="14">
        <v>0</v>
      </c>
      <c r="T633" s="5">
        <f t="shared" si="156"/>
        <v>32654634.051987462</v>
      </c>
      <c r="U633" s="5">
        <f t="shared" si="157"/>
        <v>32654634.051987462</v>
      </c>
      <c r="V633" s="5" t="str">
        <f t="shared" si="158"/>
        <v>n/a</v>
      </c>
      <c r="W633" s="5" t="str">
        <f t="shared" si="159"/>
        <v>n/a</v>
      </c>
      <c r="X633" s="6" t="str">
        <f t="shared" si="160"/>
        <v>n/a</v>
      </c>
      <c r="Y633" s="16" t="str">
        <f t="shared" si="161"/>
        <v>error</v>
      </c>
      <c r="Z633" s="16" t="str">
        <f t="shared" si="162"/>
        <v>error</v>
      </c>
      <c r="AA633" s="16" t="str">
        <f t="shared" si="163"/>
        <v>error</v>
      </c>
      <c r="AB633" s="16" t="str">
        <f t="shared" si="164"/>
        <v>error</v>
      </c>
      <c r="AC633" s="18" t="str">
        <f t="shared" si="165"/>
        <v>error</v>
      </c>
      <c r="AD633" s="16" t="str">
        <f t="shared" si="166"/>
        <v>error</v>
      </c>
      <c r="AE633" s="16" t="str">
        <f t="shared" si="167"/>
        <v>error</v>
      </c>
      <c r="AF633" s="16" t="str">
        <f t="shared" si="168"/>
        <v>error</v>
      </c>
      <c r="AG633" s="16" t="str">
        <f t="shared" si="169"/>
        <v>error</v>
      </c>
      <c r="AH633" s="16" t="str">
        <f t="shared" si="170"/>
        <v>error</v>
      </c>
    </row>
    <row r="634" spans="1:34" x14ac:dyDescent="0.25">
      <c r="A634" s="12">
        <v>92696</v>
      </c>
      <c r="B634" s="13">
        <v>44.457030000000003</v>
      </c>
      <c r="C634" s="12">
        <v>89.288060000000002</v>
      </c>
      <c r="D634" s="14">
        <v>3</v>
      </c>
      <c r="E634" s="13" t="s">
        <v>42</v>
      </c>
      <c r="F634" s="13">
        <v>44.472119999999997</v>
      </c>
      <c r="G634" s="12">
        <v>89.482460000000003</v>
      </c>
      <c r="H634" s="13" t="s">
        <v>41</v>
      </c>
      <c r="I634" s="13">
        <v>44.453830000000004</v>
      </c>
      <c r="J634" s="12">
        <v>89.282889999999995</v>
      </c>
      <c r="K634" s="13" t="s">
        <v>43</v>
      </c>
      <c r="L634" s="13">
        <v>44.43627</v>
      </c>
      <c r="M634" s="12">
        <v>89.307379999999995</v>
      </c>
      <c r="T634" s="5">
        <f t="shared" si="156"/>
        <v>50912.642873497025</v>
      </c>
      <c r="U634" s="5">
        <f t="shared" si="157"/>
        <v>1781.9331358084926</v>
      </c>
      <c r="V634" s="5">
        <f t="shared" si="158"/>
        <v>9092.6491998650272</v>
      </c>
      <c r="W634" s="5" t="str">
        <f t="shared" si="159"/>
        <v>n/a</v>
      </c>
      <c r="X634" s="6" t="str">
        <f t="shared" si="160"/>
        <v>n/a</v>
      </c>
      <c r="Y634" s="16">
        <f t="shared" si="161"/>
        <v>2.8432598153366784E-2</v>
      </c>
      <c r="Z634" s="16">
        <f t="shared" si="162"/>
        <v>0.81236421651209922</v>
      </c>
      <c r="AA634" s="16">
        <f t="shared" si="163"/>
        <v>0.15920318533453398</v>
      </c>
      <c r="AB634" s="16" t="e">
        <f t="shared" si="164"/>
        <v>#VALUE!</v>
      </c>
      <c r="AC634" s="18" t="e">
        <f t="shared" si="165"/>
        <v>#VALUE!</v>
      </c>
      <c r="AD634" s="16">
        <f t="shared" si="166"/>
        <v>1.1782900295954073E-3</v>
      </c>
      <c r="AE634" s="16">
        <f t="shared" si="167"/>
        <v>0.96187952195010362</v>
      </c>
      <c r="AF634" s="16">
        <f t="shared" si="168"/>
        <v>3.6942188020300852E-2</v>
      </c>
      <c r="AG634" s="16" t="e">
        <f t="shared" si="169"/>
        <v>#VALUE!</v>
      </c>
      <c r="AH634" s="16" t="e">
        <f t="shared" si="170"/>
        <v>#VALUE!</v>
      </c>
    </row>
    <row r="635" spans="1:34" x14ac:dyDescent="0.25">
      <c r="A635" s="12">
        <v>92703</v>
      </c>
      <c r="B635" s="13">
        <v>44.437953999999998</v>
      </c>
      <c r="C635" s="12">
        <v>89.502133999999998</v>
      </c>
      <c r="D635" s="14">
        <v>0</v>
      </c>
      <c r="T635" s="5">
        <f t="shared" si="156"/>
        <v>32703464.489863999</v>
      </c>
      <c r="U635" s="5">
        <f t="shared" si="157"/>
        <v>32703464.489863999</v>
      </c>
      <c r="V635" s="5" t="str">
        <f t="shared" si="158"/>
        <v>n/a</v>
      </c>
      <c r="W635" s="5" t="str">
        <f t="shared" si="159"/>
        <v>n/a</v>
      </c>
      <c r="X635" s="6" t="str">
        <f t="shared" si="160"/>
        <v>n/a</v>
      </c>
      <c r="Y635" s="16" t="str">
        <f t="shared" si="161"/>
        <v>error</v>
      </c>
      <c r="Z635" s="16" t="str">
        <f t="shared" si="162"/>
        <v>error</v>
      </c>
      <c r="AA635" s="16" t="str">
        <f t="shared" si="163"/>
        <v>error</v>
      </c>
      <c r="AB635" s="16" t="str">
        <f t="shared" si="164"/>
        <v>error</v>
      </c>
      <c r="AC635" s="18" t="str">
        <f t="shared" si="165"/>
        <v>error</v>
      </c>
      <c r="AD635" s="16" t="str">
        <f t="shared" si="166"/>
        <v>error</v>
      </c>
      <c r="AE635" s="16" t="str">
        <f t="shared" si="167"/>
        <v>error</v>
      </c>
      <c r="AF635" s="16" t="str">
        <f t="shared" si="168"/>
        <v>error</v>
      </c>
      <c r="AG635" s="16" t="str">
        <f t="shared" si="169"/>
        <v>error</v>
      </c>
      <c r="AH635" s="16" t="str">
        <f t="shared" si="170"/>
        <v>error</v>
      </c>
    </row>
    <row r="636" spans="1:34" x14ac:dyDescent="0.25">
      <c r="A636" s="12">
        <v>92714</v>
      </c>
      <c r="B636" s="13">
        <v>44.431570000000001</v>
      </c>
      <c r="C636" s="12">
        <v>89.40213</v>
      </c>
      <c r="D636" s="14">
        <v>5</v>
      </c>
      <c r="E636" s="13" t="s">
        <v>42</v>
      </c>
      <c r="F636" s="13">
        <v>44.468879999999999</v>
      </c>
      <c r="G636" s="12">
        <v>89.485780000000005</v>
      </c>
      <c r="H636" s="13" t="s">
        <v>43</v>
      </c>
      <c r="I636" s="13">
        <v>44.436549999999997</v>
      </c>
      <c r="J636" s="12">
        <v>89.376350000000002</v>
      </c>
      <c r="K636" s="13" t="s">
        <v>46</v>
      </c>
      <c r="L636" s="13">
        <v>44.382390000000001</v>
      </c>
      <c r="M636" s="12">
        <v>89.365430000000003</v>
      </c>
      <c r="N636" s="13" t="s">
        <v>51</v>
      </c>
      <c r="O636" s="13">
        <v>44.37961</v>
      </c>
      <c r="P636" s="12">
        <v>89.437510000000003</v>
      </c>
      <c r="Q636" s="13" t="s">
        <v>44</v>
      </c>
      <c r="R636" s="13">
        <v>44.400100000000002</v>
      </c>
      <c r="S636" s="12">
        <v>89.480630000000005</v>
      </c>
      <c r="T636" s="5">
        <f t="shared" si="156"/>
        <v>25687.155767065287</v>
      </c>
      <c r="U636" s="5">
        <f t="shared" si="157"/>
        <v>6957.0169520879399</v>
      </c>
      <c r="V636" s="5">
        <f t="shared" si="158"/>
        <v>20331.747279918181</v>
      </c>
      <c r="W636" s="5">
        <f t="shared" si="159"/>
        <v>21079.418708333858</v>
      </c>
      <c r="X636" s="6">
        <f t="shared" si="160"/>
        <v>23456.946025901689</v>
      </c>
      <c r="Y636" s="16">
        <f t="shared" si="161"/>
        <v>0.12092873458250906</v>
      </c>
      <c r="Z636" s="16">
        <f t="shared" si="162"/>
        <v>0.44650103102059252</v>
      </c>
      <c r="AA636" s="16">
        <f t="shared" si="163"/>
        <v>0.15278151942224541</v>
      </c>
      <c r="AB636" s="16">
        <f t="shared" si="164"/>
        <v>0.14736247165615185</v>
      </c>
      <c r="AC636" s="18">
        <f t="shared" si="165"/>
        <v>0.13242624331850114</v>
      </c>
      <c r="AD636" s="16">
        <f t="shared" si="166"/>
        <v>5.2873229955717027E-2</v>
      </c>
      <c r="AE636" s="16">
        <f t="shared" si="167"/>
        <v>0.72081158332900697</v>
      </c>
      <c r="AF636" s="16">
        <f t="shared" si="168"/>
        <v>8.4395341439312876E-2</v>
      </c>
      <c r="AG636" s="16">
        <f t="shared" si="169"/>
        <v>7.8514635583110906E-2</v>
      </c>
      <c r="AH636" s="16">
        <f t="shared" si="170"/>
        <v>6.340520969285228E-2</v>
      </c>
    </row>
    <row r="637" spans="1:34" x14ac:dyDescent="0.25">
      <c r="A637" s="12">
        <v>92724</v>
      </c>
      <c r="B637" s="13">
        <v>44.453800000000001</v>
      </c>
      <c r="C637" s="12">
        <v>89.301829999999995</v>
      </c>
      <c r="D637" s="14">
        <v>3</v>
      </c>
      <c r="E637" s="13" t="s">
        <v>42</v>
      </c>
      <c r="F637" s="13">
        <v>44.472119999999997</v>
      </c>
      <c r="G637" s="12">
        <v>89.482460000000003</v>
      </c>
      <c r="H637" s="13" t="s">
        <v>41</v>
      </c>
      <c r="I637" s="13">
        <v>44.453830000000004</v>
      </c>
      <c r="J637" s="12">
        <v>89.282889999999995</v>
      </c>
      <c r="K637" s="13" t="s">
        <v>43</v>
      </c>
      <c r="L637" s="13">
        <v>44.43627</v>
      </c>
      <c r="M637" s="12">
        <v>89.307379999999995</v>
      </c>
      <c r="T637" s="5">
        <f t="shared" si="156"/>
        <v>47502.786742637116</v>
      </c>
      <c r="U637" s="5">
        <f t="shared" si="157"/>
        <v>4932.1564899774712</v>
      </c>
      <c r="V637" s="5">
        <f t="shared" si="158"/>
        <v>6556.4929083561246</v>
      </c>
      <c r="W637" s="5" t="str">
        <f t="shared" si="159"/>
        <v>n/a</v>
      </c>
      <c r="X637" s="6" t="str">
        <f t="shared" si="160"/>
        <v>n/a</v>
      </c>
      <c r="Y637" s="16">
        <f t="shared" si="161"/>
        <v>5.5939697694143538E-2</v>
      </c>
      <c r="Z637" s="16">
        <f t="shared" si="162"/>
        <v>0.53876869791384652</v>
      </c>
      <c r="AA637" s="16">
        <f t="shared" si="163"/>
        <v>0.40529160439201001</v>
      </c>
      <c r="AB637" s="16" t="e">
        <f t="shared" si="164"/>
        <v>#VALUE!</v>
      </c>
      <c r="AC637" s="18" t="e">
        <f t="shared" si="165"/>
        <v>#VALUE!</v>
      </c>
      <c r="AD637" s="16">
        <f t="shared" si="166"/>
        <v>6.8374654401340803E-3</v>
      </c>
      <c r="AE637" s="16">
        <f t="shared" si="167"/>
        <v>0.63424875771902711</v>
      </c>
      <c r="AF637" s="16">
        <f t="shared" si="168"/>
        <v>0.35891377684083886</v>
      </c>
      <c r="AG637" s="16" t="e">
        <f t="shared" si="169"/>
        <v>#VALUE!</v>
      </c>
      <c r="AH637" s="16" t="e">
        <f t="shared" si="170"/>
        <v>#VALUE!</v>
      </c>
    </row>
    <row r="638" spans="1:34" x14ac:dyDescent="0.25">
      <c r="A638" s="12">
        <v>92736</v>
      </c>
      <c r="B638" s="13">
        <v>44.439300000000003</v>
      </c>
      <c r="C638" s="12">
        <v>89.506900000000002</v>
      </c>
      <c r="D638" s="14">
        <v>0</v>
      </c>
      <c r="T638" s="5">
        <f t="shared" si="156"/>
        <v>32704708.871729076</v>
      </c>
      <c r="U638" s="5">
        <f t="shared" si="157"/>
        <v>32704708.871729076</v>
      </c>
      <c r="V638" s="5" t="str">
        <f t="shared" si="158"/>
        <v>n/a</v>
      </c>
      <c r="W638" s="5" t="str">
        <f t="shared" si="159"/>
        <v>n/a</v>
      </c>
      <c r="X638" s="6" t="str">
        <f t="shared" si="160"/>
        <v>n/a</v>
      </c>
      <c r="Y638" s="16" t="str">
        <f t="shared" si="161"/>
        <v>error</v>
      </c>
      <c r="Z638" s="16" t="str">
        <f t="shared" si="162"/>
        <v>error</v>
      </c>
      <c r="AA638" s="16" t="str">
        <f t="shared" si="163"/>
        <v>error</v>
      </c>
      <c r="AB638" s="16" t="str">
        <f t="shared" si="164"/>
        <v>error</v>
      </c>
      <c r="AC638" s="18" t="str">
        <f t="shared" si="165"/>
        <v>error</v>
      </c>
      <c r="AD638" s="16" t="str">
        <f t="shared" si="166"/>
        <v>error</v>
      </c>
      <c r="AE638" s="16" t="str">
        <f t="shared" si="167"/>
        <v>error</v>
      </c>
      <c r="AF638" s="16" t="str">
        <f t="shared" si="168"/>
        <v>error</v>
      </c>
      <c r="AG638" s="16" t="str">
        <f t="shared" si="169"/>
        <v>error</v>
      </c>
      <c r="AH638" s="16" t="str">
        <f t="shared" si="170"/>
        <v>error</v>
      </c>
    </row>
    <row r="639" spans="1:34" x14ac:dyDescent="0.25">
      <c r="A639" s="12">
        <v>92743</v>
      </c>
      <c r="B639" s="13">
        <v>44.463363999999999</v>
      </c>
      <c r="C639" s="12">
        <v>89.301241000000005</v>
      </c>
      <c r="D639" s="14">
        <v>3</v>
      </c>
      <c r="E639" s="13" t="s">
        <v>42</v>
      </c>
      <c r="F639" s="13">
        <v>44.472119999999997</v>
      </c>
      <c r="G639" s="12">
        <v>89.482460000000003</v>
      </c>
      <c r="H639" s="13" t="s">
        <v>41</v>
      </c>
      <c r="I639" s="13">
        <v>44.453830000000004</v>
      </c>
      <c r="J639" s="12">
        <v>89.282889999999995</v>
      </c>
      <c r="K639" s="13" t="s">
        <v>43</v>
      </c>
      <c r="L639" s="13">
        <v>44.43627</v>
      </c>
      <c r="M639" s="12">
        <v>89.307379999999995</v>
      </c>
      <c r="T639" s="5">
        <f t="shared" si="156"/>
        <v>47287.784356081844</v>
      </c>
      <c r="U639" s="5">
        <f t="shared" si="157"/>
        <v>5910.1770269389999</v>
      </c>
      <c r="V639" s="5">
        <f t="shared" si="158"/>
        <v>10012.700286494926</v>
      </c>
      <c r="W639" s="5" t="str">
        <f t="shared" si="159"/>
        <v>n/a</v>
      </c>
      <c r="X639" s="6" t="str">
        <f t="shared" si="160"/>
        <v>n/a</v>
      </c>
      <c r="Y639" s="16">
        <f t="shared" si="161"/>
        <v>7.2865808612652086E-2</v>
      </c>
      <c r="Z639" s="16">
        <f t="shared" si="162"/>
        <v>0.58300498088315322</v>
      </c>
      <c r="AA639" s="16">
        <f t="shared" si="163"/>
        <v>0.3441292105041947</v>
      </c>
      <c r="AB639" s="16" t="e">
        <f t="shared" si="164"/>
        <v>#VALUE!</v>
      </c>
      <c r="AC639" s="18" t="e">
        <f t="shared" si="165"/>
        <v>#VALUE!</v>
      </c>
      <c r="AD639" s="16">
        <f t="shared" si="166"/>
        <v>1.145188152092803E-2</v>
      </c>
      <c r="AE639" s="16">
        <f t="shared" si="167"/>
        <v>0.73311785874154378</v>
      </c>
      <c r="AF639" s="16">
        <f t="shared" si="168"/>
        <v>0.25543025973752814</v>
      </c>
      <c r="AG639" s="16" t="e">
        <f t="shared" si="169"/>
        <v>#VALUE!</v>
      </c>
      <c r="AH639" s="16" t="e">
        <f t="shared" si="170"/>
        <v>#VALUE!</v>
      </c>
    </row>
    <row r="640" spans="1:34" x14ac:dyDescent="0.25">
      <c r="A640" s="12">
        <v>92808</v>
      </c>
      <c r="B640" s="13">
        <v>44.542200000000001</v>
      </c>
      <c r="C640" s="12">
        <v>89.383700000000005</v>
      </c>
      <c r="D640" s="14">
        <v>4</v>
      </c>
      <c r="E640" s="13" t="s">
        <v>42</v>
      </c>
      <c r="F640" s="13">
        <v>44.481119999999997</v>
      </c>
      <c r="G640" s="12">
        <v>89.479669999999999</v>
      </c>
      <c r="H640" s="13" t="s">
        <v>39</v>
      </c>
      <c r="I640" s="13">
        <v>44.558810000000001</v>
      </c>
      <c r="J640" s="12">
        <v>89.506240000000005</v>
      </c>
      <c r="K640" s="13" t="s">
        <v>40</v>
      </c>
      <c r="L640" s="13">
        <v>44.554780000000001</v>
      </c>
      <c r="M640" s="13">
        <v>89.461330000000004</v>
      </c>
      <c r="N640" s="13" t="s">
        <v>41</v>
      </c>
      <c r="O640" s="13">
        <v>44.54806</v>
      </c>
      <c r="P640" s="12">
        <v>89.354929999999996</v>
      </c>
      <c r="T640" s="5">
        <f t="shared" si="156"/>
        <v>33464.249947178163</v>
      </c>
      <c r="U640" s="5">
        <f t="shared" si="157"/>
        <v>32428.785728977535</v>
      </c>
      <c r="V640" s="5">
        <f t="shared" si="158"/>
        <v>20697.949075218236</v>
      </c>
      <c r="W640" s="5">
        <f t="shared" si="159"/>
        <v>7779.7289181709202</v>
      </c>
      <c r="X640" s="6" t="str">
        <f t="shared" si="160"/>
        <v>n/a</v>
      </c>
      <c r="Y640" s="16">
        <f t="shared" si="161"/>
        <v>0.1257831830644455</v>
      </c>
      <c r="Z640" s="16">
        <f t="shared" si="162"/>
        <v>0.12979949087205575</v>
      </c>
      <c r="AA640" s="16">
        <f t="shared" si="163"/>
        <v>0.2033650707093495</v>
      </c>
      <c r="AB640" s="16">
        <f t="shared" si="164"/>
        <v>0.54105225535414925</v>
      </c>
      <c r="AC640" s="18" t="e">
        <f t="shared" si="165"/>
        <v>#VALUE!</v>
      </c>
      <c r="AD640" s="16">
        <f t="shared" si="166"/>
        <v>4.3137821589440663E-2</v>
      </c>
      <c r="AE640" s="16">
        <f t="shared" si="167"/>
        <v>4.5936618896508706E-2</v>
      </c>
      <c r="AF640" s="16">
        <f t="shared" si="168"/>
        <v>0.11276277955596337</v>
      </c>
      <c r="AG640" s="16">
        <f t="shared" si="169"/>
        <v>0.79816277995808727</v>
      </c>
      <c r="AH640" s="16" t="e">
        <f t="shared" si="170"/>
        <v>#VALUE!</v>
      </c>
    </row>
    <row r="641" spans="1:34" x14ac:dyDescent="0.25">
      <c r="A641" s="12">
        <v>92885</v>
      </c>
      <c r="B641" s="13">
        <v>44.501300000000001</v>
      </c>
      <c r="C641" s="12">
        <v>89.407499999999999</v>
      </c>
      <c r="D641" s="14">
        <v>4</v>
      </c>
      <c r="E641" s="13" t="s">
        <v>42</v>
      </c>
      <c r="F641" s="13">
        <v>44.482410000000002</v>
      </c>
      <c r="G641" s="12">
        <v>89.479749999999996</v>
      </c>
      <c r="H641" s="13" t="s">
        <v>40</v>
      </c>
      <c r="I641" s="13">
        <v>44.551259999999999</v>
      </c>
      <c r="J641" s="12">
        <v>89.468959999999996</v>
      </c>
      <c r="K641" s="13" t="s">
        <v>41</v>
      </c>
      <c r="L641" s="13">
        <v>44.516109999999998</v>
      </c>
      <c r="M641" s="12">
        <v>89.335679999999996</v>
      </c>
      <c r="N641" s="13" t="s">
        <v>43</v>
      </c>
      <c r="O641" s="13">
        <v>44.436770000000003</v>
      </c>
      <c r="P641" s="12">
        <v>89.376199999999997</v>
      </c>
      <c r="T641" s="5">
        <f t="shared" si="156"/>
        <v>20025.383629854266</v>
      </c>
      <c r="U641" s="5">
        <f t="shared" si="157"/>
        <v>24242.61377741367</v>
      </c>
      <c r="V641" s="5">
        <f t="shared" si="158"/>
        <v>19450.436694496675</v>
      </c>
      <c r="W641" s="5">
        <f t="shared" si="159"/>
        <v>24911.780498521013</v>
      </c>
      <c r="X641" s="6" t="str">
        <f t="shared" si="160"/>
        <v>n/a</v>
      </c>
      <c r="Y641" s="16">
        <f t="shared" si="161"/>
        <v>0.27326494621306513</v>
      </c>
      <c r="Z641" s="16">
        <f t="shared" si="162"/>
        <v>0.22572794463303653</v>
      </c>
      <c r="AA641" s="16">
        <f t="shared" si="163"/>
        <v>0.28134254600342423</v>
      </c>
      <c r="AB641" s="16">
        <f t="shared" si="164"/>
        <v>0.21966456315047422</v>
      </c>
      <c r="AC641" s="18" t="e">
        <f t="shared" si="165"/>
        <v>#VALUE!</v>
      </c>
      <c r="AD641" s="16">
        <f t="shared" si="166"/>
        <v>0.29511461136821276</v>
      </c>
      <c r="AE641" s="16">
        <f t="shared" si="167"/>
        <v>0.20136941879978121</v>
      </c>
      <c r="AF641" s="16">
        <f t="shared" si="168"/>
        <v>0.31281940734580094</v>
      </c>
      <c r="AG641" s="16">
        <f t="shared" si="169"/>
        <v>0.19069656248620517</v>
      </c>
      <c r="AH641" s="16" t="e">
        <f t="shared" si="170"/>
        <v>#VALUE!</v>
      </c>
    </row>
    <row r="642" spans="1:34" x14ac:dyDescent="0.25">
      <c r="A642" s="12">
        <v>92939</v>
      </c>
      <c r="B642" s="13">
        <v>44.440818999999998</v>
      </c>
      <c r="C642" s="12">
        <v>89.511028999999994</v>
      </c>
      <c r="D642" s="14">
        <v>0</v>
      </c>
      <c r="T642" s="5">
        <f t="shared" si="156"/>
        <v>32705787.659120236</v>
      </c>
      <c r="U642" s="5">
        <f t="shared" si="157"/>
        <v>32705787.659120236</v>
      </c>
      <c r="V642" s="5" t="str">
        <f t="shared" si="158"/>
        <v>n/a</v>
      </c>
      <c r="W642" s="5" t="str">
        <f t="shared" si="159"/>
        <v>n/a</v>
      </c>
      <c r="X642" s="6" t="str">
        <f t="shared" si="160"/>
        <v>n/a</v>
      </c>
      <c r="Y642" s="16" t="str">
        <f t="shared" si="161"/>
        <v>error</v>
      </c>
      <c r="Z642" s="16" t="str">
        <f t="shared" si="162"/>
        <v>error</v>
      </c>
      <c r="AA642" s="16" t="str">
        <f t="shared" si="163"/>
        <v>error</v>
      </c>
      <c r="AB642" s="16" t="str">
        <f t="shared" si="164"/>
        <v>error</v>
      </c>
      <c r="AC642" s="18" t="str">
        <f t="shared" si="165"/>
        <v>error</v>
      </c>
      <c r="AD642" s="16" t="str">
        <f t="shared" si="166"/>
        <v>error</v>
      </c>
      <c r="AE642" s="16" t="str">
        <f t="shared" si="167"/>
        <v>error</v>
      </c>
      <c r="AF642" s="16" t="str">
        <f t="shared" si="168"/>
        <v>error</v>
      </c>
      <c r="AG642" s="16" t="str">
        <f t="shared" si="169"/>
        <v>error</v>
      </c>
      <c r="AH642" s="16" t="str">
        <f t="shared" si="170"/>
        <v>error</v>
      </c>
    </row>
    <row r="643" spans="1:34" x14ac:dyDescent="0.25">
      <c r="A643" s="12">
        <v>92955</v>
      </c>
      <c r="B643" s="13">
        <v>44.406999999999996</v>
      </c>
      <c r="C643" s="12">
        <v>89.330299999999994</v>
      </c>
      <c r="D643" s="14">
        <v>0</v>
      </c>
      <c r="T643" s="5">
        <f t="shared" si="156"/>
        <v>32658613.996950082</v>
      </c>
      <c r="U643" s="5">
        <f t="shared" si="157"/>
        <v>32658613.996950082</v>
      </c>
      <c r="V643" s="5" t="str">
        <f t="shared" si="158"/>
        <v>n/a</v>
      </c>
      <c r="W643" s="5" t="str">
        <f t="shared" si="159"/>
        <v>n/a</v>
      </c>
      <c r="X643" s="6" t="str">
        <f t="shared" si="160"/>
        <v>n/a</v>
      </c>
      <c r="Y643" s="16" t="str">
        <f t="shared" si="161"/>
        <v>error</v>
      </c>
      <c r="Z643" s="16" t="str">
        <f t="shared" si="162"/>
        <v>error</v>
      </c>
      <c r="AA643" s="16" t="str">
        <f t="shared" si="163"/>
        <v>error</v>
      </c>
      <c r="AB643" s="16" t="str">
        <f t="shared" si="164"/>
        <v>error</v>
      </c>
      <c r="AC643" s="18" t="str">
        <f t="shared" si="165"/>
        <v>error</v>
      </c>
      <c r="AD643" s="16" t="str">
        <f t="shared" si="166"/>
        <v>error</v>
      </c>
      <c r="AE643" s="16" t="str">
        <f t="shared" si="167"/>
        <v>error</v>
      </c>
      <c r="AF643" s="16" t="str">
        <f t="shared" si="168"/>
        <v>error</v>
      </c>
      <c r="AG643" s="16" t="str">
        <f t="shared" si="169"/>
        <v>error</v>
      </c>
      <c r="AH643" s="16" t="str">
        <f t="shared" si="170"/>
        <v>error</v>
      </c>
    </row>
    <row r="644" spans="1:34" x14ac:dyDescent="0.25">
      <c r="A644" s="12">
        <v>92965</v>
      </c>
      <c r="B644" s="13">
        <v>44.437103</v>
      </c>
      <c r="C644" s="12">
        <v>89.501211999999995</v>
      </c>
      <c r="D644" s="14">
        <v>0</v>
      </c>
      <c r="T644" s="5">
        <f t="shared" si="156"/>
        <v>32703222.4398841</v>
      </c>
      <c r="U644" s="5">
        <f t="shared" si="157"/>
        <v>32703222.4398841</v>
      </c>
      <c r="V644" s="5" t="str">
        <f t="shared" si="158"/>
        <v>n/a</v>
      </c>
      <c r="W644" s="5" t="str">
        <f t="shared" si="159"/>
        <v>n/a</v>
      </c>
      <c r="X644" s="6" t="str">
        <f t="shared" si="160"/>
        <v>n/a</v>
      </c>
      <c r="Y644" s="16" t="str">
        <f t="shared" si="161"/>
        <v>error</v>
      </c>
      <c r="Z644" s="16" t="str">
        <f t="shared" si="162"/>
        <v>error</v>
      </c>
      <c r="AA644" s="16" t="str">
        <f t="shared" si="163"/>
        <v>error</v>
      </c>
      <c r="AB644" s="16" t="str">
        <f t="shared" si="164"/>
        <v>error</v>
      </c>
      <c r="AC644" s="18" t="str">
        <f t="shared" si="165"/>
        <v>error</v>
      </c>
      <c r="AD644" s="16" t="str">
        <f t="shared" si="166"/>
        <v>error</v>
      </c>
      <c r="AE644" s="16" t="str">
        <f t="shared" si="167"/>
        <v>error</v>
      </c>
      <c r="AF644" s="16" t="str">
        <f t="shared" si="168"/>
        <v>error</v>
      </c>
      <c r="AG644" s="16" t="str">
        <f t="shared" si="169"/>
        <v>error</v>
      </c>
      <c r="AH644" s="16" t="str">
        <f t="shared" si="170"/>
        <v>error</v>
      </c>
    </row>
    <row r="645" spans="1:34" x14ac:dyDescent="0.25">
      <c r="A645" s="12">
        <v>92975</v>
      </c>
      <c r="B645" s="13">
        <v>44.454450000000001</v>
      </c>
      <c r="C645" s="12">
        <v>89.559960000000004</v>
      </c>
      <c r="D645" s="14">
        <v>4</v>
      </c>
      <c r="E645" s="13" t="s">
        <v>42</v>
      </c>
      <c r="F645" s="13">
        <v>44.470410000000001</v>
      </c>
      <c r="G645" s="12">
        <v>89.511759999999995</v>
      </c>
      <c r="H645" s="13" t="s">
        <v>44</v>
      </c>
      <c r="I645" s="13">
        <v>44.388379999999998</v>
      </c>
      <c r="J645" s="12">
        <v>89.530510000000007</v>
      </c>
      <c r="K645" s="13" t="s">
        <v>48</v>
      </c>
      <c r="L645" s="13">
        <v>44.462609999999998</v>
      </c>
      <c r="M645" s="12">
        <v>89.562640000000002</v>
      </c>
      <c r="N645" s="13" t="s">
        <v>49</v>
      </c>
      <c r="O645" s="13">
        <v>44.43582</v>
      </c>
      <c r="P645" s="12">
        <v>89.562870000000004</v>
      </c>
      <c r="T645" s="5">
        <f t="shared" si="156"/>
        <v>13834.716134012528</v>
      </c>
      <c r="U645" s="5">
        <f t="shared" si="157"/>
        <v>25295.111177802675</v>
      </c>
      <c r="V645" s="5">
        <f t="shared" si="158"/>
        <v>3057.5720978079898</v>
      </c>
      <c r="W645" s="5">
        <f t="shared" si="159"/>
        <v>6838.5894630994944</v>
      </c>
      <c r="X645" s="6" t="str">
        <f t="shared" si="160"/>
        <v>n/a</v>
      </c>
      <c r="Y645" s="16">
        <f t="shared" si="161"/>
        <v>0.12353750047657017</v>
      </c>
      <c r="Z645" s="16">
        <f t="shared" si="162"/>
        <v>6.7566662940726066E-2</v>
      </c>
      <c r="AA645" s="16">
        <f t="shared" si="163"/>
        <v>0.55897496324749452</v>
      </c>
      <c r="AB645" s="16">
        <f t="shared" si="164"/>
        <v>0.24992087333520929</v>
      </c>
      <c r="AC645" s="18" t="e">
        <f t="shared" si="165"/>
        <v>#VALUE!</v>
      </c>
      <c r="AD645" s="16">
        <f t="shared" si="166"/>
        <v>3.8662171306817192E-2</v>
      </c>
      <c r="AE645" s="16">
        <f t="shared" si="167"/>
        <v>1.156521100373238E-2</v>
      </c>
      <c r="AF645" s="16">
        <f t="shared" si="168"/>
        <v>0.79154084981837447</v>
      </c>
      <c r="AG645" s="16">
        <f t="shared" si="169"/>
        <v>0.15823176787107612</v>
      </c>
      <c r="AH645" s="16" t="e">
        <f t="shared" si="170"/>
        <v>#VALUE!</v>
      </c>
    </row>
    <row r="646" spans="1:34" x14ac:dyDescent="0.25">
      <c r="A646" s="12">
        <v>92981</v>
      </c>
      <c r="B646" s="13">
        <v>44.578465999999999</v>
      </c>
      <c r="C646" s="12">
        <v>89.456738000000001</v>
      </c>
      <c r="D646" s="14">
        <v>4</v>
      </c>
      <c r="E646" s="13" t="s">
        <v>42</v>
      </c>
      <c r="F646" s="13">
        <v>44.481119999999997</v>
      </c>
      <c r="G646" s="12">
        <v>89.479669999999999</v>
      </c>
      <c r="H646" s="13" t="s">
        <v>39</v>
      </c>
      <c r="I646" s="13">
        <v>44.58616</v>
      </c>
      <c r="J646" s="12">
        <v>89.487179999999995</v>
      </c>
      <c r="K646" s="13" t="s">
        <v>40</v>
      </c>
      <c r="L646" s="13">
        <v>44.554780000000001</v>
      </c>
      <c r="M646" s="13">
        <v>89.461330000000004</v>
      </c>
      <c r="N646" s="13" t="s">
        <v>41</v>
      </c>
      <c r="O646" s="13">
        <v>44.570529999999998</v>
      </c>
      <c r="P646" s="12">
        <v>89.378259999999997</v>
      </c>
      <c r="T646" s="5">
        <f t="shared" si="156"/>
        <v>36010.358410880021</v>
      </c>
      <c r="U646" s="5">
        <f t="shared" si="157"/>
        <v>8393.1580862001483</v>
      </c>
      <c r="V646" s="5">
        <f t="shared" si="158"/>
        <v>8722.9873194316642</v>
      </c>
      <c r="W646" s="5">
        <f t="shared" si="159"/>
        <v>20598.563817865564</v>
      </c>
      <c r="X646" s="6" t="str">
        <f t="shared" si="160"/>
        <v>n/a</v>
      </c>
      <c r="Y646" s="16">
        <f t="shared" si="161"/>
        <v>8.9550739792903636E-2</v>
      </c>
      <c r="Z646" s="16">
        <f t="shared" si="162"/>
        <v>0.38421225988868096</v>
      </c>
      <c r="AA646" s="16">
        <f t="shared" si="163"/>
        <v>0.36968461810305836</v>
      </c>
      <c r="AB646" s="16">
        <f t="shared" si="164"/>
        <v>0.15655238221535711</v>
      </c>
      <c r="AC646" s="18" t="e">
        <f t="shared" si="165"/>
        <v>#VALUE!</v>
      </c>
      <c r="AD646" s="16">
        <f t="shared" si="166"/>
        <v>2.5312457940720019E-2</v>
      </c>
      <c r="AE646" s="16">
        <f t="shared" si="167"/>
        <v>0.46594901760629026</v>
      </c>
      <c r="AF646" s="16">
        <f t="shared" si="168"/>
        <v>0.43137872698460084</v>
      </c>
      <c r="AG646" s="16">
        <f t="shared" si="169"/>
        <v>7.7359797468388877E-2</v>
      </c>
      <c r="AH646" s="16" t="e">
        <f t="shared" si="170"/>
        <v>#VALUE!</v>
      </c>
    </row>
    <row r="647" spans="1:34" x14ac:dyDescent="0.25">
      <c r="A647" s="12">
        <v>93006</v>
      </c>
      <c r="B647" s="13">
        <v>44.510897999999997</v>
      </c>
      <c r="C647" s="12">
        <v>89.499145999999996</v>
      </c>
      <c r="D647" s="14">
        <v>0</v>
      </c>
      <c r="T647" s="5">
        <f t="shared" si="156"/>
        <v>32702849.164208125</v>
      </c>
      <c r="U647" s="5">
        <f t="shared" si="157"/>
        <v>32702849.164208125</v>
      </c>
      <c r="V647" s="5" t="str">
        <f t="shared" si="158"/>
        <v>n/a</v>
      </c>
      <c r="W647" s="5" t="str">
        <f t="shared" si="159"/>
        <v>n/a</v>
      </c>
      <c r="X647" s="6" t="str">
        <f t="shared" si="160"/>
        <v>n/a</v>
      </c>
      <c r="Y647" s="16" t="str">
        <f t="shared" si="161"/>
        <v>error</v>
      </c>
      <c r="Z647" s="16" t="str">
        <f t="shared" si="162"/>
        <v>error</v>
      </c>
      <c r="AA647" s="16" t="str">
        <f t="shared" si="163"/>
        <v>error</v>
      </c>
      <c r="AB647" s="16" t="str">
        <f t="shared" si="164"/>
        <v>error</v>
      </c>
      <c r="AC647" s="18" t="str">
        <f t="shared" si="165"/>
        <v>error</v>
      </c>
      <c r="AD647" s="16" t="str">
        <f t="shared" si="166"/>
        <v>error</v>
      </c>
      <c r="AE647" s="16" t="str">
        <f t="shared" si="167"/>
        <v>error</v>
      </c>
      <c r="AF647" s="16" t="str">
        <f t="shared" si="168"/>
        <v>error</v>
      </c>
      <c r="AG647" s="16" t="str">
        <f t="shared" si="169"/>
        <v>error</v>
      </c>
      <c r="AH647" s="16" t="str">
        <f t="shared" si="170"/>
        <v>error</v>
      </c>
    </row>
    <row r="648" spans="1:34" x14ac:dyDescent="0.25">
      <c r="A648" s="12">
        <v>93055</v>
      </c>
      <c r="B648" s="13">
        <v>44.509399000000002</v>
      </c>
      <c r="C648" s="12">
        <v>89.501035000000002</v>
      </c>
      <c r="D648" s="14">
        <v>0</v>
      </c>
      <c r="T648" s="5">
        <f t="shared" si="156"/>
        <v>32703337.247751247</v>
      </c>
      <c r="U648" s="5">
        <f t="shared" si="157"/>
        <v>32703337.247751247</v>
      </c>
      <c r="V648" s="5" t="str">
        <f t="shared" si="158"/>
        <v>n/a</v>
      </c>
      <c r="W648" s="5" t="str">
        <f t="shared" si="159"/>
        <v>n/a</v>
      </c>
      <c r="X648" s="6" t="str">
        <f t="shared" si="160"/>
        <v>n/a</v>
      </c>
      <c r="Y648" s="16" t="str">
        <f t="shared" si="161"/>
        <v>error</v>
      </c>
      <c r="Z648" s="16" t="str">
        <f t="shared" si="162"/>
        <v>error</v>
      </c>
      <c r="AA648" s="16" t="str">
        <f t="shared" si="163"/>
        <v>error</v>
      </c>
      <c r="AB648" s="16" t="str">
        <f t="shared" si="164"/>
        <v>error</v>
      </c>
      <c r="AC648" s="18" t="str">
        <f t="shared" si="165"/>
        <v>error</v>
      </c>
      <c r="AD648" s="16" t="str">
        <f t="shared" si="166"/>
        <v>error</v>
      </c>
      <c r="AE648" s="16" t="str">
        <f t="shared" si="167"/>
        <v>error</v>
      </c>
      <c r="AF648" s="16" t="str">
        <f t="shared" si="168"/>
        <v>error</v>
      </c>
      <c r="AG648" s="16" t="str">
        <f t="shared" si="169"/>
        <v>error</v>
      </c>
      <c r="AH648" s="16" t="str">
        <f t="shared" si="170"/>
        <v>error</v>
      </c>
    </row>
    <row r="649" spans="1:34" x14ac:dyDescent="0.25">
      <c r="A649" s="12">
        <v>93142</v>
      </c>
      <c r="B649" s="13">
        <v>44.448782000000001</v>
      </c>
      <c r="C649" s="12">
        <v>89.527393000000004</v>
      </c>
      <c r="D649" s="14">
        <v>3</v>
      </c>
      <c r="E649" s="13" t="s">
        <v>42</v>
      </c>
      <c r="F649" s="13">
        <v>44.471400000000003</v>
      </c>
      <c r="G649" s="12">
        <v>89.517539999999997</v>
      </c>
      <c r="H649" s="13" t="s">
        <v>48</v>
      </c>
      <c r="I649" s="13">
        <v>44.462829999999997</v>
      </c>
      <c r="J649" s="12">
        <v>89.555199999999999</v>
      </c>
      <c r="K649" s="13" t="s">
        <v>50</v>
      </c>
      <c r="L649" s="13">
        <v>44.42989</v>
      </c>
      <c r="M649" s="12">
        <v>89.569209999999998</v>
      </c>
      <c r="T649" s="5">
        <f t="shared" si="156"/>
        <v>8640.9771198691487</v>
      </c>
      <c r="U649" s="5">
        <f t="shared" si="157"/>
        <v>8871.0624083945004</v>
      </c>
      <c r="V649" s="5">
        <f t="shared" si="158"/>
        <v>12889.556136091867</v>
      </c>
      <c r="W649" s="5" t="str">
        <f t="shared" si="159"/>
        <v>n/a</v>
      </c>
      <c r="X649" s="6" t="str">
        <f t="shared" si="160"/>
        <v>n/a</v>
      </c>
      <c r="Y649" s="16">
        <f t="shared" si="161"/>
        <v>0.37815056288097065</v>
      </c>
      <c r="Z649" s="16">
        <f t="shared" si="162"/>
        <v>0.36834261910141169</v>
      </c>
      <c r="AA649" s="16">
        <f t="shared" si="163"/>
        <v>0.2535068180176176</v>
      </c>
      <c r="AB649" s="16" t="e">
        <f t="shared" si="164"/>
        <v>#VALUE!</v>
      </c>
      <c r="AC649" s="18" t="e">
        <f t="shared" si="165"/>
        <v>#VALUE!</v>
      </c>
      <c r="AD649" s="16">
        <f t="shared" si="166"/>
        <v>0.41697648250071795</v>
      </c>
      <c r="AE649" s="16">
        <f t="shared" si="167"/>
        <v>0.39562707276180309</v>
      </c>
      <c r="AF649" s="16">
        <f t="shared" si="168"/>
        <v>0.18739644473747888</v>
      </c>
      <c r="AG649" s="16" t="e">
        <f t="shared" si="169"/>
        <v>#VALUE!</v>
      </c>
      <c r="AH649" s="16" t="e">
        <f t="shared" si="170"/>
        <v>#VALUE!</v>
      </c>
    </row>
    <row r="650" spans="1:34" x14ac:dyDescent="0.25">
      <c r="A650" s="12">
        <v>93143</v>
      </c>
      <c r="B650" s="13">
        <v>44.450127999999999</v>
      </c>
      <c r="C650" s="12">
        <v>89.528486999999998</v>
      </c>
      <c r="D650" s="14">
        <v>3</v>
      </c>
      <c r="E650" s="13" t="s">
        <v>42</v>
      </c>
      <c r="F650" s="13">
        <v>44.471400000000003</v>
      </c>
      <c r="G650" s="12">
        <v>89.517539999999997</v>
      </c>
      <c r="H650" s="13" t="s">
        <v>48</v>
      </c>
      <c r="I650" s="13">
        <v>44.462829999999997</v>
      </c>
      <c r="J650" s="12">
        <v>89.555199999999999</v>
      </c>
      <c r="K650" s="13" t="s">
        <v>50</v>
      </c>
      <c r="L650" s="13">
        <v>44.42989</v>
      </c>
      <c r="M650" s="12">
        <v>89.569209999999998</v>
      </c>
      <c r="T650" s="5">
        <f t="shared" si="156"/>
        <v>8267.208787458705</v>
      </c>
      <c r="U650" s="5">
        <f t="shared" si="157"/>
        <v>8358.1284410463595</v>
      </c>
      <c r="V650" s="5">
        <f t="shared" si="158"/>
        <v>12923.669968837572</v>
      </c>
      <c r="W650" s="5" t="str">
        <f t="shared" si="159"/>
        <v>n/a</v>
      </c>
      <c r="X650" s="6" t="str">
        <f t="shared" si="160"/>
        <v>n/a</v>
      </c>
      <c r="Y650" s="16">
        <f t="shared" si="161"/>
        <v>0.38039922371855656</v>
      </c>
      <c r="Z650" s="16">
        <f t="shared" si="162"/>
        <v>0.37626124403931943</v>
      </c>
      <c r="AA650" s="16">
        <f t="shared" si="163"/>
        <v>0.24333953224212404</v>
      </c>
      <c r="AB650" s="16" t="e">
        <f t="shared" si="164"/>
        <v>#VALUE!</v>
      </c>
      <c r="AC650" s="18" t="e">
        <f t="shared" si="165"/>
        <v>#VALUE!</v>
      </c>
      <c r="AD650" s="16">
        <f t="shared" si="166"/>
        <v>0.41883549969985706</v>
      </c>
      <c r="AE650" s="16">
        <f t="shared" si="167"/>
        <v>0.40977288244405691</v>
      </c>
      <c r="AF650" s="16">
        <f t="shared" si="168"/>
        <v>0.17139161785608611</v>
      </c>
      <c r="AG650" s="16" t="e">
        <f t="shared" si="169"/>
        <v>#VALUE!</v>
      </c>
      <c r="AH650" s="16" t="e">
        <f t="shared" si="170"/>
        <v>#VALUE!</v>
      </c>
    </row>
    <row r="651" spans="1:34" x14ac:dyDescent="0.25">
      <c r="A651" s="12">
        <v>93144</v>
      </c>
      <c r="B651" s="13">
        <v>44.448900000000002</v>
      </c>
      <c r="C651" s="12">
        <v>89.521500000000003</v>
      </c>
      <c r="D651" s="14">
        <v>3</v>
      </c>
      <c r="E651" s="13" t="s">
        <v>42</v>
      </c>
      <c r="F651" s="13">
        <v>44.471400000000003</v>
      </c>
      <c r="G651" s="12">
        <v>89.517539999999997</v>
      </c>
      <c r="H651" s="13" t="s">
        <v>48</v>
      </c>
      <c r="I651" s="13">
        <v>44.462829999999997</v>
      </c>
      <c r="J651" s="12">
        <v>89.555199999999999</v>
      </c>
      <c r="K651" s="13" t="s">
        <v>50</v>
      </c>
      <c r="L651" s="13">
        <v>44.42989</v>
      </c>
      <c r="M651" s="12">
        <v>89.569209999999998</v>
      </c>
      <c r="T651" s="5">
        <f t="shared" si="156"/>
        <v>8272.7961499334269</v>
      </c>
      <c r="U651" s="5">
        <f t="shared" si="157"/>
        <v>10140.710617184968</v>
      </c>
      <c r="V651" s="5">
        <f t="shared" si="158"/>
        <v>14231.309167652134</v>
      </c>
      <c r="W651" s="5" t="str">
        <f t="shared" si="159"/>
        <v>n/a</v>
      </c>
      <c r="X651" s="6" t="str">
        <f t="shared" si="160"/>
        <v>n/a</v>
      </c>
      <c r="Y651" s="16">
        <f t="shared" si="161"/>
        <v>0.41716900728291778</v>
      </c>
      <c r="Z651" s="16">
        <f t="shared" si="162"/>
        <v>0.34032665831851761</v>
      </c>
      <c r="AA651" s="16">
        <f t="shared" si="163"/>
        <v>0.24250433439856467</v>
      </c>
      <c r="AB651" s="16" t="e">
        <f t="shared" si="164"/>
        <v>#VALUE!</v>
      </c>
      <c r="AC651" s="18" t="e">
        <f t="shared" si="165"/>
        <v>#VALUE!</v>
      </c>
      <c r="AD651" s="16">
        <f t="shared" si="166"/>
        <v>0.49913869536244804</v>
      </c>
      <c r="AE651" s="16">
        <f t="shared" si="167"/>
        <v>0.33219195187974221</v>
      </c>
      <c r="AF651" s="16">
        <f t="shared" si="168"/>
        <v>0.16866935275780981</v>
      </c>
      <c r="AG651" s="16" t="e">
        <f t="shared" si="169"/>
        <v>#VALUE!</v>
      </c>
      <c r="AH651" s="16" t="e">
        <f t="shared" si="170"/>
        <v>#VALUE!</v>
      </c>
    </row>
    <row r="652" spans="1:34" x14ac:dyDescent="0.25">
      <c r="A652" s="12">
        <v>93147</v>
      </c>
      <c r="B652" s="13">
        <v>44.450369999999999</v>
      </c>
      <c r="C652" s="12">
        <v>89.520219999999995</v>
      </c>
      <c r="D652" s="14">
        <v>0</v>
      </c>
      <c r="T652" s="5">
        <f t="shared" si="156"/>
        <v>32708201.99852984</v>
      </c>
      <c r="U652" s="5">
        <f t="shared" si="157"/>
        <v>32708201.99852984</v>
      </c>
      <c r="V652" s="5" t="str">
        <f t="shared" si="158"/>
        <v>n/a</v>
      </c>
      <c r="W652" s="5" t="str">
        <f t="shared" si="159"/>
        <v>n/a</v>
      </c>
      <c r="X652" s="6" t="str">
        <f t="shared" si="160"/>
        <v>n/a</v>
      </c>
      <c r="Y652" s="16" t="str">
        <f t="shared" si="161"/>
        <v>error</v>
      </c>
      <c r="Z652" s="16" t="str">
        <f t="shared" si="162"/>
        <v>error</v>
      </c>
      <c r="AA652" s="16" t="str">
        <f t="shared" si="163"/>
        <v>error</v>
      </c>
      <c r="AB652" s="16" t="str">
        <f t="shared" si="164"/>
        <v>error</v>
      </c>
      <c r="AC652" s="18" t="str">
        <f t="shared" si="165"/>
        <v>error</v>
      </c>
      <c r="AD652" s="16" t="str">
        <f t="shared" si="166"/>
        <v>error</v>
      </c>
      <c r="AE652" s="16" t="str">
        <f t="shared" si="167"/>
        <v>error</v>
      </c>
      <c r="AF652" s="16" t="str">
        <f t="shared" si="168"/>
        <v>error</v>
      </c>
      <c r="AG652" s="16" t="str">
        <f t="shared" si="169"/>
        <v>error</v>
      </c>
      <c r="AH652" s="16" t="str">
        <f t="shared" si="170"/>
        <v>error</v>
      </c>
    </row>
    <row r="653" spans="1:34" x14ac:dyDescent="0.25">
      <c r="A653" s="12">
        <v>93304</v>
      </c>
      <c r="B653" s="13">
        <v>44.423929999999999</v>
      </c>
      <c r="C653" s="12">
        <v>89.65204</v>
      </c>
      <c r="D653" s="14">
        <v>0</v>
      </c>
      <c r="T653" s="5">
        <f t="shared" si="156"/>
        <v>32742489.66786287</v>
      </c>
      <c r="U653" s="5">
        <f t="shared" si="157"/>
        <v>32742489.66786287</v>
      </c>
      <c r="V653" s="5" t="str">
        <f t="shared" si="158"/>
        <v>n/a</v>
      </c>
      <c r="W653" s="5" t="str">
        <f t="shared" si="159"/>
        <v>n/a</v>
      </c>
      <c r="X653" s="6" t="str">
        <f t="shared" si="160"/>
        <v>n/a</v>
      </c>
      <c r="Y653" s="16" t="str">
        <f t="shared" si="161"/>
        <v>error</v>
      </c>
      <c r="Z653" s="16" t="str">
        <f t="shared" si="162"/>
        <v>error</v>
      </c>
      <c r="AA653" s="16" t="str">
        <f t="shared" si="163"/>
        <v>error</v>
      </c>
      <c r="AB653" s="16" t="str">
        <f t="shared" si="164"/>
        <v>error</v>
      </c>
      <c r="AC653" s="18" t="str">
        <f t="shared" si="165"/>
        <v>error</v>
      </c>
      <c r="AD653" s="16" t="str">
        <f t="shared" si="166"/>
        <v>error</v>
      </c>
      <c r="AE653" s="16" t="str">
        <f t="shared" si="167"/>
        <v>error</v>
      </c>
      <c r="AF653" s="16" t="str">
        <f t="shared" si="168"/>
        <v>error</v>
      </c>
      <c r="AG653" s="16" t="str">
        <f t="shared" si="169"/>
        <v>error</v>
      </c>
      <c r="AH653" s="16" t="str">
        <f t="shared" si="170"/>
        <v>error</v>
      </c>
    </row>
    <row r="654" spans="1:34" x14ac:dyDescent="0.25">
      <c r="A654" s="12">
        <v>93349</v>
      </c>
      <c r="B654" s="13">
        <v>44.419649999999997</v>
      </c>
      <c r="C654" s="12">
        <v>89.505939999999995</v>
      </c>
      <c r="D654" s="14">
        <v>4</v>
      </c>
      <c r="E654" s="13" t="s">
        <v>42</v>
      </c>
      <c r="F654" s="13">
        <v>44.470410000000001</v>
      </c>
      <c r="G654" s="12">
        <v>89.511759999999995</v>
      </c>
      <c r="H654" s="13" t="s">
        <v>44</v>
      </c>
      <c r="I654" s="13">
        <v>44.388379999999998</v>
      </c>
      <c r="J654" s="12">
        <v>89.530510000000007</v>
      </c>
      <c r="K654" s="13" t="s">
        <v>48</v>
      </c>
      <c r="L654" s="13">
        <v>44.462609999999998</v>
      </c>
      <c r="M654" s="12">
        <v>89.562640000000002</v>
      </c>
      <c r="N654" s="13" t="s">
        <v>49</v>
      </c>
      <c r="O654" s="13">
        <v>44.419969999999999</v>
      </c>
      <c r="P654" s="12">
        <v>89.569280000000006</v>
      </c>
      <c r="T654" s="5">
        <f t="shared" si="156"/>
        <v>18579.830932303244</v>
      </c>
      <c r="U654" s="5">
        <f t="shared" si="157"/>
        <v>13082.158487757819</v>
      </c>
      <c r="V654" s="5">
        <f t="shared" si="158"/>
        <v>21534.345985383814</v>
      </c>
      <c r="W654" s="5">
        <f t="shared" si="159"/>
        <v>16504.313089479529</v>
      </c>
      <c r="X654" s="6" t="str">
        <f t="shared" si="160"/>
        <v>n/a</v>
      </c>
      <c r="Y654" s="16">
        <f t="shared" si="161"/>
        <v>0.22681919414248691</v>
      </c>
      <c r="Z654" s="16">
        <f t="shared" si="162"/>
        <v>0.32213814588107509</v>
      </c>
      <c r="AA654" s="16">
        <f t="shared" si="163"/>
        <v>0.19569957138373531</v>
      </c>
      <c r="AB654" s="16">
        <f t="shared" si="164"/>
        <v>0.25534308859270266</v>
      </c>
      <c r="AC654" s="18" t="e">
        <f t="shared" si="165"/>
        <v>#VALUE!</v>
      </c>
      <c r="AD654" s="16">
        <f t="shared" si="166"/>
        <v>0.19885310581566493</v>
      </c>
      <c r="AE654" s="16">
        <f t="shared" si="167"/>
        <v>0.40110408185975832</v>
      </c>
      <c r="AF654" s="16">
        <f t="shared" si="168"/>
        <v>0.14803094826715343</v>
      </c>
      <c r="AG654" s="16">
        <f t="shared" si="169"/>
        <v>0.25201186405742332</v>
      </c>
      <c r="AH654" s="16" t="e">
        <f t="shared" si="170"/>
        <v>#VALUE!</v>
      </c>
    </row>
    <row r="655" spans="1:34" x14ac:dyDescent="0.25">
      <c r="A655" s="12">
        <v>93422</v>
      </c>
      <c r="B655" s="13">
        <v>44.470680000000002</v>
      </c>
      <c r="C655" s="12">
        <v>89.309809999999999</v>
      </c>
      <c r="D655" s="14">
        <v>3</v>
      </c>
      <c r="E655" s="13" t="s">
        <v>42</v>
      </c>
      <c r="F655" s="13">
        <v>44.472119999999997</v>
      </c>
      <c r="G655" s="12">
        <v>89.482460000000003</v>
      </c>
      <c r="H655" s="13" t="s">
        <v>41</v>
      </c>
      <c r="I655" s="13">
        <v>44.474519999999998</v>
      </c>
      <c r="J655" s="12">
        <v>89.295339999999996</v>
      </c>
      <c r="K655" s="13" t="s">
        <v>43</v>
      </c>
      <c r="L655" s="13">
        <v>44.43627</v>
      </c>
      <c r="M655" s="12">
        <v>89.307379999999995</v>
      </c>
      <c r="T655" s="5">
        <f t="shared" si="156"/>
        <v>44949.116018460853</v>
      </c>
      <c r="U655" s="5">
        <f t="shared" si="157"/>
        <v>4018.959552448367</v>
      </c>
      <c r="V655" s="5">
        <f t="shared" si="158"/>
        <v>12569.146065993786</v>
      </c>
      <c r="W655" s="5" t="str">
        <f t="shared" si="159"/>
        <v>n/a</v>
      </c>
      <c r="X655" s="6" t="str">
        <f t="shared" si="160"/>
        <v>n/a</v>
      </c>
      <c r="Y655" s="16">
        <f t="shared" si="161"/>
        <v>6.3450109908403482E-2</v>
      </c>
      <c r="Z655" s="16">
        <f t="shared" si="162"/>
        <v>0.70964295968578583</v>
      </c>
      <c r="AA655" s="16">
        <f t="shared" si="163"/>
        <v>0.22690693040581064</v>
      </c>
      <c r="AB655" s="16" t="e">
        <f t="shared" si="164"/>
        <v>#VALUE!</v>
      </c>
      <c r="AC655" s="18" t="e">
        <f t="shared" si="165"/>
        <v>#VALUE!</v>
      </c>
      <c r="AD655" s="16">
        <f t="shared" si="166"/>
        <v>7.2006343608349167E-3</v>
      </c>
      <c r="AE655" s="16">
        <f t="shared" si="167"/>
        <v>0.90071168759061326</v>
      </c>
      <c r="AF655" s="16">
        <f t="shared" si="168"/>
        <v>9.2087678048551863E-2</v>
      </c>
      <c r="AG655" s="16" t="e">
        <f t="shared" si="169"/>
        <v>#VALUE!</v>
      </c>
      <c r="AH655" s="16" t="e">
        <f t="shared" si="170"/>
        <v>#VALUE!</v>
      </c>
    </row>
    <row r="656" spans="1:34" x14ac:dyDescent="0.25">
      <c r="A656" s="12">
        <v>93423</v>
      </c>
      <c r="B656" s="13">
        <v>44.471899999999998</v>
      </c>
      <c r="C656" s="12">
        <v>89.310119999999998</v>
      </c>
      <c r="D656" s="14">
        <v>3</v>
      </c>
      <c r="E656" s="13" t="s">
        <v>42</v>
      </c>
      <c r="F656" s="13">
        <v>44.472119999999997</v>
      </c>
      <c r="G656" s="12">
        <v>89.482460000000003</v>
      </c>
      <c r="H656" s="13" t="s">
        <v>41</v>
      </c>
      <c r="I656" s="13">
        <v>44.474519999999998</v>
      </c>
      <c r="J656" s="12">
        <v>89.295339999999996</v>
      </c>
      <c r="K656" s="13" t="s">
        <v>43</v>
      </c>
      <c r="L656" s="13">
        <v>44.43627</v>
      </c>
      <c r="M656" s="12">
        <v>89.307379999999995</v>
      </c>
      <c r="T656" s="5">
        <f t="shared" si="156"/>
        <v>44864.946550906985</v>
      </c>
      <c r="U656" s="5">
        <f t="shared" si="157"/>
        <v>3964.5084670941897</v>
      </c>
      <c r="V656" s="5">
        <f t="shared" si="158"/>
        <v>13017.84722054415</v>
      </c>
      <c r="W656" s="5" t="str">
        <f t="shared" si="159"/>
        <v>n/a</v>
      </c>
      <c r="X656" s="6" t="str">
        <f t="shared" si="160"/>
        <v>n/a</v>
      </c>
      <c r="Y656" s="16">
        <f t="shared" si="161"/>
        <v>6.3439434107322987E-2</v>
      </c>
      <c r="Z656" s="16">
        <f t="shared" si="162"/>
        <v>0.71792174088380134</v>
      </c>
      <c r="AA656" s="16">
        <f t="shared" si="163"/>
        <v>0.21863882500887571</v>
      </c>
      <c r="AB656" s="16" t="e">
        <f t="shared" si="164"/>
        <v>#VALUE!</v>
      </c>
      <c r="AC656" s="18" t="e">
        <f t="shared" si="165"/>
        <v>#VALUE!</v>
      </c>
      <c r="AD656" s="16">
        <f t="shared" si="166"/>
        <v>7.0950003837338344E-3</v>
      </c>
      <c r="AE656" s="16">
        <f t="shared" si="167"/>
        <v>0.90863201171840979</v>
      </c>
      <c r="AF656" s="16">
        <f t="shared" si="168"/>
        <v>8.4272987897856491E-2</v>
      </c>
      <c r="AG656" s="16" t="e">
        <f t="shared" si="169"/>
        <v>#VALUE!</v>
      </c>
      <c r="AH656" s="16" t="e">
        <f t="shared" si="170"/>
        <v>#VALUE!</v>
      </c>
    </row>
    <row r="657" spans="1:34" x14ac:dyDescent="0.25">
      <c r="A657" s="12">
        <v>93424</v>
      </c>
      <c r="B657" s="13">
        <v>44.471319999999999</v>
      </c>
      <c r="C657" s="12">
        <v>89.310820000000007</v>
      </c>
      <c r="D657" s="14">
        <v>3</v>
      </c>
      <c r="E657" s="13" t="s">
        <v>42</v>
      </c>
      <c r="F657" s="13">
        <v>44.472119999999997</v>
      </c>
      <c r="G657" s="12">
        <v>89.482460000000003</v>
      </c>
      <c r="H657" s="13" t="s">
        <v>41</v>
      </c>
      <c r="I657" s="13">
        <v>44.474519999999998</v>
      </c>
      <c r="J657" s="12">
        <v>89.295339999999996</v>
      </c>
      <c r="K657" s="13" t="s">
        <v>43</v>
      </c>
      <c r="L657" s="13">
        <v>44.43627</v>
      </c>
      <c r="M657" s="12">
        <v>89.307379999999995</v>
      </c>
      <c r="T657" s="5">
        <f t="shared" si="156"/>
        <v>44683.820584190798</v>
      </c>
      <c r="U657" s="5">
        <f t="shared" si="157"/>
        <v>4195.4973628892494</v>
      </c>
      <c r="V657" s="5">
        <f t="shared" si="158"/>
        <v>12818.027645252449</v>
      </c>
      <c r="W657" s="5" t="str">
        <f t="shared" si="159"/>
        <v>n/a</v>
      </c>
      <c r="X657" s="6" t="str">
        <f t="shared" si="160"/>
        <v>n/a</v>
      </c>
      <c r="Y657" s="16">
        <f t="shared" si="161"/>
        <v>6.6065748025952845E-2</v>
      </c>
      <c r="Z657" s="16">
        <f t="shared" si="162"/>
        <v>0.70362814613213753</v>
      </c>
      <c r="AA657" s="16">
        <f t="shared" si="163"/>
        <v>0.23030610584190964</v>
      </c>
      <c r="AB657" s="16" t="e">
        <f t="shared" si="164"/>
        <v>#VALUE!</v>
      </c>
      <c r="AC657" s="18" t="e">
        <f t="shared" si="165"/>
        <v>#VALUE!</v>
      </c>
      <c r="AD657" s="16">
        <f t="shared" si="166"/>
        <v>7.8999052480806468E-3</v>
      </c>
      <c r="AE657" s="16">
        <f t="shared" si="167"/>
        <v>0.89609814062046667</v>
      </c>
      <c r="AF657" s="16">
        <f t="shared" si="168"/>
        <v>9.6001954131452641E-2</v>
      </c>
      <c r="AG657" s="16" t="e">
        <f t="shared" si="169"/>
        <v>#VALUE!</v>
      </c>
      <c r="AH657" s="16" t="e">
        <f t="shared" si="170"/>
        <v>#VALUE!</v>
      </c>
    </row>
    <row r="658" spans="1:34" x14ac:dyDescent="0.25">
      <c r="A658" s="12">
        <v>93469</v>
      </c>
      <c r="B658" s="13">
        <v>44.469700000000003</v>
      </c>
      <c r="C658" s="12">
        <v>89.446399999999997</v>
      </c>
      <c r="D658" s="14">
        <v>3</v>
      </c>
      <c r="E658" s="13" t="s">
        <v>42</v>
      </c>
      <c r="F658" s="13">
        <v>44.481520000000003</v>
      </c>
      <c r="G658" s="12">
        <v>89.479870000000005</v>
      </c>
      <c r="H658" s="13" t="s">
        <v>41</v>
      </c>
      <c r="I658" s="13">
        <v>44.489049999999999</v>
      </c>
      <c r="J658" s="12">
        <v>89.307159999999996</v>
      </c>
      <c r="K658" s="13" t="s">
        <v>43</v>
      </c>
      <c r="L658" s="13">
        <v>44.436599999999999</v>
      </c>
      <c r="M658" s="12">
        <v>89.375630000000001</v>
      </c>
      <c r="T658" s="5">
        <f t="shared" si="156"/>
        <v>9721.3192002953001</v>
      </c>
      <c r="U658" s="5">
        <f t="shared" si="157"/>
        <v>36924.5082262504</v>
      </c>
      <c r="V658" s="5">
        <f t="shared" si="158"/>
        <v>22033.013679541687</v>
      </c>
      <c r="W658" s="5" t="str">
        <f t="shared" si="159"/>
        <v>n/a</v>
      </c>
      <c r="X658" s="6" t="str">
        <f t="shared" si="160"/>
        <v>n/a</v>
      </c>
      <c r="Y658" s="16">
        <f t="shared" si="161"/>
        <v>0.58668521323377543</v>
      </c>
      <c r="Z658" s="16">
        <f t="shared" si="162"/>
        <v>0.15445985612028304</v>
      </c>
      <c r="AA658" s="16">
        <f t="shared" si="163"/>
        <v>0.25885493064594151</v>
      </c>
      <c r="AB658" s="16" t="e">
        <f t="shared" si="164"/>
        <v>#VALUE!</v>
      </c>
      <c r="AC658" s="18" t="e">
        <f t="shared" si="165"/>
        <v>#VALUE!</v>
      </c>
      <c r="AD658" s="16">
        <f t="shared" si="166"/>
        <v>0.79114825297485547</v>
      </c>
      <c r="AE658" s="16">
        <f t="shared" si="167"/>
        <v>5.4837650643030332E-2</v>
      </c>
      <c r="AF658" s="16">
        <f t="shared" si="168"/>
        <v>0.15401409638211414</v>
      </c>
      <c r="AG658" s="16" t="e">
        <f t="shared" si="169"/>
        <v>#VALUE!</v>
      </c>
      <c r="AH658" s="16" t="e">
        <f t="shared" si="170"/>
        <v>#VALUE!</v>
      </c>
    </row>
    <row r="659" spans="1:34" x14ac:dyDescent="0.25">
      <c r="A659" s="12">
        <v>93554</v>
      </c>
      <c r="B659" s="13">
        <v>44.50949</v>
      </c>
      <c r="C659" s="12">
        <v>89.496700000000004</v>
      </c>
      <c r="D659" s="14">
        <v>0</v>
      </c>
      <c r="T659" s="5">
        <f t="shared" si="156"/>
        <v>32702209.675843842</v>
      </c>
      <c r="U659" s="5">
        <f t="shared" si="157"/>
        <v>32702209.675843842</v>
      </c>
      <c r="V659" s="5" t="str">
        <f t="shared" si="158"/>
        <v>n/a</v>
      </c>
      <c r="W659" s="5" t="str">
        <f t="shared" si="159"/>
        <v>n/a</v>
      </c>
      <c r="X659" s="6" t="str">
        <f t="shared" si="160"/>
        <v>n/a</v>
      </c>
      <c r="Y659" s="16" t="str">
        <f t="shared" si="161"/>
        <v>error</v>
      </c>
      <c r="Z659" s="16" t="str">
        <f t="shared" si="162"/>
        <v>error</v>
      </c>
      <c r="AA659" s="16" t="str">
        <f t="shared" si="163"/>
        <v>error</v>
      </c>
      <c r="AB659" s="16" t="str">
        <f t="shared" si="164"/>
        <v>error</v>
      </c>
      <c r="AC659" s="18" t="str">
        <f t="shared" si="165"/>
        <v>error</v>
      </c>
      <c r="AD659" s="16" t="str">
        <f t="shared" si="166"/>
        <v>error</v>
      </c>
      <c r="AE659" s="16" t="str">
        <f t="shared" si="167"/>
        <v>error</v>
      </c>
      <c r="AF659" s="16" t="str">
        <f t="shared" si="168"/>
        <v>error</v>
      </c>
      <c r="AG659" s="16" t="str">
        <f t="shared" si="169"/>
        <v>error</v>
      </c>
      <c r="AH659" s="16" t="str">
        <f t="shared" si="170"/>
        <v>error</v>
      </c>
    </row>
    <row r="660" spans="1:34" x14ac:dyDescent="0.25">
      <c r="A660" s="12">
        <v>93808</v>
      </c>
      <c r="B660" s="13">
        <v>44.436160000000001</v>
      </c>
      <c r="C660" s="12">
        <v>89.503159999999994</v>
      </c>
      <c r="D660" s="14">
        <v>0</v>
      </c>
      <c r="T660" s="5">
        <f t="shared" si="156"/>
        <v>32703727.763579261</v>
      </c>
      <c r="U660" s="5">
        <f t="shared" si="157"/>
        <v>32703727.763579261</v>
      </c>
      <c r="V660" s="5" t="str">
        <f t="shared" si="158"/>
        <v>n/a</v>
      </c>
      <c r="W660" s="5" t="str">
        <f t="shared" si="159"/>
        <v>n/a</v>
      </c>
      <c r="X660" s="6" t="str">
        <f t="shared" si="160"/>
        <v>n/a</v>
      </c>
      <c r="Y660" s="16" t="str">
        <f t="shared" si="161"/>
        <v>error</v>
      </c>
      <c r="Z660" s="16" t="str">
        <f t="shared" si="162"/>
        <v>error</v>
      </c>
      <c r="AA660" s="16" t="str">
        <f t="shared" si="163"/>
        <v>error</v>
      </c>
      <c r="AB660" s="16" t="str">
        <f t="shared" si="164"/>
        <v>error</v>
      </c>
      <c r="AC660" s="18" t="str">
        <f t="shared" si="165"/>
        <v>error</v>
      </c>
      <c r="AD660" s="16" t="str">
        <f t="shared" si="166"/>
        <v>error</v>
      </c>
      <c r="AE660" s="16" t="str">
        <f t="shared" si="167"/>
        <v>error</v>
      </c>
      <c r="AF660" s="16" t="str">
        <f t="shared" si="168"/>
        <v>error</v>
      </c>
      <c r="AG660" s="16" t="str">
        <f t="shared" si="169"/>
        <v>error</v>
      </c>
      <c r="AH660" s="16" t="str">
        <f t="shared" si="170"/>
        <v>error</v>
      </c>
    </row>
    <row r="661" spans="1:34" x14ac:dyDescent="0.25">
      <c r="A661" s="12">
        <v>93832</v>
      </c>
      <c r="B661" s="13">
        <v>44.464700000000001</v>
      </c>
      <c r="C661" s="12">
        <v>89.297700000000006</v>
      </c>
      <c r="D661" s="14">
        <v>3</v>
      </c>
      <c r="E661" s="13" t="s">
        <v>42</v>
      </c>
      <c r="F661" s="13">
        <v>44.472119999999997</v>
      </c>
      <c r="G661" s="12">
        <v>89.482460000000003</v>
      </c>
      <c r="H661" s="13" t="s">
        <v>41</v>
      </c>
      <c r="I661" s="13">
        <v>44.453830000000004</v>
      </c>
      <c r="J661" s="12">
        <v>89.282889999999995</v>
      </c>
      <c r="K661" s="13" t="s">
        <v>43</v>
      </c>
      <c r="L661" s="13">
        <v>44.43627</v>
      </c>
      <c r="M661" s="12">
        <v>89.307379999999995</v>
      </c>
      <c r="T661" s="5">
        <f t="shared" si="156"/>
        <v>48177.216142360347</v>
      </c>
      <c r="U661" s="5">
        <f t="shared" si="157"/>
        <v>5531.3942593699239</v>
      </c>
      <c r="V661" s="5">
        <f t="shared" si="158"/>
        <v>10673.592742335148</v>
      </c>
      <c r="W661" s="5" t="str">
        <f t="shared" si="159"/>
        <v>n/a</v>
      </c>
      <c r="X661" s="6" t="str">
        <f t="shared" si="160"/>
        <v>n/a</v>
      </c>
      <c r="Y661" s="16">
        <f t="shared" si="161"/>
        <v>7.0306375162807341E-2</v>
      </c>
      <c r="Z661" s="16">
        <f t="shared" si="162"/>
        <v>0.6123529210861699</v>
      </c>
      <c r="AA661" s="16">
        <f t="shared" si="163"/>
        <v>0.31734070375102275</v>
      </c>
      <c r="AB661" s="16" t="e">
        <f t="shared" si="164"/>
        <v>#VALUE!</v>
      </c>
      <c r="AC661" s="18" t="e">
        <f t="shared" si="165"/>
        <v>#VALUE!</v>
      </c>
      <c r="AD661" s="16">
        <f t="shared" si="166"/>
        <v>1.0284513971621169E-2</v>
      </c>
      <c r="AE661" s="16">
        <f t="shared" si="167"/>
        <v>0.78018562787005452</v>
      </c>
      <c r="AF661" s="16">
        <f t="shared" si="168"/>
        <v>0.20952985815832426</v>
      </c>
      <c r="AG661" s="16" t="e">
        <f t="shared" si="169"/>
        <v>#VALUE!</v>
      </c>
      <c r="AH661" s="16" t="e">
        <f t="shared" si="170"/>
        <v>#VALUE!</v>
      </c>
    </row>
    <row r="662" spans="1:34" x14ac:dyDescent="0.25">
      <c r="A662" s="12">
        <v>93835</v>
      </c>
      <c r="B662" s="13">
        <v>44.443080000000002</v>
      </c>
      <c r="C662" s="12">
        <v>89.523619999999994</v>
      </c>
      <c r="D662" s="14">
        <v>0</v>
      </c>
      <c r="T662" s="5">
        <f t="shared" si="156"/>
        <v>32709071.941923104</v>
      </c>
      <c r="U662" s="5">
        <f t="shared" si="157"/>
        <v>32709071.941923104</v>
      </c>
      <c r="V662" s="5" t="str">
        <f t="shared" si="158"/>
        <v>n/a</v>
      </c>
      <c r="W662" s="5" t="str">
        <f t="shared" si="159"/>
        <v>n/a</v>
      </c>
      <c r="X662" s="6" t="str">
        <f t="shared" si="160"/>
        <v>n/a</v>
      </c>
      <c r="Y662" s="16" t="str">
        <f t="shared" si="161"/>
        <v>error</v>
      </c>
      <c r="Z662" s="16" t="str">
        <f t="shared" si="162"/>
        <v>error</v>
      </c>
      <c r="AA662" s="16" t="str">
        <f t="shared" si="163"/>
        <v>error</v>
      </c>
      <c r="AB662" s="16" t="str">
        <f t="shared" si="164"/>
        <v>error</v>
      </c>
      <c r="AC662" s="18" t="str">
        <f t="shared" si="165"/>
        <v>error</v>
      </c>
      <c r="AD662" s="16" t="str">
        <f t="shared" si="166"/>
        <v>error</v>
      </c>
      <c r="AE662" s="16" t="str">
        <f t="shared" si="167"/>
        <v>error</v>
      </c>
      <c r="AF662" s="16" t="str">
        <f t="shared" si="168"/>
        <v>error</v>
      </c>
      <c r="AG662" s="16" t="str">
        <f t="shared" si="169"/>
        <v>error</v>
      </c>
      <c r="AH662" s="16" t="str">
        <f t="shared" si="170"/>
        <v>error</v>
      </c>
    </row>
    <row r="663" spans="1:34" x14ac:dyDescent="0.25">
      <c r="A663" s="12">
        <v>94301</v>
      </c>
      <c r="B663" s="13">
        <v>44.392000000000003</v>
      </c>
      <c r="C663" s="12">
        <v>89.6828</v>
      </c>
      <c r="D663" s="14">
        <v>0</v>
      </c>
      <c r="T663" s="5">
        <f t="shared" si="156"/>
        <v>32750458.75067699</v>
      </c>
      <c r="U663" s="5">
        <f t="shared" si="157"/>
        <v>32750458.75067699</v>
      </c>
      <c r="V663" s="5" t="str">
        <f t="shared" si="158"/>
        <v>n/a</v>
      </c>
      <c r="W663" s="5" t="str">
        <f t="shared" si="159"/>
        <v>n/a</v>
      </c>
      <c r="X663" s="6" t="str">
        <f t="shared" si="160"/>
        <v>n/a</v>
      </c>
      <c r="Y663" s="16" t="str">
        <f t="shared" si="161"/>
        <v>error</v>
      </c>
      <c r="Z663" s="16" t="str">
        <f t="shared" si="162"/>
        <v>error</v>
      </c>
      <c r="AA663" s="16" t="str">
        <f t="shared" si="163"/>
        <v>error</v>
      </c>
      <c r="AB663" s="16" t="str">
        <f t="shared" si="164"/>
        <v>error</v>
      </c>
      <c r="AC663" s="18" t="str">
        <f t="shared" si="165"/>
        <v>error</v>
      </c>
      <c r="AD663" s="16" t="str">
        <f t="shared" si="166"/>
        <v>error</v>
      </c>
      <c r="AE663" s="16" t="str">
        <f t="shared" si="167"/>
        <v>error</v>
      </c>
      <c r="AF663" s="16" t="str">
        <f t="shared" si="168"/>
        <v>error</v>
      </c>
      <c r="AG663" s="16" t="str">
        <f t="shared" si="169"/>
        <v>error</v>
      </c>
      <c r="AH663" s="16" t="str">
        <f t="shared" si="170"/>
        <v>error</v>
      </c>
    </row>
    <row r="664" spans="1:34" x14ac:dyDescent="0.25">
      <c r="A664" s="12">
        <v>94302</v>
      </c>
      <c r="B664" s="13">
        <v>44.497599999999998</v>
      </c>
      <c r="C664" s="12">
        <v>89.483500000000006</v>
      </c>
      <c r="D664" s="14">
        <v>2</v>
      </c>
      <c r="E664" s="13" t="s">
        <v>42</v>
      </c>
      <c r="F664" s="13">
        <v>44.482489999999999</v>
      </c>
      <c r="G664" s="12">
        <v>89.479849999999999</v>
      </c>
      <c r="H664" s="13" t="s">
        <v>39</v>
      </c>
      <c r="I664" s="13">
        <v>44.50752</v>
      </c>
      <c r="J664" s="12">
        <v>89.539339999999996</v>
      </c>
      <c r="T664" s="5">
        <f t="shared" si="156"/>
        <v>5593.567202136509</v>
      </c>
      <c r="U664" s="5">
        <f t="shared" si="157"/>
        <v>14973.015090877117</v>
      </c>
      <c r="V664" s="5" t="str">
        <f t="shared" si="158"/>
        <v>n/a</v>
      </c>
      <c r="W664" s="5" t="str">
        <f t="shared" si="159"/>
        <v>n/a</v>
      </c>
      <c r="X664" s="6" t="str">
        <f t="shared" si="160"/>
        <v>n/a</v>
      </c>
      <c r="Y664" s="16">
        <f t="shared" si="161"/>
        <v>0.72802641088127606</v>
      </c>
      <c r="Z664" s="16">
        <f t="shared" si="162"/>
        <v>0.27197358911872382</v>
      </c>
      <c r="AA664" s="16" t="e">
        <f t="shared" si="163"/>
        <v>#VALUE!</v>
      </c>
      <c r="AB664" s="16" t="e">
        <f t="shared" si="164"/>
        <v>#VALUE!</v>
      </c>
      <c r="AC664" s="18" t="e">
        <f t="shared" si="165"/>
        <v>#VALUE!</v>
      </c>
      <c r="AD664" s="16">
        <f t="shared" si="166"/>
        <v>0.8775321156796807</v>
      </c>
      <c r="AE664" s="16">
        <f t="shared" si="167"/>
        <v>0.1224678843203192</v>
      </c>
      <c r="AF664" s="16" t="e">
        <f t="shared" si="168"/>
        <v>#VALUE!</v>
      </c>
      <c r="AG664" s="16" t="e">
        <f t="shared" si="169"/>
        <v>#VALUE!</v>
      </c>
      <c r="AH664" s="16" t="e">
        <f t="shared" si="170"/>
        <v>#VALUE!</v>
      </c>
    </row>
    <row r="665" spans="1:34" x14ac:dyDescent="0.25">
      <c r="A665" s="12">
        <v>94358</v>
      </c>
      <c r="B665" s="13">
        <v>44.42454</v>
      </c>
      <c r="C665" s="12">
        <v>89.683179999999993</v>
      </c>
      <c r="D665" s="14">
        <v>0</v>
      </c>
      <c r="T665" s="5">
        <f t="shared" si="156"/>
        <v>32750603.743739545</v>
      </c>
      <c r="U665" s="5">
        <f t="shared" si="157"/>
        <v>32750603.743739545</v>
      </c>
      <c r="V665" s="5" t="str">
        <f t="shared" si="158"/>
        <v>n/a</v>
      </c>
      <c r="W665" s="5" t="str">
        <f t="shared" si="159"/>
        <v>n/a</v>
      </c>
      <c r="X665" s="6" t="str">
        <f t="shared" si="160"/>
        <v>n/a</v>
      </c>
      <c r="Y665" s="16" t="str">
        <f t="shared" si="161"/>
        <v>error</v>
      </c>
      <c r="Z665" s="16" t="str">
        <f t="shared" si="162"/>
        <v>error</v>
      </c>
      <c r="AA665" s="16" t="str">
        <f t="shared" si="163"/>
        <v>error</v>
      </c>
      <c r="AB665" s="16" t="str">
        <f t="shared" si="164"/>
        <v>error</v>
      </c>
      <c r="AC665" s="18" t="str">
        <f t="shared" si="165"/>
        <v>error</v>
      </c>
      <c r="AD665" s="16" t="str">
        <f t="shared" si="166"/>
        <v>error</v>
      </c>
      <c r="AE665" s="16" t="str">
        <f t="shared" si="167"/>
        <v>error</v>
      </c>
      <c r="AF665" s="16" t="str">
        <f t="shared" si="168"/>
        <v>error</v>
      </c>
      <c r="AG665" s="16" t="str">
        <f t="shared" si="169"/>
        <v>error</v>
      </c>
      <c r="AH665" s="16" t="str">
        <f t="shared" si="170"/>
        <v>error</v>
      </c>
    </row>
    <row r="666" spans="1:34" x14ac:dyDescent="0.25">
      <c r="A666" s="12">
        <v>94510</v>
      </c>
      <c r="B666" s="13">
        <v>44.3994</v>
      </c>
      <c r="C666" s="12">
        <v>89.543999999999997</v>
      </c>
      <c r="D666" s="14">
        <v>0</v>
      </c>
      <c r="T666" s="5">
        <f t="shared" si="156"/>
        <v>32714291.197573252</v>
      </c>
      <c r="U666" s="5">
        <f t="shared" si="157"/>
        <v>32714291.197573252</v>
      </c>
      <c r="V666" s="5" t="str">
        <f t="shared" si="158"/>
        <v>n/a</v>
      </c>
      <c r="W666" s="5" t="str">
        <f t="shared" si="159"/>
        <v>n/a</v>
      </c>
      <c r="X666" s="6" t="str">
        <f t="shared" si="160"/>
        <v>n/a</v>
      </c>
      <c r="Y666" s="16" t="str">
        <f t="shared" si="161"/>
        <v>error</v>
      </c>
      <c r="Z666" s="16" t="str">
        <f t="shared" si="162"/>
        <v>error</v>
      </c>
      <c r="AA666" s="16" t="str">
        <f t="shared" si="163"/>
        <v>error</v>
      </c>
      <c r="AB666" s="16" t="str">
        <f t="shared" si="164"/>
        <v>error</v>
      </c>
      <c r="AC666" s="18" t="str">
        <f t="shared" si="165"/>
        <v>error</v>
      </c>
      <c r="AD666" s="16" t="str">
        <f t="shared" si="166"/>
        <v>error</v>
      </c>
      <c r="AE666" s="16" t="str">
        <f t="shared" si="167"/>
        <v>error</v>
      </c>
      <c r="AF666" s="16" t="str">
        <f t="shared" si="168"/>
        <v>error</v>
      </c>
      <c r="AG666" s="16" t="str">
        <f t="shared" si="169"/>
        <v>error</v>
      </c>
      <c r="AH666" s="16" t="str">
        <f t="shared" si="170"/>
        <v>error</v>
      </c>
    </row>
    <row r="667" spans="1:34" x14ac:dyDescent="0.25">
      <c r="A667" s="12">
        <v>94514</v>
      </c>
      <c r="B667" s="13">
        <v>44.388285000000003</v>
      </c>
      <c r="C667" s="12">
        <v>89.679829999999995</v>
      </c>
      <c r="D667" s="14">
        <v>0</v>
      </c>
      <c r="T667" s="5">
        <f t="shared" si="156"/>
        <v>32749679.22606324</v>
      </c>
      <c r="U667" s="5">
        <f t="shared" si="157"/>
        <v>32749679.22606324</v>
      </c>
      <c r="V667" s="5" t="str">
        <f t="shared" si="158"/>
        <v>n/a</v>
      </c>
      <c r="W667" s="5" t="str">
        <f t="shared" si="159"/>
        <v>n/a</v>
      </c>
      <c r="X667" s="6" t="str">
        <f t="shared" si="160"/>
        <v>n/a</v>
      </c>
      <c r="Y667" s="16" t="str">
        <f t="shared" si="161"/>
        <v>error</v>
      </c>
      <c r="Z667" s="16" t="str">
        <f t="shared" si="162"/>
        <v>error</v>
      </c>
      <c r="AA667" s="16" t="str">
        <f t="shared" si="163"/>
        <v>error</v>
      </c>
      <c r="AB667" s="16" t="str">
        <f t="shared" si="164"/>
        <v>error</v>
      </c>
      <c r="AC667" s="18" t="str">
        <f t="shared" si="165"/>
        <v>error</v>
      </c>
      <c r="AD667" s="16" t="str">
        <f t="shared" si="166"/>
        <v>error</v>
      </c>
      <c r="AE667" s="16" t="str">
        <f t="shared" si="167"/>
        <v>error</v>
      </c>
      <c r="AF667" s="16" t="str">
        <f t="shared" si="168"/>
        <v>error</v>
      </c>
      <c r="AG667" s="16" t="str">
        <f t="shared" si="169"/>
        <v>error</v>
      </c>
      <c r="AH667" s="16" t="str">
        <f t="shared" si="170"/>
        <v>error</v>
      </c>
    </row>
    <row r="668" spans="1:34" x14ac:dyDescent="0.25">
      <c r="A668" s="12">
        <v>94806</v>
      </c>
      <c r="B668" s="13">
        <v>44.41854</v>
      </c>
      <c r="C668" s="12">
        <v>89.60915</v>
      </c>
      <c r="D668" s="14">
        <v>0</v>
      </c>
      <c r="T668" s="5">
        <f t="shared" si="156"/>
        <v>32731305.741817363</v>
      </c>
      <c r="U668" s="5">
        <f t="shared" si="157"/>
        <v>32731305.741817363</v>
      </c>
      <c r="V668" s="5" t="str">
        <f t="shared" si="158"/>
        <v>n/a</v>
      </c>
      <c r="W668" s="5" t="str">
        <f t="shared" si="159"/>
        <v>n/a</v>
      </c>
      <c r="X668" s="6" t="str">
        <f t="shared" si="160"/>
        <v>n/a</v>
      </c>
      <c r="Y668" s="16" t="str">
        <f t="shared" si="161"/>
        <v>error</v>
      </c>
      <c r="Z668" s="16" t="str">
        <f t="shared" si="162"/>
        <v>error</v>
      </c>
      <c r="AA668" s="16" t="str">
        <f t="shared" si="163"/>
        <v>error</v>
      </c>
      <c r="AB668" s="16" t="str">
        <f t="shared" si="164"/>
        <v>error</v>
      </c>
      <c r="AC668" s="18" t="str">
        <f t="shared" si="165"/>
        <v>error</v>
      </c>
      <c r="AD668" s="16" t="str">
        <f t="shared" si="166"/>
        <v>error</v>
      </c>
      <c r="AE668" s="16" t="str">
        <f t="shared" si="167"/>
        <v>error</v>
      </c>
      <c r="AF668" s="16" t="str">
        <f t="shared" si="168"/>
        <v>error</v>
      </c>
      <c r="AG668" s="16" t="str">
        <f t="shared" si="169"/>
        <v>error</v>
      </c>
      <c r="AH668" s="16" t="str">
        <f t="shared" si="170"/>
        <v>error</v>
      </c>
    </row>
    <row r="669" spans="1:34" x14ac:dyDescent="0.25">
      <c r="A669" s="12">
        <v>94808</v>
      </c>
      <c r="B669" s="13">
        <v>44.418230000000001</v>
      </c>
      <c r="C669" s="12">
        <v>89.608090000000004</v>
      </c>
      <c r="D669" s="14">
        <v>0</v>
      </c>
      <c r="T669" s="5">
        <f t="shared" si="156"/>
        <v>32731029.003455974</v>
      </c>
      <c r="U669" s="5">
        <f t="shared" si="157"/>
        <v>32731029.003455974</v>
      </c>
      <c r="V669" s="5" t="str">
        <f t="shared" si="158"/>
        <v>n/a</v>
      </c>
      <c r="W669" s="5" t="str">
        <f t="shared" si="159"/>
        <v>n/a</v>
      </c>
      <c r="X669" s="6" t="str">
        <f t="shared" si="160"/>
        <v>n/a</v>
      </c>
      <c r="Y669" s="16" t="str">
        <f t="shared" si="161"/>
        <v>error</v>
      </c>
      <c r="Z669" s="16" t="str">
        <f t="shared" si="162"/>
        <v>error</v>
      </c>
      <c r="AA669" s="16" t="str">
        <f t="shared" si="163"/>
        <v>error</v>
      </c>
      <c r="AB669" s="16" t="str">
        <f t="shared" si="164"/>
        <v>error</v>
      </c>
      <c r="AC669" s="18" t="str">
        <f t="shared" si="165"/>
        <v>error</v>
      </c>
      <c r="AD669" s="16" t="str">
        <f t="shared" si="166"/>
        <v>error</v>
      </c>
      <c r="AE669" s="16" t="str">
        <f t="shared" si="167"/>
        <v>error</v>
      </c>
      <c r="AF669" s="16" t="str">
        <f t="shared" si="168"/>
        <v>error</v>
      </c>
      <c r="AG669" s="16" t="str">
        <f t="shared" si="169"/>
        <v>error</v>
      </c>
      <c r="AH669" s="16" t="str">
        <f t="shared" si="170"/>
        <v>error</v>
      </c>
    </row>
    <row r="670" spans="1:34" x14ac:dyDescent="0.25">
      <c r="A670" s="12">
        <v>94809</v>
      </c>
      <c r="B670" s="13">
        <v>44.421100000000003</v>
      </c>
      <c r="C670" s="12">
        <v>89.5946</v>
      </c>
      <c r="D670" s="14">
        <v>0</v>
      </c>
      <c r="T670" s="5">
        <f t="shared" si="156"/>
        <v>32727519.174405687</v>
      </c>
      <c r="U670" s="5">
        <f t="shared" si="157"/>
        <v>32727519.174405687</v>
      </c>
      <c r="V670" s="5" t="str">
        <f t="shared" si="158"/>
        <v>n/a</v>
      </c>
      <c r="W670" s="5" t="str">
        <f t="shared" si="159"/>
        <v>n/a</v>
      </c>
      <c r="X670" s="6" t="str">
        <f t="shared" si="160"/>
        <v>n/a</v>
      </c>
      <c r="Y670" s="16" t="str">
        <f t="shared" si="161"/>
        <v>error</v>
      </c>
      <c r="Z670" s="16" t="str">
        <f t="shared" si="162"/>
        <v>error</v>
      </c>
      <c r="AA670" s="16" t="str">
        <f t="shared" si="163"/>
        <v>error</v>
      </c>
      <c r="AB670" s="16" t="str">
        <f t="shared" si="164"/>
        <v>error</v>
      </c>
      <c r="AC670" s="18" t="str">
        <f t="shared" si="165"/>
        <v>error</v>
      </c>
      <c r="AD670" s="16" t="str">
        <f t="shared" si="166"/>
        <v>error</v>
      </c>
      <c r="AE670" s="16" t="str">
        <f t="shared" si="167"/>
        <v>error</v>
      </c>
      <c r="AF670" s="16" t="str">
        <f t="shared" si="168"/>
        <v>error</v>
      </c>
      <c r="AG670" s="16" t="str">
        <f t="shared" si="169"/>
        <v>error</v>
      </c>
      <c r="AH670" s="16" t="str">
        <f t="shared" si="170"/>
        <v>error</v>
      </c>
    </row>
    <row r="671" spans="1:34" x14ac:dyDescent="0.25">
      <c r="A671" s="12">
        <v>94810</v>
      </c>
      <c r="B671" s="13">
        <v>44.3919</v>
      </c>
      <c r="C671" s="12">
        <v>89.692599999999999</v>
      </c>
      <c r="D671" s="14">
        <v>0</v>
      </c>
      <c r="T671" s="5">
        <f t="shared" si="156"/>
        <v>32753013.302109312</v>
      </c>
      <c r="U671" s="5">
        <f t="shared" si="157"/>
        <v>32753013.302109312</v>
      </c>
      <c r="V671" s="5" t="str">
        <f t="shared" si="158"/>
        <v>n/a</v>
      </c>
      <c r="W671" s="5" t="str">
        <f t="shared" si="159"/>
        <v>n/a</v>
      </c>
      <c r="X671" s="6" t="str">
        <f t="shared" si="160"/>
        <v>n/a</v>
      </c>
      <c r="Y671" s="16" t="str">
        <f t="shared" si="161"/>
        <v>error</v>
      </c>
      <c r="Z671" s="16" t="str">
        <f t="shared" si="162"/>
        <v>error</v>
      </c>
      <c r="AA671" s="16" t="str">
        <f t="shared" si="163"/>
        <v>error</v>
      </c>
      <c r="AB671" s="16" t="str">
        <f t="shared" si="164"/>
        <v>error</v>
      </c>
      <c r="AC671" s="18" t="str">
        <f t="shared" si="165"/>
        <v>error</v>
      </c>
      <c r="AD671" s="16" t="str">
        <f t="shared" si="166"/>
        <v>error</v>
      </c>
      <c r="AE671" s="16" t="str">
        <f t="shared" si="167"/>
        <v>error</v>
      </c>
      <c r="AF671" s="16" t="str">
        <f t="shared" si="168"/>
        <v>error</v>
      </c>
      <c r="AG671" s="16" t="str">
        <f t="shared" si="169"/>
        <v>error</v>
      </c>
      <c r="AH671" s="16" t="str">
        <f t="shared" si="170"/>
        <v>error</v>
      </c>
    </row>
    <row r="672" spans="1:34" x14ac:dyDescent="0.25">
      <c r="A672" s="12">
        <v>94909</v>
      </c>
      <c r="B672" s="13">
        <v>44.413800000000002</v>
      </c>
      <c r="C672" s="12">
        <v>89.600899999999996</v>
      </c>
      <c r="D672" s="14">
        <v>0</v>
      </c>
      <c r="T672" s="5">
        <f t="shared" si="156"/>
        <v>32729147.666288249</v>
      </c>
      <c r="U672" s="5">
        <f t="shared" si="157"/>
        <v>32729147.666288249</v>
      </c>
      <c r="V672" s="5" t="str">
        <f t="shared" si="158"/>
        <v>n/a</v>
      </c>
      <c r="W672" s="5" t="str">
        <f t="shared" si="159"/>
        <v>n/a</v>
      </c>
      <c r="X672" s="6" t="str">
        <f t="shared" si="160"/>
        <v>n/a</v>
      </c>
      <c r="Y672" s="16" t="str">
        <f t="shared" si="161"/>
        <v>error</v>
      </c>
      <c r="Z672" s="16" t="str">
        <f t="shared" si="162"/>
        <v>error</v>
      </c>
      <c r="AA672" s="16" t="str">
        <f t="shared" si="163"/>
        <v>error</v>
      </c>
      <c r="AB672" s="16" t="str">
        <f t="shared" si="164"/>
        <v>error</v>
      </c>
      <c r="AC672" s="18" t="str">
        <f t="shared" si="165"/>
        <v>error</v>
      </c>
      <c r="AD672" s="16" t="str">
        <f t="shared" si="166"/>
        <v>error</v>
      </c>
      <c r="AE672" s="16" t="str">
        <f t="shared" si="167"/>
        <v>error</v>
      </c>
      <c r="AF672" s="16" t="str">
        <f t="shared" si="168"/>
        <v>error</v>
      </c>
      <c r="AG672" s="16" t="str">
        <f t="shared" si="169"/>
        <v>error</v>
      </c>
      <c r="AH672" s="16" t="str">
        <f t="shared" si="170"/>
        <v>error</v>
      </c>
    </row>
    <row r="673" spans="1:34" x14ac:dyDescent="0.25">
      <c r="A673" s="12">
        <v>94910</v>
      </c>
      <c r="B673" s="13">
        <v>44.406599999999997</v>
      </c>
      <c r="C673" s="12">
        <v>89.584800000000001</v>
      </c>
      <c r="D673" s="14">
        <v>0</v>
      </c>
      <c r="T673" s="5">
        <f t="shared" si="156"/>
        <v>32724938.943210535</v>
      </c>
      <c r="U673" s="5">
        <f t="shared" si="157"/>
        <v>32724938.943210535</v>
      </c>
      <c r="V673" s="5" t="str">
        <f t="shared" si="158"/>
        <v>n/a</v>
      </c>
      <c r="W673" s="5" t="str">
        <f t="shared" si="159"/>
        <v>n/a</v>
      </c>
      <c r="X673" s="6" t="str">
        <f t="shared" si="160"/>
        <v>n/a</v>
      </c>
      <c r="Y673" s="16" t="str">
        <f t="shared" si="161"/>
        <v>error</v>
      </c>
      <c r="Z673" s="16" t="str">
        <f t="shared" si="162"/>
        <v>error</v>
      </c>
      <c r="AA673" s="16" t="str">
        <f t="shared" si="163"/>
        <v>error</v>
      </c>
      <c r="AB673" s="16" t="str">
        <f t="shared" si="164"/>
        <v>error</v>
      </c>
      <c r="AC673" s="18" t="str">
        <f t="shared" si="165"/>
        <v>error</v>
      </c>
      <c r="AD673" s="16" t="str">
        <f t="shared" si="166"/>
        <v>error</v>
      </c>
      <c r="AE673" s="16" t="str">
        <f t="shared" si="167"/>
        <v>error</v>
      </c>
      <c r="AF673" s="16" t="str">
        <f t="shared" si="168"/>
        <v>error</v>
      </c>
      <c r="AG673" s="16" t="str">
        <f t="shared" si="169"/>
        <v>error</v>
      </c>
      <c r="AH673" s="16" t="str">
        <f t="shared" si="170"/>
        <v>error</v>
      </c>
    </row>
    <row r="674" spans="1:34" x14ac:dyDescent="0.25">
      <c r="A674" s="12">
        <v>94911</v>
      </c>
      <c r="B674" s="13">
        <v>44.437800000000003</v>
      </c>
      <c r="C674" s="12">
        <v>89.662999999999997</v>
      </c>
      <c r="D674" s="14">
        <v>0</v>
      </c>
      <c r="T674" s="5">
        <f t="shared" si="156"/>
        <v>32745366.018951699</v>
      </c>
      <c r="U674" s="5">
        <f t="shared" si="157"/>
        <v>32745366.018951699</v>
      </c>
      <c r="V674" s="5" t="str">
        <f t="shared" si="158"/>
        <v>n/a</v>
      </c>
      <c r="W674" s="5" t="str">
        <f t="shared" si="159"/>
        <v>n/a</v>
      </c>
      <c r="X674" s="6" t="str">
        <f t="shared" si="160"/>
        <v>n/a</v>
      </c>
      <c r="Y674" s="16" t="str">
        <f t="shared" si="161"/>
        <v>error</v>
      </c>
      <c r="Z674" s="16" t="str">
        <f t="shared" si="162"/>
        <v>error</v>
      </c>
      <c r="AA674" s="16" t="str">
        <f t="shared" si="163"/>
        <v>error</v>
      </c>
      <c r="AB674" s="16" t="str">
        <f t="shared" si="164"/>
        <v>error</v>
      </c>
      <c r="AC674" s="18" t="str">
        <f t="shared" si="165"/>
        <v>error</v>
      </c>
      <c r="AD674" s="16" t="str">
        <f t="shared" si="166"/>
        <v>error</v>
      </c>
      <c r="AE674" s="16" t="str">
        <f t="shared" si="167"/>
        <v>error</v>
      </c>
      <c r="AF674" s="16" t="str">
        <f t="shared" si="168"/>
        <v>error</v>
      </c>
      <c r="AG674" s="16" t="str">
        <f t="shared" si="169"/>
        <v>error</v>
      </c>
      <c r="AH674" s="16" t="str">
        <f t="shared" si="170"/>
        <v>error</v>
      </c>
    </row>
    <row r="675" spans="1:34" x14ac:dyDescent="0.25">
      <c r="A675" s="12">
        <v>94958</v>
      </c>
      <c r="B675" s="13">
        <v>44.428899999999999</v>
      </c>
      <c r="C675" s="12">
        <v>89.611800000000002</v>
      </c>
      <c r="D675" s="14">
        <v>0</v>
      </c>
      <c r="T675" s="5">
        <f t="shared" si="156"/>
        <v>32732014.158351257</v>
      </c>
      <c r="U675" s="5">
        <f t="shared" si="157"/>
        <v>32732014.158351257</v>
      </c>
      <c r="V675" s="5" t="str">
        <f t="shared" si="158"/>
        <v>n/a</v>
      </c>
      <c r="W675" s="5" t="str">
        <f t="shared" si="159"/>
        <v>n/a</v>
      </c>
      <c r="X675" s="6" t="str">
        <f t="shared" si="160"/>
        <v>n/a</v>
      </c>
      <c r="Y675" s="16" t="str">
        <f t="shared" si="161"/>
        <v>error</v>
      </c>
      <c r="Z675" s="16" t="str">
        <f t="shared" si="162"/>
        <v>error</v>
      </c>
      <c r="AA675" s="16" t="str">
        <f t="shared" si="163"/>
        <v>error</v>
      </c>
      <c r="AB675" s="16" t="str">
        <f t="shared" si="164"/>
        <v>error</v>
      </c>
      <c r="AC675" s="18" t="str">
        <f t="shared" si="165"/>
        <v>error</v>
      </c>
      <c r="AD675" s="16" t="str">
        <f t="shared" si="166"/>
        <v>error</v>
      </c>
      <c r="AE675" s="16" t="str">
        <f t="shared" si="167"/>
        <v>error</v>
      </c>
      <c r="AF675" s="16" t="str">
        <f t="shared" si="168"/>
        <v>error</v>
      </c>
      <c r="AG675" s="16" t="str">
        <f t="shared" si="169"/>
        <v>error</v>
      </c>
      <c r="AH675" s="16" t="str">
        <f t="shared" si="170"/>
        <v>error</v>
      </c>
    </row>
    <row r="676" spans="1:34" x14ac:dyDescent="0.25">
      <c r="A676" s="12">
        <v>94973</v>
      </c>
      <c r="B676" s="13">
        <v>44.501800000000003</v>
      </c>
      <c r="C676" s="12">
        <v>89.498800000000003</v>
      </c>
      <c r="D676" s="14">
        <v>0</v>
      </c>
      <c r="T676" s="5">
        <f t="shared" ref="T676:T678" si="171">ACOS( SIN($B676*PI()/180)*SIN(F676*PI()/180) + COS($B676*PI()/180) *COS(F676*PI()/180) *COS(G676*PI()/180 - $C676*PI()/180))*20902230.97</f>
        <v>32702738.800026536</v>
      </c>
      <c r="U676" s="5">
        <f t="shared" ref="U676:U678" si="172">ACOS( SIN($B676*PI()/180)*SIN(I676*PI()/180) + COS($B676*PI()/180) *COS(I676*PI()/180) *COS(J676*PI()/180 - $C676*PI()/180))*20902230.97</f>
        <v>32702738.800026536</v>
      </c>
      <c r="V676" s="5" t="str">
        <f t="shared" ref="V676:V678" si="173">IF(D676&lt;3,"n/a",ACOS( SIN($B676*PI()/180)*SIN(L676*PI()/180) + COS($B676*PI()/180) *COS(L676*PI()/180) *COS(M676*PI()/180 - $C676*PI()/180))*20902230.97)</f>
        <v>n/a</v>
      </c>
      <c r="W676" s="5" t="str">
        <f t="shared" ref="W676:W678" si="174">IF(D676&lt;4,"n/a",ACOS( SIN($B676*PI()/180)*SIN(O676*PI()/180) + COS($B676*PI()/180) *COS(O676*PI()/180) *COS(P676*PI()/180 - $C676*PI()/180))*20902230.97)</f>
        <v>n/a</v>
      </c>
      <c r="X676" s="6" t="str">
        <f t="shared" ref="X676:X678" si="175">IF(D676&lt;5,"n/a", ACOS( SIN($B676*PI()/180)*SIN(R676*PI()/180) + COS($B676*PI()/180) *COS(R676*PI()/180) *COS(S676*PI()/180 - $C676*PI()/180))*20902230.97)</f>
        <v>n/a</v>
      </c>
      <c r="Y676" s="16" t="str">
        <f t="shared" ref="Y676:Y678" si="176">IF($D676=2,(1/T676)/((1/$T676)+(1/$U676)),IF($D676=3,(1/T676)/((1/$T676)+(1/$U676)+(1/$V676)),IF($D676=4,(1/T676)/((1/$T676)+(1/$U676)+(1/$V676)+(1/$W676)),IF($D676=5,(1/T676)/((1/$T676)+(1/$U676)+(1/$V676)+(1/$W676)+(1/$X676)),"error"))))</f>
        <v>error</v>
      </c>
      <c r="Z676" s="16" t="str">
        <f t="shared" ref="Z676:Z678" si="177">IF($D676=2,(1/U676)/((1/$T676)+(1/$U676)),IF($D676=3,(1/U676)/((1/$T676)+(1/$U676)+(1/$V676)),IF($D676=4,(1/U676)/((1/$T676)+(1/$U676)+(1/$V676)+(1/$W676)),IF($D676=5,(1/U676)/((1/$T676)+(1/$U676)+(1/$V676)+(1/$W676)+(1/$X676)),"error"))))</f>
        <v>error</v>
      </c>
      <c r="AA676" s="16" t="str">
        <f t="shared" ref="AA676:AA678" si="178">IF($D676=2,(1/V676)/((1/$T676)+(1/$U676)),IF($D676=3,(1/V676)/((1/$T676)+(1/$U676)+(1/$V676)),IF($D676=4,(1/V676)/((1/$T676)+(1/$U676)+(1/$V676)+(1/$W676)),IF($D676=5,(1/V676)/((1/$T676)+(1/$U676)+(1/$V676)+(1/$W676)+(1/$X676)),"error"))))</f>
        <v>error</v>
      </c>
      <c r="AB676" s="16" t="str">
        <f t="shared" ref="AB676:AB678" si="179">IF($D676=2,(1/W676)/((1/$T676)+(1/$U676)),IF($D676=3,(1/W676)/((1/$T676)+(1/$U676)+(1/$V676)),IF($D676=4,(1/W676)/((1/$T676)+(1/$U676)+(1/$V676)+(1/$W676)),IF($D676=5,(1/W676)/((1/$T676)+(1/$U676)+(1/$V676)+(1/$W676)+(1/$X676)),"error"))))</f>
        <v>error</v>
      </c>
      <c r="AC676" s="18" t="str">
        <f t="shared" ref="AC676:AC678" si="180">IF($D676=2,(1/X676)/((1/$T676)+(1/$U676)),IF($D676=3,(1/X676)/((1/$T676)+(1/$U676)+(1/$V676)),IF($D676=4,(1/X676)/((1/$T676)+(1/$U676)+(1/$V676)+(1/$W676)),IF($D676=5,(1/X676)/((1/$T676)+(1/$U676)+(1/$V676)+(1/$W676)+(1/$X676)),"error"))))</f>
        <v>error</v>
      </c>
      <c r="AD676" s="16" t="str">
        <f t="shared" ref="AD676:AD678" si="181">IF($D676=2,(1/T676^2)/((1/$T676^2)+(1/$U676^2)),IF($D676=3,(1/T676^2)/((1/$T676^2)+(1/$U676^2)+(1/$V676^2)),IF($D676=4,(1/T676^2)/((1/$T676^2)+(1/$U676^2)+(1/$V676^2)+(1/$W676^2)),IF($D676=5,(1/T676^2)/((1/$T676^2)+(1/$U676^2)+(1/$V676^2)+(1/$W676^2)+(1/$X676^2)),"error"))))</f>
        <v>error</v>
      </c>
      <c r="AE676" s="16" t="str">
        <f t="shared" ref="AE676:AE678" si="182">IF($D676=2,(1/U676^2)/((1/$T676^2)+(1/$U676^2)),IF($D676=3,(1/U676^2)/((1/$T676^2)+(1/$U676^2)+(1/$V676^2)),IF($D676=4,(1/U676^2)/((1/$T676^2)+(1/$U676^2)+(1/$V676^2)+(1/$W676^2)),IF($D676=5,(1/U676^2)/((1/$T676^2)+(1/$U676^2)+(1/$V676^2)+(1/$W676^2)+(1/$X676^2)),"error"))))</f>
        <v>error</v>
      </c>
      <c r="AF676" s="16" t="str">
        <f t="shared" ref="AF676:AF678" si="183">IF($D676=2,(1/V676^2)/((1/$T676^2)+(1/$U676^2)),IF($D676=3,(1/V676^2)/((1/$T676^2)+(1/$U676^2)+(1/$V676^2)),IF($D676=4,(1/V676^2)/((1/$T676^2)+(1/$U676^2)+(1/$V676^2)+(1/$W676^2)),IF($D676=5,(1/V676^2)/((1/$T676^2)+(1/$U676^2)+(1/$V676^2)+(1/$W676^2)+(1/$X676^2)),"error"))))</f>
        <v>error</v>
      </c>
      <c r="AG676" s="16" t="str">
        <f t="shared" ref="AG676:AG678" si="184">IF($D676=2,(1/W676^2)/((1/$T676^2)+(1/$U676^2)),IF($D676=3,(1/W676^2)/((1/$T676^2)+(1/$U676^2)+(1/$V676^2)),IF($D676=4,(1/W676^2)/((1/$T676^2)+(1/$U676^2)+(1/$V676^2)+(1/$W676^2)),IF($D676=5,(1/W676^2)/((1/$T676^2)+(1/$U676^2)+(1/$V676^2)+(1/$W676^2)+(1/$X676^2)),"error"))))</f>
        <v>error</v>
      </c>
      <c r="AH676" s="16" t="str">
        <f t="shared" ref="AH676:AH678" si="185">IF($D676=2,(1/X676^2)/((1/$T676^2)+(1/$U676^2)),IF($D676=3,(1/X676^2)/((1/$T676^2)+(1/$U676^2)+(1/$V676^2)),IF($D676=4,(1/X676^2)/((1/$T676^2)+(1/$U676^2)+(1/$V676^2)+(1/$W676^2)),IF($D676=5,(1/X676^2)/((1/$T676^2)+(1/$U676^2)+(1/$V676^2)+(1/$W676^2)+(1/$X676^2)),"error"))))</f>
        <v>error</v>
      </c>
    </row>
    <row r="677" spans="1:34" x14ac:dyDescent="0.25">
      <c r="A677" s="12">
        <v>94975</v>
      </c>
      <c r="B677" s="13">
        <v>44.495318599999997</v>
      </c>
      <c r="C677" s="12">
        <v>89.476127300000002</v>
      </c>
      <c r="D677" s="14">
        <v>2</v>
      </c>
      <c r="E677" s="13" t="s">
        <v>42</v>
      </c>
      <c r="F677" s="13">
        <v>44.482489999999999</v>
      </c>
      <c r="G677" s="12">
        <v>89.479849999999999</v>
      </c>
      <c r="H677" s="13" t="s">
        <v>39</v>
      </c>
      <c r="I677" s="13">
        <v>44.50752</v>
      </c>
      <c r="J677" s="12">
        <v>89.539339999999996</v>
      </c>
      <c r="T677" s="5">
        <f t="shared" si="171"/>
        <v>4779.2676200403221</v>
      </c>
      <c r="U677" s="5">
        <f t="shared" si="172"/>
        <v>17039.397027575757</v>
      </c>
      <c r="V677" s="5" t="str">
        <f t="shared" si="173"/>
        <v>n/a</v>
      </c>
      <c r="W677" s="5" t="str">
        <f t="shared" si="174"/>
        <v>n/a</v>
      </c>
      <c r="X677" s="6" t="str">
        <f t="shared" si="175"/>
        <v>n/a</v>
      </c>
      <c r="Y677" s="16">
        <f t="shared" si="176"/>
        <v>0.78095508147596437</v>
      </c>
      <c r="Z677" s="16">
        <f t="shared" si="177"/>
        <v>0.21904491852403574</v>
      </c>
      <c r="AA677" s="16" t="e">
        <f t="shared" si="178"/>
        <v>#VALUE!</v>
      </c>
      <c r="AB677" s="16" t="e">
        <f t="shared" si="179"/>
        <v>#VALUE!</v>
      </c>
      <c r="AC677" s="18" t="e">
        <f t="shared" si="180"/>
        <v>#VALUE!</v>
      </c>
      <c r="AD677" s="16">
        <f t="shared" si="181"/>
        <v>0.92706679770684963</v>
      </c>
      <c r="AE677" s="16">
        <f t="shared" si="182"/>
        <v>7.2933202293150326E-2</v>
      </c>
      <c r="AF677" s="16" t="e">
        <f t="shared" si="183"/>
        <v>#VALUE!</v>
      </c>
      <c r="AG677" s="16" t="e">
        <f t="shared" si="184"/>
        <v>#VALUE!</v>
      </c>
      <c r="AH677" s="16" t="e">
        <f t="shared" si="185"/>
        <v>#VALUE!</v>
      </c>
    </row>
    <row r="678" spans="1:34" x14ac:dyDescent="0.25">
      <c r="A678" s="12">
        <v>94988</v>
      </c>
      <c r="B678" s="13">
        <v>44.545631999999998</v>
      </c>
      <c r="C678" s="12">
        <v>89.396868999999995</v>
      </c>
      <c r="D678" s="14">
        <v>4</v>
      </c>
      <c r="E678" s="13" t="s">
        <v>42</v>
      </c>
      <c r="F678" s="13">
        <v>44.481119999999997</v>
      </c>
      <c r="G678" s="12">
        <v>89.479669999999999</v>
      </c>
      <c r="H678" s="13" t="s">
        <v>39</v>
      </c>
      <c r="I678" s="13">
        <v>44.558810000000001</v>
      </c>
      <c r="J678" s="12">
        <v>89.506240000000005</v>
      </c>
      <c r="K678" s="13" t="s">
        <v>40</v>
      </c>
      <c r="L678" s="13">
        <v>44.554780000000001</v>
      </c>
      <c r="M678" s="13">
        <v>89.461330000000004</v>
      </c>
      <c r="N678" s="13" t="s">
        <v>41</v>
      </c>
      <c r="O678" s="13">
        <v>44.54806</v>
      </c>
      <c r="P678" s="12">
        <v>89.354929999999996</v>
      </c>
      <c r="T678" s="5">
        <f t="shared" si="171"/>
        <v>31903.966559296681</v>
      </c>
      <c r="U678" s="5">
        <f t="shared" si="172"/>
        <v>28836.707980041927</v>
      </c>
      <c r="V678" s="5">
        <f t="shared" si="173"/>
        <v>17087.553499179976</v>
      </c>
      <c r="W678" s="5">
        <f t="shared" si="174"/>
        <v>10939.793907324729</v>
      </c>
      <c r="X678" s="6" t="str">
        <f t="shared" si="175"/>
        <v>n/a</v>
      </c>
      <c r="Y678" s="16">
        <f t="shared" si="176"/>
        <v>0.14514257994634408</v>
      </c>
      <c r="Z678" s="16">
        <f t="shared" si="177"/>
        <v>0.16058088253843303</v>
      </c>
      <c r="AA678" s="16">
        <f t="shared" si="178"/>
        <v>0.2709939733128226</v>
      </c>
      <c r="AB678" s="16">
        <f t="shared" si="179"/>
        <v>0.42328256420240029</v>
      </c>
      <c r="AC678" s="18" t="e">
        <f t="shared" si="180"/>
        <v>#VALUE!</v>
      </c>
      <c r="AD678" s="16">
        <f t="shared" si="181"/>
        <v>7.0348218383917804E-2</v>
      </c>
      <c r="AE678" s="16">
        <f t="shared" si="182"/>
        <v>8.6109507825975651E-2</v>
      </c>
      <c r="AF678" s="16">
        <f t="shared" si="183"/>
        <v>0.24523513464733868</v>
      </c>
      <c r="AG678" s="16">
        <f t="shared" si="184"/>
        <v>0.5983071391427679</v>
      </c>
      <c r="AH678" s="16" t="e">
        <f t="shared" si="185"/>
        <v>#VALUE!</v>
      </c>
    </row>
    <row r="679" spans="1:34" x14ac:dyDescent="0.25">
      <c r="A679" s="12">
        <v>95067</v>
      </c>
      <c r="B679" s="13">
        <v>44.419469999999997</v>
      </c>
      <c r="C679" s="12">
        <v>89.44614</v>
      </c>
      <c r="D679" s="14">
        <v>5</v>
      </c>
      <c r="E679" s="13" t="s">
        <v>42</v>
      </c>
      <c r="F679" s="13">
        <v>44.467849999999999</v>
      </c>
      <c r="G679" s="12">
        <v>89.487679999999997</v>
      </c>
      <c r="H679" s="13" t="s">
        <v>44</v>
      </c>
      <c r="I679" s="13">
        <v>44.400129999999997</v>
      </c>
      <c r="J679" s="12">
        <v>89.480549999999994</v>
      </c>
      <c r="K679" s="13" t="s">
        <v>51</v>
      </c>
      <c r="L679" s="13">
        <v>44.37968</v>
      </c>
      <c r="M679" s="12">
        <v>89.436890000000005</v>
      </c>
      <c r="N679" s="13" t="s">
        <v>46</v>
      </c>
      <c r="O679" s="13">
        <v>44.382379999999998</v>
      </c>
      <c r="P679" s="12">
        <v>89.367450000000005</v>
      </c>
      <c r="Q679" s="13" t="s">
        <v>43</v>
      </c>
      <c r="R679" s="13">
        <v>44.436579999999999</v>
      </c>
      <c r="S679" s="12">
        <v>89.376000000000005</v>
      </c>
      <c r="T679" s="5">
        <f t="shared" ref="T679:T687" si="186">ACOS( SIN($B679*PI()/180)*SIN(F679*PI()/180) + COS($B679*PI()/180) *COS(F679*PI()/180) *COS(G679*PI()/180 - $C679*PI()/180))*20902230.97</f>
        <v>20701.843270011574</v>
      </c>
      <c r="U679" s="5">
        <f t="shared" ref="U679:U687" si="187">ACOS( SIN($B679*PI()/180)*SIN(I679*PI()/180) + COS($B679*PI()/180) *COS(I679*PI()/180) *COS(J679*PI()/180 - $C679*PI()/180))*20902230.97</f>
        <v>11410.276581797621</v>
      </c>
      <c r="V679" s="5">
        <f t="shared" ref="V679:V687" si="188">IF(D679&lt;3,"n/a",ACOS( SIN($B679*PI()/180)*SIN(L679*PI()/180) + COS($B679*PI()/180) *COS(L679*PI()/180) *COS(M679*PI()/180 - $C679*PI()/180))*20902230.97)</f>
        <v>14714.766178475476</v>
      </c>
      <c r="W679" s="5">
        <f t="shared" ref="W679:W687" si="189">IF(D679&lt;4,"n/a",ACOS( SIN($B679*PI()/180)*SIN(O679*PI()/180) + COS($B679*PI()/180) *COS(O679*PI()/180) *COS(P679*PI()/180 - $C679*PI()/180))*20902230.97)</f>
        <v>24571.335815758939</v>
      </c>
      <c r="X679" s="6">
        <f t="shared" ref="X679:X687" si="190">IF(D679&lt;5,"n/a", ACOS( SIN($B679*PI()/180)*SIN(R679*PI()/180) + COS($B679*PI()/180) *COS(R679*PI()/180) *COS(S679*PI()/180 - $C679*PI()/180))*20902230.97)</f>
        <v>19309.83296558819</v>
      </c>
      <c r="Y679" s="16">
        <f t="shared" ref="Y679:Y687" si="191">IF($D679=2,(1/T679)/((1/$T679)+(1/$U679)),IF($D679=3,(1/T679)/((1/$T679)+(1/$U679)+(1/$V679)),IF($D679=4,(1/T679)/((1/$T679)+(1/$U679)+(1/$V679)+(1/$W679)),IF($D679=5,(1/T679)/((1/$T679)+(1/$U679)+(1/$V679)+(1/$W679)+(1/$X679)),"error"))))</f>
        <v>0.16297795121761352</v>
      </c>
      <c r="Z679" s="16">
        <f t="shared" ref="Z679:Z687" si="192">IF($D679=2,(1/U679)/((1/$T679)+(1/$U679)),IF($D679=3,(1/U679)/((1/$T679)+(1/$U679)+(1/$V679)),IF($D679=4,(1/U679)/((1/$T679)+(1/$U679)+(1/$V679)+(1/$W679)),IF($D679=5,(1/U679)/((1/$T679)+(1/$U679)+(1/$V679)+(1/$W679)+(1/$X679)),"error"))))</f>
        <v>0.2956934460253971</v>
      </c>
      <c r="AA679" s="16">
        <f t="shared" ref="AA679:AA687" si="193">IF($D679=2,(1/V679)/((1/$T679)+(1/$U679)),IF($D679=3,(1/V679)/((1/$T679)+(1/$U679)+(1/$V679)),IF($D679=4,(1/V679)/((1/$T679)+(1/$U679)+(1/$V679)+(1/$W679)),IF($D679=5,(1/V679)/((1/$T679)+(1/$U679)+(1/$V679)+(1/$W679)+(1/$X679)),"error"))))</f>
        <v>0.22928967824918473</v>
      </c>
      <c r="AB679" s="16">
        <f t="shared" ref="AB679:AB687" si="194">IF($D679=2,(1/W679)/((1/$T679)+(1/$U679)),IF($D679=3,(1/W679)/((1/$T679)+(1/$U679)+(1/$V679)),IF($D679=4,(1/W679)/((1/$T679)+(1/$U679)+(1/$V679)+(1/$W679)),IF($D679=5,(1/W679)/((1/$T679)+(1/$U679)+(1/$V679)+(1/$W679)+(1/$X679)),"error"))))</f>
        <v>0.13731219286868127</v>
      </c>
      <c r="AC679" s="18">
        <f t="shared" ref="AC679:AC687" si="195">IF($D679=2,(1/X679)/((1/$T679)+(1/$U679)),IF($D679=3,(1/X679)/((1/$T679)+(1/$U679)+(1/$V679)),IF($D679=4,(1/X679)/((1/$T679)+(1/$U679)+(1/$V679)+(1/$W679)),IF($D679=5,(1/X679)/((1/$T679)+(1/$U679)+(1/$V679)+(1/$W679)+(1/$X679)),"error"))))</f>
        <v>0.17472673163912347</v>
      </c>
      <c r="AD679" s="16">
        <f t="shared" ref="AD679:AD687" si="196">IF($D679=2,(1/T679^2)/((1/$T679^2)+(1/$U679^2)),IF($D679=3,(1/T679^2)/((1/$T679^2)+(1/$U679^2)+(1/$V679^2)),IF($D679=4,(1/T679^2)/((1/$T679^2)+(1/$U679^2)+(1/$V679^2)+(1/$W679^2)),IF($D679=5,(1/T679^2)/((1/$T679^2)+(1/$U679^2)+(1/$V679^2)+(1/$W679^2)+(1/$X679^2)),"error"))))</f>
        <v>0.12299740482270254</v>
      </c>
      <c r="AE679" s="16">
        <f t="shared" ref="AE679:AE687" si="197">IF($D679=2,(1/U679^2)/((1/$T679^2)+(1/$U679^2)),IF($D679=3,(1/U679^2)/((1/$T679^2)+(1/$U679^2)+(1/$V679^2)),IF($D679=4,(1/U679^2)/((1/$T679^2)+(1/$U679^2)+(1/$V679^2)+(1/$W679^2)),IF($D679=5,(1/U679^2)/((1/$T679^2)+(1/$U679^2)+(1/$V679^2)+(1/$W679^2)+(1/$X679^2)),"error"))))</f>
        <v>0.40487563048588204</v>
      </c>
      <c r="AF679" s="16">
        <f t="shared" ref="AF679:AF687" si="198">IF($D679=2,(1/V679^2)/((1/$T679^2)+(1/$U679^2)),IF($D679=3,(1/V679^2)/((1/$T679^2)+(1/$U679^2)+(1/$V679^2)),IF($D679=4,(1/V679^2)/((1/$T679^2)+(1/$U679^2)+(1/$V679^2)+(1/$W679^2)),IF($D679=5,(1/V679^2)/((1/$T679^2)+(1/$U679^2)+(1/$V679^2)+(1/$W679^2)+(1/$X679^2)),"error"))))</f>
        <v>0.24344858233604411</v>
      </c>
      <c r="AG679" s="16">
        <f t="shared" ref="AG679:AG687" si="199">IF($D679=2,(1/W679^2)/((1/$T679^2)+(1/$U679^2)),IF($D679=3,(1/W679^2)/((1/$T679^2)+(1/$U679^2)+(1/$V679^2)),IF($D679=4,(1/W679^2)/((1/$T679^2)+(1/$U679^2)+(1/$V679^2)+(1/$W679^2)),IF($D679=5,(1/W679^2)/((1/$T679^2)+(1/$U679^2)+(1/$V679^2)+(1/$W679^2)+(1/$X679^2)),"error"))))</f>
        <v>8.7308483703666701E-2</v>
      </c>
      <c r="AH679" s="16">
        <f t="shared" ref="AH679:AH687" si="200">IF($D679=2,(1/X679^2)/((1/$T679^2)+(1/$U679^2)),IF($D679=3,(1/X679^2)/((1/$T679^2)+(1/$U679^2)+(1/$V679^2)),IF($D679=4,(1/X679^2)/((1/$T679^2)+(1/$U679^2)+(1/$V679^2)+(1/$W679^2)),IF($D679=5,(1/X679^2)/((1/$T679^2)+(1/$U679^2)+(1/$V679^2)+(1/$W679^2)+(1/$X679^2)),"error"))))</f>
        <v>0.14136989865170446</v>
      </c>
    </row>
    <row r="680" spans="1:34" x14ac:dyDescent="0.25">
      <c r="A680" s="12">
        <v>95068</v>
      </c>
      <c r="B680" s="13">
        <v>44.419800000000002</v>
      </c>
      <c r="C680" s="12">
        <v>89.446200000000005</v>
      </c>
      <c r="D680" s="14">
        <v>5</v>
      </c>
      <c r="E680" s="13" t="s">
        <v>42</v>
      </c>
      <c r="F680" s="13">
        <v>44.467849999999999</v>
      </c>
      <c r="G680" s="12">
        <v>89.487679999999997</v>
      </c>
      <c r="H680" s="13" t="s">
        <v>44</v>
      </c>
      <c r="I680" s="13">
        <v>44.400129999999997</v>
      </c>
      <c r="J680" s="12">
        <v>89.480549999999994</v>
      </c>
      <c r="K680" s="13" t="s">
        <v>51</v>
      </c>
      <c r="L680" s="13">
        <v>44.37968</v>
      </c>
      <c r="M680" s="12">
        <v>89.436890000000005</v>
      </c>
      <c r="N680" s="13" t="s">
        <v>46</v>
      </c>
      <c r="O680" s="13">
        <v>44.382379999999998</v>
      </c>
      <c r="P680" s="12">
        <v>89.367450000000005</v>
      </c>
      <c r="Q680" s="13" t="s">
        <v>43</v>
      </c>
      <c r="R680" s="13">
        <v>44.436579999999999</v>
      </c>
      <c r="S680" s="12">
        <v>89.376000000000005</v>
      </c>
      <c r="T680" s="5">
        <f t="shared" si="186"/>
        <v>20591.081212650435</v>
      </c>
      <c r="U680" s="5">
        <f t="shared" si="187"/>
        <v>11472.883480191174</v>
      </c>
      <c r="V680" s="5">
        <f t="shared" si="188"/>
        <v>14836.089331885561</v>
      </c>
      <c r="W680" s="5">
        <f t="shared" si="189"/>
        <v>24650.807882657253</v>
      </c>
      <c r="X680" s="6">
        <f t="shared" si="190"/>
        <v>19286.027481753987</v>
      </c>
      <c r="Y680" s="16">
        <f t="shared" si="191"/>
        <v>0.1643211293822576</v>
      </c>
      <c r="Z680" s="16">
        <f t="shared" si="192"/>
        <v>0.29491711703570139</v>
      </c>
      <c r="AA680" s="16">
        <f t="shared" si="193"/>
        <v>0.22806210210615394</v>
      </c>
      <c r="AB680" s="16">
        <f t="shared" si="194"/>
        <v>0.13725918177492905</v>
      </c>
      <c r="AC680" s="18">
        <f t="shared" si="195"/>
        <v>0.17544046970095811</v>
      </c>
      <c r="AD680" s="16">
        <f t="shared" si="196"/>
        <v>0.12523315622050243</v>
      </c>
      <c r="AE680" s="16">
        <f t="shared" si="197"/>
        <v>0.40339681355875612</v>
      </c>
      <c r="AF680" s="16">
        <f t="shared" si="198"/>
        <v>0.24123412869256133</v>
      </c>
      <c r="AG680" s="16">
        <f t="shared" si="199"/>
        <v>8.738065887730849E-2</v>
      </c>
      <c r="AH680" s="16">
        <f t="shared" si="200"/>
        <v>0.14275524265087181</v>
      </c>
    </row>
    <row r="681" spans="1:34" x14ac:dyDescent="0.25">
      <c r="A681" s="12">
        <v>95092</v>
      </c>
      <c r="B681" s="13">
        <v>44.3992</v>
      </c>
      <c r="C681" s="12">
        <v>89.632300000000001</v>
      </c>
      <c r="D681" s="14">
        <v>0</v>
      </c>
      <c r="T681" s="5">
        <f t="shared" si="186"/>
        <v>32737306.097898804</v>
      </c>
      <c r="U681" s="5">
        <f t="shared" si="187"/>
        <v>32737306.097898804</v>
      </c>
      <c r="V681" s="5" t="str">
        <f t="shared" si="188"/>
        <v>n/a</v>
      </c>
      <c r="W681" s="5" t="str">
        <f t="shared" si="189"/>
        <v>n/a</v>
      </c>
      <c r="X681" s="6" t="str">
        <f t="shared" si="190"/>
        <v>n/a</v>
      </c>
      <c r="Y681" s="16" t="str">
        <f t="shared" si="191"/>
        <v>error</v>
      </c>
      <c r="Z681" s="16" t="str">
        <f t="shared" si="192"/>
        <v>error</v>
      </c>
      <c r="AA681" s="16" t="str">
        <f t="shared" si="193"/>
        <v>error</v>
      </c>
      <c r="AB681" s="16" t="str">
        <f t="shared" si="194"/>
        <v>error</v>
      </c>
      <c r="AC681" s="18" t="str">
        <f t="shared" si="195"/>
        <v>error</v>
      </c>
      <c r="AD681" s="16" t="str">
        <f t="shared" si="196"/>
        <v>error</v>
      </c>
      <c r="AE681" s="16" t="str">
        <f t="shared" si="197"/>
        <v>error</v>
      </c>
      <c r="AF681" s="16" t="str">
        <f t="shared" si="198"/>
        <v>error</v>
      </c>
      <c r="AG681" s="16" t="str">
        <f t="shared" si="199"/>
        <v>error</v>
      </c>
      <c r="AH681" s="16" t="str">
        <f t="shared" si="200"/>
        <v>error</v>
      </c>
    </row>
    <row r="682" spans="1:34" x14ac:dyDescent="0.25">
      <c r="A682" s="12">
        <v>95093</v>
      </c>
      <c r="B682" s="13">
        <v>44.399090000000001</v>
      </c>
      <c r="C682" s="12">
        <v>89.632329999999996</v>
      </c>
      <c r="D682" s="14">
        <v>0</v>
      </c>
      <c r="T682" s="5">
        <f t="shared" si="186"/>
        <v>32737313.737219274</v>
      </c>
      <c r="U682" s="5">
        <f t="shared" si="187"/>
        <v>32737313.737219274</v>
      </c>
      <c r="V682" s="5" t="str">
        <f t="shared" si="188"/>
        <v>n/a</v>
      </c>
      <c r="W682" s="5" t="str">
        <f t="shared" si="189"/>
        <v>n/a</v>
      </c>
      <c r="X682" s="6" t="str">
        <f t="shared" si="190"/>
        <v>n/a</v>
      </c>
      <c r="Y682" s="16" t="str">
        <f t="shared" si="191"/>
        <v>error</v>
      </c>
      <c r="Z682" s="16" t="str">
        <f t="shared" si="192"/>
        <v>error</v>
      </c>
      <c r="AA682" s="16" t="str">
        <f t="shared" si="193"/>
        <v>error</v>
      </c>
      <c r="AB682" s="16" t="str">
        <f t="shared" si="194"/>
        <v>error</v>
      </c>
      <c r="AC682" s="18" t="str">
        <f t="shared" si="195"/>
        <v>error</v>
      </c>
      <c r="AD682" s="16" t="str">
        <f t="shared" si="196"/>
        <v>error</v>
      </c>
      <c r="AE682" s="16" t="str">
        <f t="shared" si="197"/>
        <v>error</v>
      </c>
      <c r="AF682" s="16" t="str">
        <f t="shared" si="198"/>
        <v>error</v>
      </c>
      <c r="AG682" s="16" t="str">
        <f t="shared" si="199"/>
        <v>error</v>
      </c>
      <c r="AH682" s="16" t="str">
        <f t="shared" si="200"/>
        <v>error</v>
      </c>
    </row>
    <row r="683" spans="1:34" x14ac:dyDescent="0.25">
      <c r="A683" s="12">
        <v>95095</v>
      </c>
      <c r="B683" s="13">
        <v>44.417000000000002</v>
      </c>
      <c r="C683" s="12">
        <v>89.682900000000004</v>
      </c>
      <c r="D683" s="14">
        <v>0</v>
      </c>
      <c r="T683" s="5">
        <f t="shared" si="186"/>
        <v>32750520.137948204</v>
      </c>
      <c r="U683" s="5">
        <f t="shared" si="187"/>
        <v>32750520.137948204</v>
      </c>
      <c r="V683" s="5" t="str">
        <f t="shared" si="188"/>
        <v>n/a</v>
      </c>
      <c r="W683" s="5" t="str">
        <f t="shared" si="189"/>
        <v>n/a</v>
      </c>
      <c r="X683" s="6" t="str">
        <f t="shared" si="190"/>
        <v>n/a</v>
      </c>
      <c r="Y683" s="16" t="str">
        <f t="shared" si="191"/>
        <v>error</v>
      </c>
      <c r="Z683" s="16" t="str">
        <f t="shared" si="192"/>
        <v>error</v>
      </c>
      <c r="AA683" s="16" t="str">
        <f t="shared" si="193"/>
        <v>error</v>
      </c>
      <c r="AB683" s="16" t="str">
        <f t="shared" si="194"/>
        <v>error</v>
      </c>
      <c r="AC683" s="18" t="str">
        <f t="shared" si="195"/>
        <v>error</v>
      </c>
      <c r="AD683" s="16" t="str">
        <f t="shared" si="196"/>
        <v>error</v>
      </c>
      <c r="AE683" s="16" t="str">
        <f t="shared" si="197"/>
        <v>error</v>
      </c>
      <c r="AF683" s="16" t="str">
        <f t="shared" si="198"/>
        <v>error</v>
      </c>
      <c r="AG683" s="16" t="str">
        <f t="shared" si="199"/>
        <v>error</v>
      </c>
      <c r="AH683" s="16" t="str">
        <f t="shared" si="200"/>
        <v>error</v>
      </c>
    </row>
    <row r="684" spans="1:34" x14ac:dyDescent="0.25">
      <c r="A684" s="12">
        <v>95183</v>
      </c>
      <c r="B684" s="13">
        <v>44.434150000000002</v>
      </c>
      <c r="C684" s="12">
        <v>89.502650000000003</v>
      </c>
      <c r="D684" s="14">
        <v>0</v>
      </c>
      <c r="T684" s="5">
        <f t="shared" si="186"/>
        <v>32703590.461102657</v>
      </c>
      <c r="U684" s="5">
        <f t="shared" si="187"/>
        <v>32703590.461102657</v>
      </c>
      <c r="V684" s="5" t="str">
        <f t="shared" si="188"/>
        <v>n/a</v>
      </c>
      <c r="W684" s="5" t="str">
        <f t="shared" si="189"/>
        <v>n/a</v>
      </c>
      <c r="X684" s="6" t="str">
        <f t="shared" si="190"/>
        <v>n/a</v>
      </c>
      <c r="Y684" s="16" t="str">
        <f t="shared" si="191"/>
        <v>error</v>
      </c>
      <c r="Z684" s="16" t="str">
        <f t="shared" si="192"/>
        <v>error</v>
      </c>
      <c r="AA684" s="16" t="str">
        <f t="shared" si="193"/>
        <v>error</v>
      </c>
      <c r="AB684" s="16" t="str">
        <f t="shared" si="194"/>
        <v>error</v>
      </c>
      <c r="AC684" s="18" t="str">
        <f t="shared" si="195"/>
        <v>error</v>
      </c>
      <c r="AD684" s="16" t="str">
        <f t="shared" si="196"/>
        <v>error</v>
      </c>
      <c r="AE684" s="16" t="str">
        <f t="shared" si="197"/>
        <v>error</v>
      </c>
      <c r="AF684" s="16" t="str">
        <f t="shared" si="198"/>
        <v>error</v>
      </c>
      <c r="AG684" s="16" t="str">
        <f t="shared" si="199"/>
        <v>error</v>
      </c>
      <c r="AH684" s="16" t="str">
        <f t="shared" si="200"/>
        <v>error</v>
      </c>
    </row>
    <row r="685" spans="1:34" x14ac:dyDescent="0.25">
      <c r="A685" s="12">
        <v>95282</v>
      </c>
      <c r="B685" s="13">
        <v>44.487490000000001</v>
      </c>
      <c r="C685" s="12">
        <v>89.507900000000006</v>
      </c>
      <c r="D685" s="14">
        <v>0</v>
      </c>
      <c r="T685" s="5">
        <f t="shared" si="186"/>
        <v>32705075.105073873</v>
      </c>
      <c r="U685" s="5">
        <f t="shared" si="187"/>
        <v>32705075.105073873</v>
      </c>
      <c r="V685" s="5" t="str">
        <f t="shared" si="188"/>
        <v>n/a</v>
      </c>
      <c r="W685" s="5" t="str">
        <f t="shared" si="189"/>
        <v>n/a</v>
      </c>
      <c r="X685" s="6" t="str">
        <f t="shared" si="190"/>
        <v>n/a</v>
      </c>
      <c r="Y685" s="16" t="str">
        <f t="shared" si="191"/>
        <v>error</v>
      </c>
      <c r="Z685" s="16" t="str">
        <f t="shared" si="192"/>
        <v>error</v>
      </c>
      <c r="AA685" s="16" t="str">
        <f t="shared" si="193"/>
        <v>error</v>
      </c>
      <c r="AB685" s="16" t="str">
        <f t="shared" si="194"/>
        <v>error</v>
      </c>
      <c r="AC685" s="18" t="str">
        <f t="shared" si="195"/>
        <v>error</v>
      </c>
      <c r="AD685" s="16" t="str">
        <f t="shared" si="196"/>
        <v>error</v>
      </c>
      <c r="AE685" s="16" t="str">
        <f t="shared" si="197"/>
        <v>error</v>
      </c>
      <c r="AF685" s="16" t="str">
        <f t="shared" si="198"/>
        <v>error</v>
      </c>
      <c r="AG685" s="16" t="str">
        <f t="shared" si="199"/>
        <v>error</v>
      </c>
      <c r="AH685" s="16" t="str">
        <f t="shared" si="200"/>
        <v>error</v>
      </c>
    </row>
    <row r="686" spans="1:34" x14ac:dyDescent="0.25">
      <c r="A686" s="12">
        <v>95298</v>
      </c>
      <c r="B686" s="13">
        <v>44.523310000000002</v>
      </c>
      <c r="C686" s="12">
        <v>89.502700000000004</v>
      </c>
      <c r="D686" s="14">
        <v>0</v>
      </c>
      <c r="T686" s="5">
        <f t="shared" si="186"/>
        <v>32703801.290298466</v>
      </c>
      <c r="U686" s="5">
        <f t="shared" si="187"/>
        <v>32703801.290298466</v>
      </c>
      <c r="V686" s="5" t="str">
        <f t="shared" si="188"/>
        <v>n/a</v>
      </c>
      <c r="W686" s="5" t="str">
        <f t="shared" si="189"/>
        <v>n/a</v>
      </c>
      <c r="X686" s="6" t="str">
        <f t="shared" si="190"/>
        <v>n/a</v>
      </c>
      <c r="Y686" s="16" t="str">
        <f t="shared" si="191"/>
        <v>error</v>
      </c>
      <c r="Z686" s="16" t="str">
        <f t="shared" si="192"/>
        <v>error</v>
      </c>
      <c r="AA686" s="16" t="str">
        <f t="shared" si="193"/>
        <v>error</v>
      </c>
      <c r="AB686" s="16" t="str">
        <f t="shared" si="194"/>
        <v>error</v>
      </c>
      <c r="AC686" s="18" t="str">
        <f t="shared" si="195"/>
        <v>error</v>
      </c>
      <c r="AD686" s="16" t="str">
        <f t="shared" si="196"/>
        <v>error</v>
      </c>
      <c r="AE686" s="16" t="str">
        <f t="shared" si="197"/>
        <v>error</v>
      </c>
      <c r="AF686" s="16" t="str">
        <f t="shared" si="198"/>
        <v>error</v>
      </c>
      <c r="AG686" s="16" t="str">
        <f t="shared" si="199"/>
        <v>error</v>
      </c>
      <c r="AH686" s="16" t="str">
        <f t="shared" si="200"/>
        <v>error</v>
      </c>
    </row>
    <row r="687" spans="1:34" x14ac:dyDescent="0.25">
      <c r="A687" s="12">
        <v>95689</v>
      </c>
      <c r="B687" s="13">
        <v>44.474400000000003</v>
      </c>
      <c r="C687" s="12">
        <v>89.334400000000002</v>
      </c>
      <c r="D687" s="14">
        <v>3</v>
      </c>
      <c r="E687" s="13" t="s">
        <v>42</v>
      </c>
      <c r="F687" s="13">
        <v>44.472119999999997</v>
      </c>
      <c r="G687" s="12">
        <v>89.482460000000003</v>
      </c>
      <c r="H687" s="13" t="s">
        <v>41</v>
      </c>
      <c r="I687" s="13">
        <v>44.474519999999998</v>
      </c>
      <c r="J687" s="12">
        <v>89.295339999999996</v>
      </c>
      <c r="K687" s="13" t="s">
        <v>43</v>
      </c>
      <c r="L687" s="13">
        <v>44.43627</v>
      </c>
      <c r="M687" s="12">
        <v>89.307379999999995</v>
      </c>
      <c r="T687" s="5">
        <f t="shared" si="186"/>
        <v>38552.268541006015</v>
      </c>
      <c r="U687" s="5">
        <f t="shared" si="187"/>
        <v>10168.068875807559</v>
      </c>
      <c r="V687" s="5">
        <f t="shared" si="188"/>
        <v>15588.551381484765</v>
      </c>
      <c r="W687" s="5" t="str">
        <f t="shared" si="189"/>
        <v>n/a</v>
      </c>
      <c r="X687" s="6" t="str">
        <f t="shared" si="190"/>
        <v>n/a</v>
      </c>
      <c r="Y687" s="16">
        <f t="shared" si="191"/>
        <v>0.13765349219151168</v>
      </c>
      <c r="Z687" s="16">
        <f t="shared" si="192"/>
        <v>0.52191369486105654</v>
      </c>
      <c r="AA687" s="16">
        <f t="shared" si="193"/>
        <v>0.34043281294743177</v>
      </c>
      <c r="AB687" s="16" t="e">
        <f t="shared" si="194"/>
        <v>#VALUE!</v>
      </c>
      <c r="AC687" s="18" t="e">
        <f t="shared" si="195"/>
        <v>#VALUE!</v>
      </c>
      <c r="AD687" s="16">
        <f t="shared" si="196"/>
        <v>4.6529389718178021E-2</v>
      </c>
      <c r="AE687" s="16">
        <f t="shared" si="197"/>
        <v>0.66888317902880678</v>
      </c>
      <c r="AF687" s="16">
        <f t="shared" si="198"/>
        <v>0.28458743125301528</v>
      </c>
      <c r="AG687" s="16" t="e">
        <f t="shared" si="199"/>
        <v>#VALUE!</v>
      </c>
      <c r="AH687" s="16" t="e">
        <f t="shared" si="200"/>
        <v>#VALUE!</v>
      </c>
    </row>
  </sheetData>
  <mergeCells count="9">
    <mergeCell ref="A1:B1"/>
    <mergeCell ref="T1:X1"/>
    <mergeCell ref="Y1:AC1"/>
    <mergeCell ref="AD1:AH1"/>
    <mergeCell ref="E1:G1"/>
    <mergeCell ref="H1:J1"/>
    <mergeCell ref="K1:M1"/>
    <mergeCell ref="N1:P1"/>
    <mergeCell ref="Q1:S1"/>
  </mergeCells>
  <dataValidations count="1">
    <dataValidation type="whole" allowBlank="1" showInputMessage="1" showErrorMessage="1" errorTitle="Incorrect # Streams" error="Spreadsheet only calculates IDW for between 2 and 5 streams." promptTitle="# Of Streams Impacted" prompt="Between 2 and 5" sqref="D443 D3:D30 D32:D44 D46:D48 D566:D595 D403:D406 D396:D399 D563 D50:D51 D53 D57 D59:D62 D68:D70 D72:D75 D78:D80 D84 D86:D103 D105:D106 D108 D110 D113:D117 D119:D152 D154:D159 D161:D162 D164:D165 D167:D171 D173 D176:D178 D180:D186 D188:D192 D195:D201 D203:D208 D210:D228 D230:D231 D233:D236 D238 D240 D242:D244 D246:D254 D256:D293 D295 D297:D308 D311:D313 D315:D316 D320:D323 D325 D327:D332 D334:D335 D337:D344 D346:D351 D354:D371 D373:D376 D378 D380:D386 D388:D394 D410:D412 D414 D416:D417 D419:D428 D430 D432 D434:D439 D441 D447:D456 D458:D459 D463 D465:D468 D470:D473 D475 D477:D479 D482:D483 D485:D488 D491:D492 D494:D498 D500:D510 D512 D514 D516:D517 D519:D523 D527:D529 D531 D533:D535 D538:D545 D547:D553 D556 D561 D558:D559 D600 D602 D608:D1048576" xr:uid="{C18942D6-2DE4-4252-B6DF-E69F76F0C876}">
      <formula1>2</formula1>
      <formula2>5</formula2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Pruitt, Aaron</dc:creator>
  <cp:lastModifiedBy>Pruitt, Aaron H - DNR</cp:lastModifiedBy>
  <dcterms:created xsi:type="dcterms:W3CDTF">2022-04-05T17:35:32Z</dcterms:created>
  <dcterms:modified xsi:type="dcterms:W3CDTF">2025-11-05T19:18:15Z</dcterms:modified>
</cp:coreProperties>
</file>