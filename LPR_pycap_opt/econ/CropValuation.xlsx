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fienen/Documents/GIT/LPR_redux/LPR_pycap_opt/econ/"/>
    </mc:Choice>
  </mc:AlternateContent>
  <xr:revisionPtr revIDLastSave="0" documentId="13_ncr:1_{A192C7F0-99D4-4043-9D13-0D4BDAA12A50}" xr6:coauthVersionLast="47" xr6:coauthVersionMax="47" xr10:uidLastSave="{00000000-0000-0000-0000-000000000000}"/>
  <bookViews>
    <workbookView xWindow="-41100" yWindow="12020" windowWidth="31700" windowHeight="17440" xr2:uid="{31C12755-28DA-8B4C-868B-E20B260BC443}"/>
  </bookViews>
  <sheets>
    <sheet name="Rotations" sheetId="1" r:id="rId1"/>
    <sheet name="Crop_Valu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G10" i="2"/>
  <c r="E109" i="2"/>
  <c r="E108" i="2"/>
  <c r="E102" i="2"/>
  <c r="E96" i="2"/>
  <c r="E92" i="2"/>
  <c r="E86" i="2"/>
  <c r="E84" i="2"/>
  <c r="D108" i="2"/>
  <c r="D107" i="2"/>
  <c r="D106" i="2"/>
  <c r="D105" i="2"/>
  <c r="D104" i="2"/>
  <c r="D102" i="2"/>
  <c r="D101" i="2"/>
  <c r="D100" i="2"/>
  <c r="D99" i="2"/>
  <c r="D98" i="2"/>
  <c r="D96" i="2"/>
  <c r="D95" i="2"/>
  <c r="D94" i="2"/>
  <c r="D92" i="2"/>
  <c r="D91" i="2"/>
  <c r="D90" i="2"/>
  <c r="D89" i="2"/>
  <c r="D88" i="2"/>
  <c r="D86" i="2"/>
  <c r="D84" i="2"/>
  <c r="D83" i="2"/>
  <c r="D82" i="2"/>
  <c r="D81" i="2"/>
  <c r="E79" i="2"/>
  <c r="D77" i="2"/>
  <c r="D78" i="2"/>
  <c r="D79" i="2"/>
  <c r="D76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58" i="2"/>
  <c r="D54" i="2"/>
  <c r="D53" i="2"/>
  <c r="D52" i="2"/>
  <c r="D51" i="2"/>
  <c r="D50" i="2"/>
  <c r="D46" i="2"/>
  <c r="D45" i="2"/>
  <c r="D44" i="2"/>
  <c r="D43" i="2"/>
  <c r="D42" i="2"/>
  <c r="D38" i="2"/>
  <c r="D37" i="2"/>
  <c r="D36" i="2"/>
  <c r="D35" i="2"/>
  <c r="D34" i="2"/>
  <c r="D39" i="2" s="1"/>
  <c r="G6" i="2" s="1"/>
  <c r="D30" i="2"/>
  <c r="D29" i="2"/>
  <c r="D28" i="2"/>
  <c r="D27" i="2"/>
  <c r="D26" i="2"/>
  <c r="D19" i="2"/>
  <c r="D20" i="2"/>
  <c r="D21" i="2"/>
  <c r="D22" i="2"/>
  <c r="D18" i="2"/>
  <c r="D14" i="2"/>
  <c r="D13" i="2"/>
  <c r="D12" i="2"/>
  <c r="D11" i="2"/>
  <c r="D10" i="2"/>
  <c r="D4" i="2"/>
  <c r="D5" i="2"/>
  <c r="D6" i="2"/>
  <c r="D7" i="2"/>
  <c r="D3" i="2"/>
  <c r="D73" i="2" l="1"/>
  <c r="G9" i="2" s="1"/>
  <c r="D23" i="2"/>
  <c r="G4" i="2" s="1"/>
  <c r="D55" i="2"/>
  <c r="G8" i="2" s="1"/>
  <c r="D47" i="2"/>
  <c r="G7" i="2" s="1"/>
  <c r="D31" i="2"/>
  <c r="G5" i="2" s="1"/>
  <c r="D15" i="2"/>
  <c r="G3" i="2" s="1"/>
  <c r="D8" i="2"/>
  <c r="G2" i="2" s="1"/>
</calcChain>
</file>

<file path=xl/sharedStrings.xml><?xml version="1.0" encoding="utf-8"?>
<sst xmlns="http://schemas.openxmlformats.org/spreadsheetml/2006/main" count="60" uniqueCount="42">
  <si>
    <t>Crop</t>
  </si>
  <si>
    <t>Grain</t>
  </si>
  <si>
    <t>Alfalfa</t>
  </si>
  <si>
    <t>Beans</t>
  </si>
  <si>
    <t>Corn</t>
  </si>
  <si>
    <t>Other</t>
  </si>
  <si>
    <t>Potato</t>
  </si>
  <si>
    <t>Soybeans</t>
  </si>
  <si>
    <t>Grass (Hay)</t>
  </si>
  <si>
    <t>Misc. Veg.</t>
  </si>
  <si>
    <t>Sweet Corn</t>
  </si>
  <si>
    <t>year</t>
  </si>
  <si>
    <t>tons per acre</t>
  </si>
  <si>
    <t>$ per ton</t>
  </si>
  <si>
    <t>$ per acre</t>
  </si>
  <si>
    <t>crop</t>
  </si>
  <si>
    <t>dollars_per_acre</t>
  </si>
  <si>
    <t>alfalfa</t>
  </si>
  <si>
    <t>hay</t>
  </si>
  <si>
    <t>beans</t>
  </si>
  <si>
    <t>total acres</t>
  </si>
  <si>
    <t>total $</t>
  </si>
  <si>
    <t>corn</t>
  </si>
  <si>
    <t>soybeans</t>
  </si>
  <si>
    <t>potatoes</t>
  </si>
  <si>
    <t>sweet corn</t>
  </si>
  <si>
    <t>grain (barley,wheat,oats)</t>
  </si>
  <si>
    <t>grain</t>
  </si>
  <si>
    <t>CARROTS</t>
  </si>
  <si>
    <t>CUCUMBERS</t>
  </si>
  <si>
    <t>GREEN</t>
  </si>
  <si>
    <t>PUMPKINS</t>
  </si>
  <si>
    <t>SNAP BEANS</t>
  </si>
  <si>
    <t>SWEET CORN</t>
  </si>
  <si>
    <t>CABBAGE</t>
  </si>
  <si>
    <t>misc. veg.</t>
  </si>
  <si>
    <t>other</t>
  </si>
  <si>
    <t>crop_lookup</t>
  </si>
  <si>
    <t>cash_grain</t>
  </si>
  <si>
    <t>dairy</t>
  </si>
  <si>
    <t>potato/veg</t>
  </si>
  <si>
    <t>pasture/hay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</si>
</sst>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7"/>
      <color rgb="FF000000"/>
      <name val="Arial"/>
      <family val="2"/>
    </font>
    <font>
      <sz val="15"/>
      <color rgb="FF000000"/>
      <name val="Arial"/>
      <family val="2"/>
    </font>
    <font>
      <sz val="18"/>
      <color rgb="FF000000"/>
      <name val="Arial"/>
      <family val="2"/>
    </font>
    <font>
      <sz val="14"/>
      <color theme="1"/>
      <name val="Segoe UI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0" fontId="0" fillId="0" borderId="0" xfId="0" applyNumberFormat="1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0" fontId="6" fillId="0" borderId="0" xfId="0" applyFont="1"/>
    <xf numFmtId="3" fontId="5" fillId="0" borderId="0" xfId="0" applyNumberFormat="1" applyFont="1"/>
    <xf numFmtId="0" fontId="7" fillId="0" borderId="0" xfId="0" applyFont="1"/>
    <xf numFmtId="0" fontId="0" fillId="0" borderId="0" xfId="0" applyBorder="1"/>
    <xf numFmtId="10" fontId="0" fillId="0" borderId="0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B0D3-47D5-6547-A893-9ED5A9A3C3F6}">
  <dimension ref="A1:H13"/>
  <sheetViews>
    <sheetView tabSelected="1" workbookViewId="0">
      <selection activeCell="E2" sqref="E2"/>
    </sheetView>
  </sheetViews>
  <sheetFormatPr baseColWidth="10" defaultRowHeight="16" x14ac:dyDescent="0.2"/>
  <cols>
    <col min="1" max="1" width="17.1640625" bestFit="1" customWidth="1"/>
    <col min="2" max="2" width="17.1640625" customWidth="1"/>
    <col min="3" max="3" width="10.1640625" style="11" bestFit="1" customWidth="1"/>
    <col min="4" max="4" width="9.6640625" customWidth="1"/>
    <col min="5" max="5" width="12.6640625" bestFit="1" customWidth="1"/>
    <col min="6" max="6" width="15.1640625" bestFit="1" customWidth="1"/>
  </cols>
  <sheetData>
    <row r="1" spans="1:8" ht="22" x14ac:dyDescent="0.25">
      <c r="A1" s="1" t="s">
        <v>0</v>
      </c>
      <c r="B1" s="1" t="s">
        <v>37</v>
      </c>
      <c r="C1" s="11" t="s">
        <v>38</v>
      </c>
      <c r="D1" t="s">
        <v>39</v>
      </c>
      <c r="E1" t="s">
        <v>41</v>
      </c>
      <c r="F1" t="s">
        <v>40</v>
      </c>
    </row>
    <row r="2" spans="1:8" ht="22" x14ac:dyDescent="0.25">
      <c r="A2" s="1" t="s">
        <v>2</v>
      </c>
      <c r="B2" s="10" t="s">
        <v>17</v>
      </c>
      <c r="C2" s="12">
        <v>1.4999999999999999E-2</v>
      </c>
      <c r="D2" s="4">
        <v>0.26</v>
      </c>
      <c r="E2" s="4">
        <v>0.20599999999999999</v>
      </c>
      <c r="F2" s="4">
        <v>2.4E-2</v>
      </c>
      <c r="H2" s="4"/>
    </row>
    <row r="3" spans="1:8" ht="22" x14ac:dyDescent="0.25">
      <c r="A3" s="1" t="s">
        <v>3</v>
      </c>
      <c r="B3" s="10" t="s">
        <v>19</v>
      </c>
      <c r="C3" s="12">
        <v>3.0000000000000001E-3</v>
      </c>
      <c r="D3" s="4">
        <v>5.0000000000000001E-3</v>
      </c>
      <c r="E3" s="4">
        <v>8.0000000000000002E-3</v>
      </c>
      <c r="F3" s="4">
        <v>0.14799999999999999</v>
      </c>
      <c r="H3" s="4"/>
    </row>
    <row r="4" spans="1:8" ht="22" x14ac:dyDescent="0.25">
      <c r="A4" s="1" t="s">
        <v>4</v>
      </c>
      <c r="B4" s="10" t="s">
        <v>22</v>
      </c>
      <c r="C4" s="12">
        <v>0.6</v>
      </c>
      <c r="D4" s="4">
        <v>0.40899999999999997</v>
      </c>
      <c r="E4" s="4">
        <v>5.0999999999999997E-2</v>
      </c>
      <c r="F4" s="4">
        <v>0.29499999999999998</v>
      </c>
      <c r="H4" s="4"/>
    </row>
    <row r="5" spans="1:8" ht="22" x14ac:dyDescent="0.25">
      <c r="A5" s="1" t="s">
        <v>1</v>
      </c>
      <c r="B5" s="10" t="s">
        <v>27</v>
      </c>
      <c r="C5" s="12">
        <v>4.2000000000000003E-2</v>
      </c>
      <c r="D5" s="4">
        <v>2.7E-2</v>
      </c>
      <c r="E5" s="4">
        <v>1.4E-2</v>
      </c>
      <c r="F5" s="4">
        <v>1.2E-2</v>
      </c>
      <c r="H5" s="4"/>
    </row>
    <row r="6" spans="1:8" ht="22" x14ac:dyDescent="0.25">
      <c r="A6" s="1" t="s">
        <v>8</v>
      </c>
      <c r="B6" s="10" t="s">
        <v>18</v>
      </c>
      <c r="C6" s="12">
        <v>4.9000000000000002E-2</v>
      </c>
      <c r="D6" s="4">
        <v>0.19600000000000001</v>
      </c>
      <c r="E6" s="4">
        <v>0.66</v>
      </c>
      <c r="F6" s="4">
        <v>7.3999999999999996E-2</v>
      </c>
      <c r="H6" s="4"/>
    </row>
    <row r="7" spans="1:8" ht="22" x14ac:dyDescent="0.25">
      <c r="A7" s="1" t="s">
        <v>9</v>
      </c>
      <c r="B7" s="10" t="s">
        <v>35</v>
      </c>
      <c r="C7" s="12">
        <v>2E-3</v>
      </c>
      <c r="D7" s="4">
        <v>1E-3</v>
      </c>
      <c r="E7" s="4">
        <v>2E-3</v>
      </c>
      <c r="F7" s="4">
        <v>6.8000000000000005E-2</v>
      </c>
      <c r="H7" s="4"/>
    </row>
    <row r="8" spans="1:8" ht="22" x14ac:dyDescent="0.25">
      <c r="A8" s="1" t="s">
        <v>5</v>
      </c>
      <c r="B8" s="10" t="s">
        <v>36</v>
      </c>
      <c r="C8" s="12">
        <v>0.01</v>
      </c>
      <c r="D8" s="4">
        <v>1.4E-2</v>
      </c>
      <c r="E8" s="4">
        <v>4.8000000000000001E-2</v>
      </c>
      <c r="F8" s="4">
        <v>6.7000000000000004E-2</v>
      </c>
      <c r="H8" s="4"/>
    </row>
    <row r="9" spans="1:8" ht="22" x14ac:dyDescent="0.25">
      <c r="A9" s="1" t="s">
        <v>6</v>
      </c>
      <c r="B9" s="10" t="s">
        <v>24</v>
      </c>
      <c r="C9" s="12">
        <v>1E-3</v>
      </c>
      <c r="D9" s="4">
        <v>1E-3</v>
      </c>
      <c r="E9" s="4">
        <v>0</v>
      </c>
      <c r="F9" s="4">
        <v>0.17</v>
      </c>
      <c r="H9" s="4"/>
    </row>
    <row r="10" spans="1:8" ht="22" x14ac:dyDescent="0.25">
      <c r="A10" s="1" t="s">
        <v>7</v>
      </c>
      <c r="B10" s="10" t="s">
        <v>23</v>
      </c>
      <c r="C10" s="12">
        <v>0.27700000000000002</v>
      </c>
      <c r="D10" s="4">
        <v>8.6999999999999994E-2</v>
      </c>
      <c r="E10" s="4">
        <v>8.9999999999999993E-3</v>
      </c>
      <c r="F10" s="4">
        <v>5.7000000000000002E-2</v>
      </c>
      <c r="H10" s="4"/>
    </row>
    <row r="11" spans="1:8" ht="22" x14ac:dyDescent="0.25">
      <c r="A11" s="1" t="s">
        <v>10</v>
      </c>
      <c r="B11" s="10" t="s">
        <v>25</v>
      </c>
      <c r="C11" s="12">
        <v>1E-3</v>
      </c>
      <c r="D11" s="4">
        <v>1E-3</v>
      </c>
      <c r="E11" s="4">
        <v>1E-3</v>
      </c>
      <c r="F11" s="4">
        <v>8.4000000000000005E-2</v>
      </c>
      <c r="H11" s="4"/>
    </row>
    <row r="12" spans="1:8" ht="19" x14ac:dyDescent="0.2">
      <c r="A12" s="2"/>
      <c r="B12" s="2"/>
      <c r="C12" s="12"/>
      <c r="D12" s="4"/>
      <c r="E12" s="4"/>
      <c r="F12" s="4"/>
    </row>
    <row r="13" spans="1:8" ht="23" x14ac:dyDescent="0.25">
      <c r="A13" s="3"/>
      <c r="B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68BC-FF78-DE42-B4EF-3C0CF4F2F3BE}">
  <dimension ref="A1:N109"/>
  <sheetViews>
    <sheetView topLeftCell="B1" workbookViewId="0">
      <selection activeCell="J23" sqref="J23"/>
    </sheetView>
  </sheetViews>
  <sheetFormatPr baseColWidth="10" defaultRowHeight="16" x14ac:dyDescent="0.2"/>
  <cols>
    <col min="3" max="3" width="12.6640625" bestFit="1" customWidth="1"/>
    <col min="4" max="4" width="10.83203125" customWidth="1"/>
    <col min="7" max="7" width="14.6640625" bestFit="1" customWidth="1"/>
  </cols>
  <sheetData>
    <row r="1" spans="1:7" x14ac:dyDescent="0.2">
      <c r="A1" t="s">
        <v>11</v>
      </c>
      <c r="B1" t="s">
        <v>12</v>
      </c>
      <c r="C1" t="s">
        <v>13</v>
      </c>
      <c r="D1" t="s">
        <v>14</v>
      </c>
      <c r="F1" t="s">
        <v>15</v>
      </c>
      <c r="G1" t="s">
        <v>16</v>
      </c>
    </row>
    <row r="2" spans="1:7" x14ac:dyDescent="0.2">
      <c r="A2" s="8" t="s">
        <v>17</v>
      </c>
      <c r="F2" t="s">
        <v>17</v>
      </c>
      <c r="G2" s="7">
        <f>D8</f>
        <v>495.7</v>
      </c>
    </row>
    <row r="3" spans="1:7" x14ac:dyDescent="0.2">
      <c r="A3">
        <v>2019</v>
      </c>
      <c r="B3">
        <v>2.4</v>
      </c>
      <c r="C3" s="6">
        <v>197</v>
      </c>
      <c r="D3" s="6">
        <f>C3*B3</f>
        <v>472.79999999999995</v>
      </c>
      <c r="F3" t="s">
        <v>18</v>
      </c>
      <c r="G3" s="7">
        <f>D15</f>
        <v>194.1</v>
      </c>
    </row>
    <row r="4" spans="1:7" x14ac:dyDescent="0.2">
      <c r="A4">
        <v>2020</v>
      </c>
      <c r="B4">
        <v>3.2</v>
      </c>
      <c r="C4" s="6">
        <v>167</v>
      </c>
      <c r="D4" s="6">
        <f t="shared" ref="D4:D7" si="0">C4*B4</f>
        <v>534.4</v>
      </c>
      <c r="F4" t="s">
        <v>19</v>
      </c>
      <c r="G4" s="7">
        <f>D23</f>
        <v>919.59964069836462</v>
      </c>
    </row>
    <row r="5" spans="1:7" x14ac:dyDescent="0.2">
      <c r="A5">
        <v>2021</v>
      </c>
      <c r="B5">
        <v>3.2</v>
      </c>
      <c r="C5" s="6">
        <v>171</v>
      </c>
      <c r="D5" s="6">
        <f t="shared" si="0"/>
        <v>547.20000000000005</v>
      </c>
      <c r="F5" t="s">
        <v>22</v>
      </c>
      <c r="G5" s="7">
        <f>D31</f>
        <v>858.34005726630096</v>
      </c>
    </row>
    <row r="6" spans="1:7" x14ac:dyDescent="0.2">
      <c r="A6">
        <v>2022</v>
      </c>
      <c r="B6">
        <v>3.1</v>
      </c>
      <c r="C6" s="6">
        <v>157</v>
      </c>
      <c r="D6" s="6">
        <f t="shared" si="0"/>
        <v>486.7</v>
      </c>
      <c r="F6" t="s">
        <v>23</v>
      </c>
      <c r="G6" s="7">
        <f>D39</f>
        <v>602.52804733727817</v>
      </c>
    </row>
    <row r="7" spans="1:7" x14ac:dyDescent="0.2">
      <c r="A7">
        <v>2023</v>
      </c>
      <c r="B7">
        <v>2.7</v>
      </c>
      <c r="C7" s="6">
        <v>162</v>
      </c>
      <c r="D7" s="6">
        <f t="shared" si="0"/>
        <v>437.40000000000003</v>
      </c>
      <c r="F7" t="s">
        <v>24</v>
      </c>
      <c r="G7" s="7">
        <f>D47</f>
        <v>5646.0207407407406</v>
      </c>
    </row>
    <row r="8" spans="1:7" x14ac:dyDescent="0.2">
      <c r="C8" s="6"/>
      <c r="D8" s="6">
        <f>AVERAGE(D3:D7)</f>
        <v>495.7</v>
      </c>
      <c r="F8" t="s">
        <v>25</v>
      </c>
      <c r="G8" s="7">
        <f>D55</f>
        <v>1061.5224023082924</v>
      </c>
    </row>
    <row r="9" spans="1:7" x14ac:dyDescent="0.2">
      <c r="A9" s="8" t="s">
        <v>18</v>
      </c>
      <c r="F9" t="s">
        <v>27</v>
      </c>
      <c r="G9" s="7">
        <f>D73</f>
        <v>314.54586278602306</v>
      </c>
    </row>
    <row r="10" spans="1:7" x14ac:dyDescent="0.2">
      <c r="A10">
        <v>2019</v>
      </c>
      <c r="B10">
        <v>1.6</v>
      </c>
      <c r="C10">
        <v>145</v>
      </c>
      <c r="D10" s="6">
        <f>C10*B10</f>
        <v>232</v>
      </c>
      <c r="F10" t="s">
        <v>35</v>
      </c>
      <c r="G10" s="7">
        <f>E109</f>
        <v>2164.4457763036312</v>
      </c>
    </row>
    <row r="11" spans="1:7" x14ac:dyDescent="0.2">
      <c r="A11">
        <v>2020</v>
      </c>
      <c r="B11">
        <v>1.5</v>
      </c>
      <c r="C11">
        <v>120</v>
      </c>
      <c r="D11" s="6">
        <f t="shared" ref="D11:D14" si="1">C11*B11</f>
        <v>180</v>
      </c>
      <c r="F11" t="s">
        <v>36</v>
      </c>
      <c r="G11" s="7">
        <f>E109</f>
        <v>2164.4457763036312</v>
      </c>
    </row>
    <row r="12" spans="1:7" x14ac:dyDescent="0.2">
      <c r="A12">
        <v>2021</v>
      </c>
      <c r="B12">
        <v>1.9</v>
      </c>
      <c r="C12">
        <v>117</v>
      </c>
      <c r="D12" s="6">
        <f t="shared" si="1"/>
        <v>222.29999999999998</v>
      </c>
    </row>
    <row r="13" spans="1:7" x14ac:dyDescent="0.2">
      <c r="A13">
        <v>2022</v>
      </c>
      <c r="B13">
        <v>1.7</v>
      </c>
      <c r="C13">
        <v>106</v>
      </c>
      <c r="D13" s="6">
        <f t="shared" si="1"/>
        <v>180.2</v>
      </c>
    </row>
    <row r="14" spans="1:7" x14ac:dyDescent="0.2">
      <c r="A14">
        <v>2023</v>
      </c>
      <c r="B14">
        <v>1.3</v>
      </c>
      <c r="C14">
        <v>120</v>
      </c>
      <c r="D14" s="6">
        <f t="shared" si="1"/>
        <v>156</v>
      </c>
    </row>
    <row r="15" spans="1:7" x14ac:dyDescent="0.2">
      <c r="D15" s="6">
        <f>AVERAGE(D10:D14)</f>
        <v>194.1</v>
      </c>
    </row>
    <row r="17" spans="1:13" x14ac:dyDescent="0.2">
      <c r="A17" s="8" t="s">
        <v>19</v>
      </c>
      <c r="B17" t="s">
        <v>20</v>
      </c>
      <c r="C17" t="s">
        <v>21</v>
      </c>
      <c r="D17" t="s">
        <v>14</v>
      </c>
    </row>
    <row r="18" spans="1:13" ht="21" x14ac:dyDescent="0.3">
      <c r="A18">
        <v>2019</v>
      </c>
      <c r="B18" s="5">
        <v>63500</v>
      </c>
      <c r="C18" s="5">
        <v>42254000</v>
      </c>
      <c r="D18" s="6">
        <f>C18/B18</f>
        <v>665.41732283464569</v>
      </c>
      <c r="F18" s="9"/>
      <c r="G18" s="5"/>
      <c r="K18" s="5"/>
      <c r="L18" s="5"/>
      <c r="M18" s="5"/>
    </row>
    <row r="19" spans="1:13" x14ac:dyDescent="0.2">
      <c r="A19">
        <v>2020</v>
      </c>
      <c r="B19" s="5">
        <v>56600</v>
      </c>
      <c r="C19" s="5">
        <v>35291000</v>
      </c>
      <c r="D19" s="6">
        <f t="shared" ref="D19:D22" si="2">C19/B19</f>
        <v>623.51590106007063</v>
      </c>
      <c r="F19" s="5"/>
      <c r="G19" s="5"/>
      <c r="K19" s="5"/>
      <c r="L19" s="5"/>
      <c r="M19" s="5"/>
    </row>
    <row r="20" spans="1:13" x14ac:dyDescent="0.2">
      <c r="A20">
        <v>2021</v>
      </c>
      <c r="B20" s="5">
        <v>58200</v>
      </c>
      <c r="C20" s="5">
        <v>52274000</v>
      </c>
      <c r="D20" s="6">
        <f t="shared" si="2"/>
        <v>898.17869415807559</v>
      </c>
      <c r="F20" s="5"/>
      <c r="G20" s="5"/>
      <c r="K20" s="5"/>
      <c r="L20" s="5"/>
      <c r="M20" s="5"/>
    </row>
    <row r="21" spans="1:13" x14ac:dyDescent="0.2">
      <c r="A21">
        <v>2022</v>
      </c>
      <c r="B21" s="5">
        <v>56000</v>
      </c>
      <c r="C21" s="5">
        <v>63881000</v>
      </c>
      <c r="D21" s="6">
        <f t="shared" si="2"/>
        <v>1140.7321428571429</v>
      </c>
      <c r="F21" s="5"/>
      <c r="G21" s="5"/>
      <c r="K21" s="5"/>
      <c r="L21" s="5"/>
      <c r="M21" s="5"/>
    </row>
    <row r="22" spans="1:13" x14ac:dyDescent="0.2">
      <c r="A22">
        <v>2023</v>
      </c>
      <c r="B22" s="5">
        <v>51900</v>
      </c>
      <c r="C22" s="5">
        <v>65921000</v>
      </c>
      <c r="D22" s="6">
        <f t="shared" si="2"/>
        <v>1270.1541425818882</v>
      </c>
      <c r="F22" s="5"/>
      <c r="G22" s="5"/>
      <c r="K22" s="5"/>
      <c r="L22" s="5"/>
      <c r="M22" s="5"/>
    </row>
    <row r="23" spans="1:13" x14ac:dyDescent="0.2">
      <c r="D23" s="6">
        <f>AVERAGE(D18:D22)</f>
        <v>919.59964069836462</v>
      </c>
    </row>
    <row r="25" spans="1:13" x14ac:dyDescent="0.2">
      <c r="A25" s="8" t="s">
        <v>22</v>
      </c>
    </row>
    <row r="26" spans="1:13" x14ac:dyDescent="0.2">
      <c r="A26">
        <v>2019</v>
      </c>
      <c r="B26" s="5">
        <v>2670000</v>
      </c>
      <c r="C26" s="5">
        <v>1520245000</v>
      </c>
      <c r="D26" s="6">
        <f>C26/B26</f>
        <v>569.38014981273409</v>
      </c>
      <c r="E26" s="5"/>
      <c r="G26" s="5"/>
    </row>
    <row r="27" spans="1:13" x14ac:dyDescent="0.2">
      <c r="A27">
        <v>2020</v>
      </c>
      <c r="B27" s="5">
        <v>2930000</v>
      </c>
      <c r="C27" s="5">
        <v>2250592000</v>
      </c>
      <c r="D27" s="6">
        <f t="shared" ref="D27:D30" si="3">C27/B27</f>
        <v>768.12013651877135</v>
      </c>
      <c r="E27" s="5"/>
      <c r="G27" s="5"/>
    </row>
    <row r="28" spans="1:13" x14ac:dyDescent="0.2">
      <c r="A28">
        <v>2021</v>
      </c>
      <c r="B28" s="5">
        <v>3000000</v>
      </c>
      <c r="C28" s="5">
        <v>3240000000</v>
      </c>
      <c r="D28" s="6">
        <f t="shared" si="3"/>
        <v>1080</v>
      </c>
      <c r="E28" s="5"/>
      <c r="G28" s="5"/>
    </row>
    <row r="29" spans="1:13" x14ac:dyDescent="0.2">
      <c r="A29">
        <v>2022</v>
      </c>
      <c r="B29" s="5">
        <v>2990000</v>
      </c>
      <c r="C29" s="5">
        <v>3288402000</v>
      </c>
      <c r="D29" s="6">
        <f t="shared" si="3"/>
        <v>1099.8</v>
      </c>
      <c r="E29" s="5"/>
      <c r="G29" s="5"/>
    </row>
    <row r="30" spans="1:13" x14ac:dyDescent="0.2">
      <c r="A30">
        <v>2023</v>
      </c>
      <c r="B30" s="5">
        <v>3140000</v>
      </c>
      <c r="C30" s="5">
        <v>2431616000</v>
      </c>
      <c r="D30" s="6">
        <f t="shared" si="3"/>
        <v>774.4</v>
      </c>
      <c r="E30" s="5"/>
      <c r="G30" s="5"/>
    </row>
    <row r="31" spans="1:13" x14ac:dyDescent="0.2">
      <c r="D31" s="6">
        <f>AVERAGE(D26:D30)</f>
        <v>858.34005726630096</v>
      </c>
    </row>
    <row r="32" spans="1:13" x14ac:dyDescent="0.2">
      <c r="H32" s="5"/>
      <c r="I32" s="5"/>
      <c r="K32" s="5"/>
      <c r="M32" s="5"/>
    </row>
    <row r="33" spans="1:14" x14ac:dyDescent="0.2">
      <c r="A33" s="8" t="s">
        <v>23</v>
      </c>
      <c r="H33" s="5"/>
      <c r="I33" s="5"/>
      <c r="K33" s="5"/>
      <c r="M33" s="5"/>
    </row>
    <row r="34" spans="1:14" x14ac:dyDescent="0.2">
      <c r="A34">
        <v>2019</v>
      </c>
      <c r="B34" s="5">
        <v>1690000</v>
      </c>
      <c r="C34">
        <v>668801000</v>
      </c>
      <c r="D34" s="6">
        <f>C34/B34</f>
        <v>395.74023668639052</v>
      </c>
      <c r="F34" s="5"/>
      <c r="H34" s="5"/>
      <c r="I34" s="5"/>
      <c r="K34" s="5"/>
      <c r="M34" s="5"/>
    </row>
    <row r="35" spans="1:14" x14ac:dyDescent="0.2">
      <c r="A35">
        <v>2020</v>
      </c>
      <c r="B35" s="5">
        <v>1990000</v>
      </c>
      <c r="C35">
        <v>1076192000</v>
      </c>
      <c r="D35" s="6">
        <f t="shared" ref="D35:D38" si="4">C35/B35</f>
        <v>540.79999999999995</v>
      </c>
      <c r="F35" s="5"/>
      <c r="H35" s="5"/>
      <c r="I35" s="5"/>
      <c r="K35" s="5"/>
      <c r="M35" s="5"/>
    </row>
    <row r="36" spans="1:14" x14ac:dyDescent="0.2">
      <c r="A36">
        <v>2021</v>
      </c>
      <c r="B36" s="5">
        <v>2070000</v>
      </c>
      <c r="C36">
        <v>1445895000</v>
      </c>
      <c r="D36" s="6">
        <f t="shared" si="4"/>
        <v>698.5</v>
      </c>
      <c r="F36" s="5"/>
      <c r="H36" s="5"/>
      <c r="I36" s="5"/>
      <c r="K36" s="5"/>
      <c r="M36" s="5"/>
    </row>
    <row r="37" spans="1:14" x14ac:dyDescent="0.2">
      <c r="A37">
        <v>2022</v>
      </c>
      <c r="B37" s="5">
        <v>2150000</v>
      </c>
      <c r="C37">
        <v>1602180000</v>
      </c>
      <c r="D37" s="6">
        <f t="shared" si="4"/>
        <v>745.2</v>
      </c>
      <c r="F37" s="5"/>
    </row>
    <row r="38" spans="1:14" x14ac:dyDescent="0.2">
      <c r="A38">
        <v>2023</v>
      </c>
      <c r="B38" s="5">
        <v>2060000</v>
      </c>
      <c r="C38">
        <v>1302744000</v>
      </c>
      <c r="D38" s="6">
        <f t="shared" si="4"/>
        <v>632.4</v>
      </c>
      <c r="F38" s="5"/>
    </row>
    <row r="39" spans="1:14" x14ac:dyDescent="0.2">
      <c r="D39" s="6">
        <f>AVERAGE(D34:D38)</f>
        <v>602.52804733727817</v>
      </c>
    </row>
    <row r="41" spans="1:14" x14ac:dyDescent="0.2">
      <c r="A41" s="8" t="s">
        <v>24</v>
      </c>
    </row>
    <row r="42" spans="1:14" x14ac:dyDescent="0.2">
      <c r="A42">
        <v>2019</v>
      </c>
      <c r="B42" s="5">
        <v>67000</v>
      </c>
      <c r="C42" s="5">
        <v>324146000</v>
      </c>
      <c r="D42" s="6">
        <f>C42/B42</f>
        <v>4838</v>
      </c>
      <c r="E42" s="5"/>
      <c r="G42" s="6"/>
      <c r="I42" s="5"/>
      <c r="J42" s="5"/>
      <c r="L42" s="5"/>
      <c r="N42" s="5"/>
    </row>
    <row r="43" spans="1:14" x14ac:dyDescent="0.2">
      <c r="A43">
        <v>2020</v>
      </c>
      <c r="B43" s="5">
        <v>65500</v>
      </c>
      <c r="C43" s="5">
        <v>335622000</v>
      </c>
      <c r="D43" s="6">
        <f t="shared" ref="D43:D46" si="5">C43/B43</f>
        <v>5124</v>
      </c>
      <c r="E43" s="5"/>
      <c r="G43" s="6"/>
      <c r="I43" s="5"/>
      <c r="J43" s="5"/>
      <c r="L43" s="5"/>
      <c r="N43" s="5"/>
    </row>
    <row r="44" spans="1:14" x14ac:dyDescent="0.2">
      <c r="A44">
        <v>2021</v>
      </c>
      <c r="B44" s="5">
        <v>66500</v>
      </c>
      <c r="C44" s="5">
        <v>371735000</v>
      </c>
      <c r="D44" s="6">
        <f t="shared" si="5"/>
        <v>5590</v>
      </c>
      <c r="E44" s="5"/>
      <c r="G44" s="6"/>
      <c r="I44" s="5"/>
      <c r="J44" s="5"/>
      <c r="L44" s="5"/>
      <c r="N44" s="5"/>
    </row>
    <row r="45" spans="1:14" x14ac:dyDescent="0.2">
      <c r="A45">
        <v>2022</v>
      </c>
      <c r="B45" s="5">
        <v>65500</v>
      </c>
      <c r="C45" s="5">
        <v>408720000</v>
      </c>
      <c r="D45" s="6">
        <f t="shared" si="5"/>
        <v>6240</v>
      </c>
      <c r="E45" s="5"/>
      <c r="G45" s="6"/>
      <c r="I45" s="5"/>
      <c r="J45" s="5"/>
      <c r="L45" s="5"/>
      <c r="N45" s="5"/>
    </row>
    <row r="46" spans="1:14" x14ac:dyDescent="0.2">
      <c r="A46">
        <v>2023</v>
      </c>
      <c r="B46" s="5">
        <v>67500</v>
      </c>
      <c r="C46" s="5">
        <v>434572000</v>
      </c>
      <c r="D46" s="6">
        <f t="shared" si="5"/>
        <v>6438.103703703704</v>
      </c>
      <c r="E46" s="5"/>
      <c r="G46" s="6"/>
      <c r="I46" s="5"/>
      <c r="J46" s="5"/>
      <c r="L46" s="5"/>
      <c r="N46" s="5"/>
    </row>
    <row r="47" spans="1:14" x14ac:dyDescent="0.2">
      <c r="D47" s="6">
        <f>AVERAGE(D42:D46)</f>
        <v>5646.0207407407406</v>
      </c>
      <c r="G47" s="6"/>
    </row>
    <row r="49" spans="1:13" x14ac:dyDescent="0.2">
      <c r="A49" s="8" t="s">
        <v>25</v>
      </c>
    </row>
    <row r="50" spans="1:13" x14ac:dyDescent="0.2">
      <c r="A50">
        <v>2019</v>
      </c>
      <c r="B50" s="5">
        <v>49400</v>
      </c>
      <c r="C50" s="5">
        <v>33470000</v>
      </c>
      <c r="D50" s="6">
        <f>C50/B50</f>
        <v>677.53036437246965</v>
      </c>
      <c r="F50" s="5"/>
      <c r="G50" s="5"/>
      <c r="K50" s="5"/>
      <c r="L50" s="5"/>
      <c r="M50" s="5"/>
    </row>
    <row r="51" spans="1:13" x14ac:dyDescent="0.2">
      <c r="A51">
        <v>2020</v>
      </c>
      <c r="B51" s="5">
        <v>57100</v>
      </c>
      <c r="C51" s="5">
        <v>49507000</v>
      </c>
      <c r="D51" s="6">
        <f t="shared" ref="D51:D54" si="6">C51/B51</f>
        <v>867.02276707530643</v>
      </c>
      <c r="F51" s="5"/>
      <c r="G51" s="5"/>
      <c r="K51" s="5"/>
      <c r="L51" s="5"/>
      <c r="M51" s="5"/>
    </row>
    <row r="52" spans="1:13" x14ac:dyDescent="0.2">
      <c r="A52">
        <v>2021</v>
      </c>
      <c r="B52" s="5">
        <v>53200</v>
      </c>
      <c r="C52" s="5">
        <v>52967000</v>
      </c>
      <c r="D52" s="6">
        <f t="shared" si="6"/>
        <v>995.62030075187965</v>
      </c>
      <c r="F52" s="5"/>
      <c r="G52" s="5"/>
      <c r="K52" s="5"/>
      <c r="L52" s="5"/>
      <c r="M52" s="5"/>
    </row>
    <row r="53" spans="1:13" x14ac:dyDescent="0.2">
      <c r="A53">
        <v>2022</v>
      </c>
      <c r="B53" s="5">
        <v>55800</v>
      </c>
      <c r="C53" s="5">
        <v>69044000</v>
      </c>
      <c r="D53" s="6">
        <f t="shared" si="6"/>
        <v>1237.347670250896</v>
      </c>
      <c r="F53" s="5"/>
      <c r="G53" s="5"/>
      <c r="K53" s="5"/>
      <c r="L53" s="5"/>
      <c r="M53" s="5"/>
    </row>
    <row r="54" spans="1:13" x14ac:dyDescent="0.2">
      <c r="A54">
        <v>2023</v>
      </c>
      <c r="B54" s="5">
        <v>55000</v>
      </c>
      <c r="C54" s="5">
        <v>84155000</v>
      </c>
      <c r="D54" s="6">
        <f t="shared" si="6"/>
        <v>1530.090909090909</v>
      </c>
      <c r="F54" s="5"/>
      <c r="G54" s="5"/>
      <c r="K54" s="5"/>
      <c r="L54" s="5"/>
      <c r="M54" s="5"/>
    </row>
    <row r="55" spans="1:13" x14ac:dyDescent="0.2">
      <c r="D55" s="6">
        <f>AVERAGE(D50:D54)</f>
        <v>1061.5224023082924</v>
      </c>
    </row>
    <row r="57" spans="1:13" x14ac:dyDescent="0.2">
      <c r="A57" t="s">
        <v>26</v>
      </c>
    </row>
    <row r="58" spans="1:13" x14ac:dyDescent="0.2">
      <c r="A58">
        <v>2019</v>
      </c>
      <c r="B58" s="5">
        <v>8000</v>
      </c>
      <c r="C58">
        <v>1932000</v>
      </c>
      <c r="D58" s="6">
        <f t="shared" ref="D58:D72" si="7">C58/B58</f>
        <v>241.5</v>
      </c>
      <c r="G58" s="5"/>
    </row>
    <row r="59" spans="1:13" x14ac:dyDescent="0.2">
      <c r="A59">
        <v>2020</v>
      </c>
      <c r="B59" s="5">
        <v>13000</v>
      </c>
      <c r="C59">
        <v>2601000</v>
      </c>
      <c r="D59" s="6">
        <f t="shared" si="7"/>
        <v>200.07692307692307</v>
      </c>
      <c r="G59" s="5"/>
    </row>
    <row r="60" spans="1:13" x14ac:dyDescent="0.2">
      <c r="A60">
        <v>2021</v>
      </c>
      <c r="B60" s="5">
        <v>7000</v>
      </c>
      <c r="C60">
        <v>1670000</v>
      </c>
      <c r="D60" s="6">
        <f t="shared" si="7"/>
        <v>238.57142857142858</v>
      </c>
      <c r="G60" s="5"/>
    </row>
    <row r="61" spans="1:13" x14ac:dyDescent="0.2">
      <c r="A61">
        <v>2022</v>
      </c>
      <c r="B61" s="5">
        <v>3000</v>
      </c>
      <c r="C61">
        <v>1081000</v>
      </c>
      <c r="D61" s="6">
        <f t="shared" si="7"/>
        <v>360.33333333333331</v>
      </c>
      <c r="G61" s="5"/>
    </row>
    <row r="62" spans="1:13" x14ac:dyDescent="0.2">
      <c r="A62">
        <v>2023</v>
      </c>
      <c r="B62" s="5">
        <v>2000</v>
      </c>
      <c r="C62">
        <v>794000</v>
      </c>
      <c r="D62" s="6">
        <f t="shared" si="7"/>
        <v>397</v>
      </c>
    </row>
    <row r="63" spans="1:13" x14ac:dyDescent="0.2">
      <c r="A63">
        <v>2019</v>
      </c>
      <c r="B63" s="5">
        <v>120000</v>
      </c>
      <c r="C63">
        <v>20282000</v>
      </c>
      <c r="D63" s="6">
        <f t="shared" si="7"/>
        <v>169.01666666666668</v>
      </c>
      <c r="E63" s="5"/>
      <c r="G63" s="5"/>
    </row>
    <row r="64" spans="1:13" x14ac:dyDescent="0.2">
      <c r="A64">
        <v>2020</v>
      </c>
      <c r="B64" s="5">
        <v>131000</v>
      </c>
      <c r="C64">
        <v>22531000</v>
      </c>
      <c r="D64" s="6">
        <f t="shared" si="7"/>
        <v>171.99236641221373</v>
      </c>
      <c r="E64" s="5"/>
      <c r="G64" s="5"/>
    </row>
    <row r="65" spans="1:13" x14ac:dyDescent="0.2">
      <c r="A65">
        <v>2021</v>
      </c>
      <c r="B65" s="5">
        <v>61000</v>
      </c>
      <c r="C65">
        <v>14788000</v>
      </c>
      <c r="D65" s="6">
        <f t="shared" si="7"/>
        <v>242.42622950819671</v>
      </c>
      <c r="E65" s="5"/>
      <c r="G65" s="5"/>
    </row>
    <row r="66" spans="1:13" x14ac:dyDescent="0.2">
      <c r="A66">
        <v>2022</v>
      </c>
      <c r="B66" s="5">
        <v>65000</v>
      </c>
      <c r="C66">
        <v>22318000</v>
      </c>
      <c r="D66" s="6">
        <f t="shared" si="7"/>
        <v>343.35384615384618</v>
      </c>
      <c r="E66" s="5"/>
      <c r="G66" s="5"/>
    </row>
    <row r="67" spans="1:13" x14ac:dyDescent="0.2">
      <c r="A67">
        <v>2023</v>
      </c>
      <c r="B67" s="5">
        <v>75000</v>
      </c>
      <c r="C67">
        <v>16470000</v>
      </c>
      <c r="D67" s="6">
        <f t="shared" si="7"/>
        <v>219.6</v>
      </c>
      <c r="E67" s="5"/>
      <c r="G67" s="5"/>
    </row>
    <row r="68" spans="1:13" x14ac:dyDescent="0.2">
      <c r="A68">
        <v>2019</v>
      </c>
      <c r="B68" s="5">
        <v>150000</v>
      </c>
      <c r="C68">
        <v>43584000</v>
      </c>
      <c r="D68" s="6">
        <f t="shared" si="7"/>
        <v>290.56</v>
      </c>
      <c r="E68" s="5"/>
      <c r="G68" s="5"/>
    </row>
    <row r="69" spans="1:13" x14ac:dyDescent="0.2">
      <c r="A69">
        <v>2020</v>
      </c>
      <c r="B69" s="5">
        <v>125000</v>
      </c>
      <c r="C69">
        <v>42263000</v>
      </c>
      <c r="D69" s="6">
        <f t="shared" si="7"/>
        <v>338.10399999999998</v>
      </c>
      <c r="E69" s="5"/>
      <c r="G69" s="5"/>
    </row>
    <row r="70" spans="1:13" x14ac:dyDescent="0.2">
      <c r="A70">
        <v>2021</v>
      </c>
      <c r="B70" s="5">
        <v>245000</v>
      </c>
      <c r="C70">
        <v>114844000</v>
      </c>
      <c r="D70" s="6">
        <f t="shared" si="7"/>
        <v>468.75102040816324</v>
      </c>
      <c r="E70" s="5"/>
      <c r="G70" s="5"/>
    </row>
    <row r="71" spans="1:13" x14ac:dyDescent="0.2">
      <c r="A71">
        <v>2022</v>
      </c>
      <c r="B71" s="5">
        <v>235000</v>
      </c>
      <c r="C71">
        <v>134726000</v>
      </c>
      <c r="D71" s="6">
        <f t="shared" si="7"/>
        <v>573.30212765957447</v>
      </c>
      <c r="E71" s="5"/>
      <c r="G71" s="5"/>
    </row>
    <row r="72" spans="1:13" x14ac:dyDescent="0.2">
      <c r="A72">
        <v>2023</v>
      </c>
      <c r="B72" s="5">
        <v>230000</v>
      </c>
      <c r="C72">
        <v>106628000</v>
      </c>
      <c r="D72" s="6">
        <f t="shared" si="7"/>
        <v>463.6</v>
      </c>
      <c r="E72" s="5"/>
      <c r="G72" s="5"/>
    </row>
    <row r="73" spans="1:13" x14ac:dyDescent="0.2">
      <c r="D73" s="7">
        <f>AVERAGE(D58:D72)</f>
        <v>314.54586278602306</v>
      </c>
    </row>
    <row r="75" spans="1:13" x14ac:dyDescent="0.2">
      <c r="A75" t="s">
        <v>34</v>
      </c>
    </row>
    <row r="76" spans="1:13" x14ac:dyDescent="0.2">
      <c r="A76">
        <v>2019</v>
      </c>
      <c r="B76" s="5">
        <v>5000</v>
      </c>
      <c r="C76" s="5">
        <v>15598000</v>
      </c>
      <c r="D76" s="6">
        <f t="shared" ref="D76:D108" si="8">C76/B76</f>
        <v>3119.6</v>
      </c>
      <c r="G76" s="5"/>
      <c r="M76" s="5"/>
    </row>
    <row r="77" spans="1:13" x14ac:dyDescent="0.2">
      <c r="A77">
        <v>2021</v>
      </c>
      <c r="B77" s="5">
        <v>3300</v>
      </c>
      <c r="C77" s="5">
        <v>19198000</v>
      </c>
      <c r="D77" s="6">
        <f t="shared" si="8"/>
        <v>5817.575757575758</v>
      </c>
      <c r="G77" s="5"/>
      <c r="M77" s="5"/>
    </row>
    <row r="78" spans="1:13" x14ac:dyDescent="0.2">
      <c r="A78">
        <v>2022</v>
      </c>
      <c r="B78" s="5">
        <v>3800</v>
      </c>
      <c r="C78" s="5">
        <v>29564000</v>
      </c>
      <c r="D78" s="6">
        <f t="shared" si="8"/>
        <v>7780</v>
      </c>
      <c r="G78" s="5"/>
      <c r="M78" s="5"/>
    </row>
    <row r="79" spans="1:13" x14ac:dyDescent="0.2">
      <c r="A79">
        <v>2023</v>
      </c>
      <c r="B79" s="5">
        <v>3500</v>
      </c>
      <c r="C79" s="5">
        <v>32262000</v>
      </c>
      <c r="D79" s="6">
        <f t="shared" si="8"/>
        <v>9217.7142857142862</v>
      </c>
      <c r="E79" s="7">
        <f>AVERAGE(D76:D79)</f>
        <v>6483.7225108225111</v>
      </c>
      <c r="F79" s="5"/>
      <c r="G79" s="5"/>
      <c r="K79" s="5"/>
      <c r="L79" s="5"/>
      <c r="M79" s="5"/>
    </row>
    <row r="80" spans="1:13" x14ac:dyDescent="0.2">
      <c r="A80" t="s">
        <v>28</v>
      </c>
      <c r="C80" s="5">
        <v>0</v>
      </c>
    </row>
    <row r="81" spans="1:13" x14ac:dyDescent="0.2">
      <c r="A81">
        <v>2019</v>
      </c>
      <c r="B81" s="5">
        <v>3300</v>
      </c>
      <c r="C81" s="5">
        <v>6977000</v>
      </c>
      <c r="D81" s="6">
        <f t="shared" si="8"/>
        <v>2114.242424242424</v>
      </c>
      <c r="G81" s="5"/>
      <c r="M81" s="5"/>
    </row>
    <row r="82" spans="1:13" x14ac:dyDescent="0.2">
      <c r="A82">
        <v>2020</v>
      </c>
      <c r="B82" s="5">
        <v>3500</v>
      </c>
      <c r="C82" s="5">
        <v>8483000</v>
      </c>
      <c r="D82" s="6">
        <f t="shared" si="8"/>
        <v>2423.7142857142858</v>
      </c>
      <c r="F82" s="5"/>
      <c r="G82" s="5"/>
      <c r="K82" s="5"/>
      <c r="L82" s="5"/>
      <c r="M82" s="5"/>
    </row>
    <row r="83" spans="1:13" x14ac:dyDescent="0.2">
      <c r="A83">
        <v>2021</v>
      </c>
      <c r="B83" s="5">
        <v>2900</v>
      </c>
      <c r="C83" s="5">
        <v>8054000</v>
      </c>
      <c r="D83" s="6">
        <f t="shared" si="8"/>
        <v>2777.2413793103447</v>
      </c>
      <c r="F83" s="5"/>
      <c r="G83" s="5"/>
      <c r="K83" s="5"/>
      <c r="L83" s="5"/>
      <c r="M83" s="5"/>
    </row>
    <row r="84" spans="1:13" x14ac:dyDescent="0.2">
      <c r="A84">
        <v>2022</v>
      </c>
      <c r="B84" s="5">
        <v>3300</v>
      </c>
      <c r="C84" s="5">
        <v>9051000</v>
      </c>
      <c r="D84" s="6">
        <f t="shared" si="8"/>
        <v>2742.7272727272725</v>
      </c>
      <c r="E84" s="7">
        <f>AVERAGE(D81:D84)</f>
        <v>2514.4813404985816</v>
      </c>
      <c r="F84" s="5"/>
      <c r="G84" s="5"/>
      <c r="K84" s="5"/>
      <c r="L84" s="5"/>
      <c r="M84" s="5"/>
    </row>
    <row r="85" spans="1:13" x14ac:dyDescent="0.2">
      <c r="A85" t="s">
        <v>29</v>
      </c>
      <c r="C85" s="5">
        <v>0</v>
      </c>
    </row>
    <row r="86" spans="1:13" x14ac:dyDescent="0.2">
      <c r="A86">
        <v>2023</v>
      </c>
      <c r="B86" s="5">
        <v>6900</v>
      </c>
      <c r="C86" s="5">
        <v>23607000</v>
      </c>
      <c r="D86" s="6">
        <f t="shared" si="8"/>
        <v>3421.304347826087</v>
      </c>
      <c r="E86" s="7">
        <f>D86</f>
        <v>3421.304347826087</v>
      </c>
      <c r="G86" s="5"/>
      <c r="M86" s="5"/>
    </row>
    <row r="87" spans="1:13" x14ac:dyDescent="0.2">
      <c r="A87" t="s">
        <v>30</v>
      </c>
      <c r="C87" s="5">
        <v>0</v>
      </c>
    </row>
    <row r="88" spans="1:13" x14ac:dyDescent="0.2">
      <c r="A88">
        <v>2019</v>
      </c>
      <c r="B88" s="5">
        <v>24300</v>
      </c>
      <c r="C88" s="5">
        <v>10603000</v>
      </c>
      <c r="D88" s="6">
        <f t="shared" si="8"/>
        <v>436.3374485596708</v>
      </c>
      <c r="F88" s="5"/>
      <c r="G88" s="5"/>
      <c r="L88" s="5"/>
      <c r="M88" s="5"/>
    </row>
    <row r="89" spans="1:13" x14ac:dyDescent="0.2">
      <c r="A89">
        <v>2020</v>
      </c>
      <c r="B89" s="5">
        <v>28700</v>
      </c>
      <c r="C89" s="5">
        <v>14694000</v>
      </c>
      <c r="D89" s="6">
        <f t="shared" si="8"/>
        <v>511.98606271777004</v>
      </c>
      <c r="F89" s="5"/>
      <c r="G89" s="5"/>
      <c r="L89" s="5"/>
      <c r="M89" s="5"/>
    </row>
    <row r="90" spans="1:13" x14ac:dyDescent="0.2">
      <c r="A90">
        <v>2021</v>
      </c>
      <c r="B90" s="5">
        <v>27300</v>
      </c>
      <c r="C90" s="5">
        <v>18848000</v>
      </c>
      <c r="D90" s="6">
        <f t="shared" si="8"/>
        <v>690.40293040293045</v>
      </c>
      <c r="F90" s="5"/>
      <c r="G90" s="5"/>
      <c r="L90" s="5"/>
      <c r="M90" s="5"/>
    </row>
    <row r="91" spans="1:13" x14ac:dyDescent="0.2">
      <c r="A91">
        <v>2022</v>
      </c>
      <c r="B91" s="5">
        <v>26100</v>
      </c>
      <c r="C91" s="5">
        <v>19727000</v>
      </c>
      <c r="D91" s="6">
        <f t="shared" si="8"/>
        <v>755.82375478927202</v>
      </c>
      <c r="F91" s="5"/>
      <c r="G91" s="5"/>
      <c r="L91" s="5"/>
      <c r="M91" s="5"/>
    </row>
    <row r="92" spans="1:13" x14ac:dyDescent="0.2">
      <c r="A92">
        <v>2023</v>
      </c>
      <c r="B92" s="5">
        <v>28500</v>
      </c>
      <c r="C92" s="5">
        <v>26603000</v>
      </c>
      <c r="D92" s="6">
        <f t="shared" si="8"/>
        <v>933.43859649122805</v>
      </c>
      <c r="E92" s="7">
        <f>AVERAGE(D88:D92)</f>
        <v>665.59775859217427</v>
      </c>
      <c r="F92" s="5"/>
      <c r="G92" s="5"/>
      <c r="L92" s="5"/>
      <c r="M92" s="5"/>
    </row>
    <row r="93" spans="1:13" x14ac:dyDescent="0.2">
      <c r="A93" t="s">
        <v>31</v>
      </c>
      <c r="C93" s="5">
        <v>0</v>
      </c>
    </row>
    <row r="94" spans="1:13" x14ac:dyDescent="0.2">
      <c r="A94">
        <v>2020</v>
      </c>
      <c r="B94" s="5">
        <v>2900</v>
      </c>
      <c r="C94" s="5">
        <v>4425000</v>
      </c>
      <c r="D94" s="6">
        <f t="shared" si="8"/>
        <v>1525.8620689655172</v>
      </c>
      <c r="K94" s="5"/>
      <c r="M94" s="5"/>
    </row>
    <row r="95" spans="1:13" x14ac:dyDescent="0.2">
      <c r="A95">
        <v>2021</v>
      </c>
      <c r="B95" s="5">
        <v>3300</v>
      </c>
      <c r="C95" s="5">
        <v>6994000</v>
      </c>
      <c r="D95" s="6">
        <f t="shared" si="8"/>
        <v>2119.3939393939395</v>
      </c>
      <c r="K95" s="5"/>
      <c r="M95" s="5"/>
    </row>
    <row r="96" spans="1:13" x14ac:dyDescent="0.2">
      <c r="A96">
        <v>2023</v>
      </c>
      <c r="B96" s="5">
        <v>2900</v>
      </c>
      <c r="C96" s="5">
        <v>8998000</v>
      </c>
      <c r="D96" s="6">
        <f t="shared" si="8"/>
        <v>3102.7586206896553</v>
      </c>
      <c r="E96" s="7">
        <f>AVERAGE(D94:D96)</f>
        <v>2249.3382096830373</v>
      </c>
      <c r="K96" s="5"/>
      <c r="M96" s="5"/>
    </row>
    <row r="97" spans="1:13" x14ac:dyDescent="0.2">
      <c r="A97" t="s">
        <v>32</v>
      </c>
      <c r="C97" s="5">
        <v>0</v>
      </c>
    </row>
    <row r="98" spans="1:13" x14ac:dyDescent="0.2">
      <c r="A98">
        <v>2019</v>
      </c>
      <c r="B98" s="5">
        <v>63500</v>
      </c>
      <c r="C98" s="5">
        <v>42254000</v>
      </c>
      <c r="D98" s="6">
        <f t="shared" si="8"/>
        <v>665.41732283464569</v>
      </c>
      <c r="F98" s="5"/>
      <c r="G98" s="5"/>
      <c r="K98" s="5"/>
      <c r="L98" s="5"/>
      <c r="M98" s="5"/>
    </row>
    <row r="99" spans="1:13" x14ac:dyDescent="0.2">
      <c r="A99">
        <v>2020</v>
      </c>
      <c r="B99" s="5">
        <v>56600</v>
      </c>
      <c r="C99" s="5">
        <v>35291000</v>
      </c>
      <c r="D99" s="6">
        <f t="shared" si="8"/>
        <v>623.51590106007063</v>
      </c>
      <c r="F99" s="5"/>
      <c r="G99" s="5"/>
      <c r="K99" s="5"/>
      <c r="L99" s="5"/>
      <c r="M99" s="5"/>
    </row>
    <row r="100" spans="1:13" x14ac:dyDescent="0.2">
      <c r="A100">
        <v>2021</v>
      </c>
      <c r="B100" s="5">
        <v>58200</v>
      </c>
      <c r="C100" s="5">
        <v>52274000</v>
      </c>
      <c r="D100" s="6">
        <f t="shared" si="8"/>
        <v>898.17869415807559</v>
      </c>
      <c r="F100" s="5"/>
      <c r="G100" s="5"/>
      <c r="K100" s="5"/>
      <c r="L100" s="5"/>
      <c r="M100" s="5"/>
    </row>
    <row r="101" spans="1:13" x14ac:dyDescent="0.2">
      <c r="A101">
        <v>2022</v>
      </c>
      <c r="B101" s="5">
        <v>56000</v>
      </c>
      <c r="C101" s="5">
        <v>63881000</v>
      </c>
      <c r="D101" s="6">
        <f t="shared" si="8"/>
        <v>1140.7321428571429</v>
      </c>
      <c r="F101" s="5"/>
      <c r="G101" s="5"/>
      <c r="K101" s="5"/>
      <c r="L101" s="5"/>
      <c r="M101" s="5"/>
    </row>
    <row r="102" spans="1:13" x14ac:dyDescent="0.2">
      <c r="A102">
        <v>2023</v>
      </c>
      <c r="B102" s="5">
        <v>51900</v>
      </c>
      <c r="C102" s="5">
        <v>65921000</v>
      </c>
      <c r="D102" s="6">
        <f t="shared" si="8"/>
        <v>1270.1541425818882</v>
      </c>
      <c r="E102" s="7">
        <f>AVERAGE(D98:D102)</f>
        <v>919.59964069836462</v>
      </c>
      <c r="F102" s="5"/>
      <c r="G102" s="5"/>
      <c r="K102" s="5"/>
      <c r="L102" s="5"/>
      <c r="M102" s="5"/>
    </row>
    <row r="103" spans="1:13" x14ac:dyDescent="0.2">
      <c r="A103" t="s">
        <v>33</v>
      </c>
      <c r="C103" s="5">
        <v>0</v>
      </c>
    </row>
    <row r="104" spans="1:13" x14ac:dyDescent="0.2">
      <c r="A104">
        <v>2019</v>
      </c>
      <c r="B104" s="5">
        <v>49400</v>
      </c>
      <c r="C104" s="5">
        <v>33470000</v>
      </c>
      <c r="D104" s="6">
        <f t="shared" si="8"/>
        <v>677.53036437246965</v>
      </c>
      <c r="F104" s="5"/>
      <c r="G104" s="5"/>
      <c r="K104" s="5"/>
      <c r="L104" s="5"/>
      <c r="M104" s="5"/>
    </row>
    <row r="105" spans="1:13" x14ac:dyDescent="0.2">
      <c r="A105">
        <v>2020</v>
      </c>
      <c r="B105" s="5">
        <v>57100</v>
      </c>
      <c r="C105" s="5">
        <v>49507000</v>
      </c>
      <c r="D105" s="6">
        <f t="shared" si="8"/>
        <v>867.02276707530643</v>
      </c>
      <c r="F105" s="5"/>
      <c r="G105" s="5"/>
      <c r="K105" s="5"/>
      <c r="L105" s="5"/>
      <c r="M105" s="5"/>
    </row>
    <row r="106" spans="1:13" x14ac:dyDescent="0.2">
      <c r="A106">
        <v>2021</v>
      </c>
      <c r="B106" s="5">
        <v>53200</v>
      </c>
      <c r="C106" s="5">
        <v>52967000</v>
      </c>
      <c r="D106" s="6">
        <f t="shared" si="8"/>
        <v>995.62030075187965</v>
      </c>
      <c r="F106" s="5"/>
      <c r="G106" s="5"/>
      <c r="K106" s="5"/>
      <c r="L106" s="5"/>
      <c r="M106" s="5"/>
    </row>
    <row r="107" spans="1:13" x14ac:dyDescent="0.2">
      <c r="A107">
        <v>2022</v>
      </c>
      <c r="B107" s="5">
        <v>55800</v>
      </c>
      <c r="C107" s="5">
        <v>69044000</v>
      </c>
      <c r="D107" s="6">
        <f t="shared" si="8"/>
        <v>1237.347670250896</v>
      </c>
      <c r="F107" s="5"/>
      <c r="G107" s="5"/>
      <c r="K107" s="5"/>
      <c r="L107" s="5"/>
      <c r="M107" s="5"/>
    </row>
    <row r="108" spans="1:13" x14ac:dyDescent="0.2">
      <c r="A108">
        <v>2023</v>
      </c>
      <c r="B108" s="5">
        <v>55000</v>
      </c>
      <c r="C108" s="5">
        <v>84155000</v>
      </c>
      <c r="D108" s="6">
        <f t="shared" si="8"/>
        <v>1530.090909090909</v>
      </c>
      <c r="E108" s="7">
        <f>AVERAGE(D104:D108)</f>
        <v>1061.5224023082924</v>
      </c>
      <c r="F108" s="5"/>
      <c r="G108" s="5"/>
      <c r="K108" s="5"/>
      <c r="L108" s="5"/>
      <c r="M108" s="5"/>
    </row>
    <row r="109" spans="1:13" x14ac:dyDescent="0.2">
      <c r="D109" s="7"/>
      <c r="E109" s="7">
        <f>AVERAGE(E108,E102,E96,E92,E86,E84,E79,)</f>
        <v>2164.4457763036312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Rotations</vt:lpstr>
      <vt:lpstr>Crop_Values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Fienen, Michael N</dc:creator>
  <cp:lastModifiedBy>Fienen, Michael N</cp:lastModifiedBy>
  <dcterms:created xsi:type="dcterms:W3CDTF">2025-12-09T20:18:32Z</dcterms:created>
  <dcterms:modified xsi:type="dcterms:W3CDTF">2025-12-10T17:32:26Z</dcterms:modified>
</cp:coreProperties>
</file>