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effreycarvalho_arizona_edu/Documents/HWRS 900   Recitation/Project 4/LPR_Single_Run/"/>
    </mc:Choice>
  </mc:AlternateContent>
  <xr:revisionPtr revIDLastSave="2" documentId="8_{5367BC9B-5D8E-4D0D-82BC-8508F1FD09A9}" xr6:coauthVersionLast="47" xr6:coauthVersionMax="47" xr10:uidLastSave="{789A8BB3-274D-49D0-BB23-D694326B8117}"/>
  <bookViews>
    <workbookView xWindow="-120" yWindow="-120" windowWidth="38640" windowHeight="21120" activeTab="1" xr2:uid="{281DC555-9697-4BFF-9DD7-77B5DC79D066}"/>
  </bookViews>
  <sheets>
    <sheet name="Global_Inputs" sheetId="2" r:id="rId1"/>
    <sheet name="HCW_Inputs" sheetId="5" r:id="rId2"/>
    <sheet name="Depletion_Inputs" sheetId="1" r:id="rId3"/>
    <sheet name="Drawdown_Inputs" sheetId="3" r:id="rId4"/>
    <sheet name="Aerial" sheetId="4" r:id="rId5"/>
  </sheets>
  <definedNames>
    <definedName name="_xlnm._FilterDatabase" localSheetId="2" hidden="1">Depletion_Inputs!#REF!</definedName>
    <definedName name="_xlnm._FilterDatabase" localSheetId="1" hidden="1">HCW_Inputs!$A$1:$M$329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2" i="5"/>
  <c r="M3" i="5"/>
  <c r="N3" i="5"/>
  <c r="O3" i="5"/>
  <c r="P3" i="5"/>
  <c r="Q3" i="5"/>
  <c r="R3" i="5"/>
  <c r="S3" i="5"/>
  <c r="T3" i="5"/>
  <c r="U3" i="5"/>
  <c r="M4" i="5"/>
  <c r="N4" i="5"/>
  <c r="O4" i="5"/>
  <c r="P4" i="5"/>
  <c r="Q4" i="5"/>
  <c r="R4" i="5"/>
  <c r="S4" i="5"/>
  <c r="T4" i="5"/>
  <c r="U4" i="5"/>
  <c r="M5" i="5"/>
  <c r="N5" i="5"/>
  <c r="O5" i="5"/>
  <c r="P5" i="5"/>
  <c r="Q5" i="5"/>
  <c r="R5" i="5"/>
  <c r="S5" i="5"/>
  <c r="T5" i="5"/>
  <c r="U5" i="5"/>
  <c r="M6" i="5"/>
  <c r="N6" i="5"/>
  <c r="O6" i="5"/>
  <c r="P6" i="5"/>
  <c r="Q6" i="5"/>
  <c r="R6" i="5"/>
  <c r="S6" i="5"/>
  <c r="T6" i="5"/>
  <c r="U6" i="5"/>
  <c r="M7" i="5"/>
  <c r="N7" i="5"/>
  <c r="O7" i="5"/>
  <c r="P7" i="5"/>
  <c r="Q7" i="5"/>
  <c r="R7" i="5"/>
  <c r="S7" i="5"/>
  <c r="T7" i="5"/>
  <c r="U7" i="5"/>
  <c r="M8" i="5"/>
  <c r="N8" i="5"/>
  <c r="O8" i="5"/>
  <c r="P8" i="5"/>
  <c r="Q8" i="5"/>
  <c r="R8" i="5"/>
  <c r="S8" i="5"/>
  <c r="T8" i="5"/>
  <c r="U8" i="5"/>
  <c r="M9" i="5"/>
  <c r="N9" i="5"/>
  <c r="O9" i="5"/>
  <c r="P9" i="5"/>
  <c r="Q9" i="5"/>
  <c r="R9" i="5"/>
  <c r="S9" i="5"/>
  <c r="T9" i="5"/>
  <c r="U9" i="5"/>
  <c r="M10" i="5"/>
  <c r="N10" i="5"/>
  <c r="O10" i="5"/>
  <c r="P10" i="5"/>
  <c r="Q10" i="5"/>
  <c r="R10" i="5"/>
  <c r="S10" i="5"/>
  <c r="T10" i="5"/>
  <c r="U10" i="5"/>
  <c r="M11" i="5"/>
  <c r="N11" i="5"/>
  <c r="O11" i="5"/>
  <c r="P11" i="5"/>
  <c r="Q11" i="5"/>
  <c r="R11" i="5"/>
  <c r="S11" i="5"/>
  <c r="T11" i="5"/>
  <c r="U11" i="5"/>
  <c r="M12" i="5"/>
  <c r="N12" i="5"/>
  <c r="O12" i="5"/>
  <c r="P12" i="5"/>
  <c r="Q12" i="5"/>
  <c r="R12" i="5"/>
  <c r="S12" i="5"/>
  <c r="T12" i="5"/>
  <c r="U12" i="5"/>
  <c r="M13" i="5"/>
  <c r="N13" i="5"/>
  <c r="O13" i="5"/>
  <c r="P13" i="5"/>
  <c r="Q13" i="5"/>
  <c r="R13" i="5"/>
  <c r="S13" i="5"/>
  <c r="T13" i="5"/>
  <c r="U13" i="5"/>
  <c r="M14" i="5"/>
  <c r="N14" i="5"/>
  <c r="O14" i="5"/>
  <c r="P14" i="5"/>
  <c r="Q14" i="5"/>
  <c r="R14" i="5"/>
  <c r="S14" i="5"/>
  <c r="T14" i="5"/>
  <c r="U14" i="5"/>
  <c r="M15" i="5"/>
  <c r="N15" i="5"/>
  <c r="O15" i="5"/>
  <c r="P15" i="5"/>
  <c r="Q15" i="5"/>
  <c r="R15" i="5"/>
  <c r="S15" i="5"/>
  <c r="T15" i="5"/>
  <c r="U15" i="5"/>
  <c r="M16" i="5"/>
  <c r="N16" i="5"/>
  <c r="O16" i="5"/>
  <c r="P16" i="5"/>
  <c r="Q16" i="5"/>
  <c r="R16" i="5"/>
  <c r="S16" i="5"/>
  <c r="T16" i="5"/>
  <c r="U16" i="5"/>
  <c r="M17" i="5"/>
  <c r="N17" i="5"/>
  <c r="O17" i="5"/>
  <c r="P17" i="5"/>
  <c r="Q17" i="5"/>
  <c r="R17" i="5"/>
  <c r="S17" i="5"/>
  <c r="T17" i="5"/>
  <c r="U17" i="5"/>
  <c r="M18" i="5"/>
  <c r="N18" i="5"/>
  <c r="O18" i="5"/>
  <c r="P18" i="5"/>
  <c r="Q18" i="5"/>
  <c r="R18" i="5"/>
  <c r="S18" i="5"/>
  <c r="T18" i="5"/>
  <c r="U18" i="5"/>
  <c r="M19" i="5"/>
  <c r="N19" i="5"/>
  <c r="O19" i="5"/>
  <c r="P19" i="5"/>
  <c r="Q19" i="5"/>
  <c r="R19" i="5"/>
  <c r="S19" i="5"/>
  <c r="T19" i="5"/>
  <c r="U19" i="5"/>
  <c r="M20" i="5"/>
  <c r="N20" i="5"/>
  <c r="O20" i="5"/>
  <c r="P20" i="5"/>
  <c r="Q20" i="5"/>
  <c r="R20" i="5"/>
  <c r="S20" i="5"/>
  <c r="T20" i="5"/>
  <c r="U20" i="5"/>
  <c r="M21" i="5"/>
  <c r="N21" i="5"/>
  <c r="O21" i="5"/>
  <c r="P21" i="5"/>
  <c r="Q21" i="5"/>
  <c r="R21" i="5"/>
  <c r="S21" i="5"/>
  <c r="T21" i="5"/>
  <c r="U21" i="5"/>
  <c r="M22" i="5"/>
  <c r="N22" i="5"/>
  <c r="O22" i="5"/>
  <c r="P22" i="5"/>
  <c r="Q22" i="5"/>
  <c r="R22" i="5"/>
  <c r="S22" i="5"/>
  <c r="T22" i="5"/>
  <c r="U22" i="5"/>
  <c r="M23" i="5"/>
  <c r="N23" i="5"/>
  <c r="O23" i="5"/>
  <c r="P23" i="5"/>
  <c r="Q23" i="5"/>
  <c r="R23" i="5"/>
  <c r="S23" i="5"/>
  <c r="T23" i="5"/>
  <c r="U23" i="5"/>
  <c r="M24" i="5"/>
  <c r="N24" i="5"/>
  <c r="O24" i="5"/>
  <c r="P24" i="5"/>
  <c r="Q24" i="5"/>
  <c r="R24" i="5"/>
  <c r="S24" i="5"/>
  <c r="T24" i="5"/>
  <c r="U24" i="5"/>
  <c r="M25" i="5"/>
  <c r="N25" i="5"/>
  <c r="O25" i="5"/>
  <c r="P25" i="5"/>
  <c r="Q25" i="5"/>
  <c r="R25" i="5"/>
  <c r="S25" i="5"/>
  <c r="T25" i="5"/>
  <c r="U25" i="5"/>
  <c r="M26" i="5"/>
  <c r="N26" i="5"/>
  <c r="O26" i="5"/>
  <c r="P26" i="5"/>
  <c r="Q26" i="5"/>
  <c r="R26" i="5"/>
  <c r="S26" i="5"/>
  <c r="T26" i="5"/>
  <c r="U26" i="5"/>
  <c r="M27" i="5"/>
  <c r="N27" i="5"/>
  <c r="O27" i="5"/>
  <c r="P27" i="5"/>
  <c r="Q27" i="5"/>
  <c r="R27" i="5"/>
  <c r="S27" i="5"/>
  <c r="T27" i="5"/>
  <c r="U27" i="5"/>
  <c r="M28" i="5"/>
  <c r="N28" i="5"/>
  <c r="O28" i="5"/>
  <c r="P28" i="5"/>
  <c r="Q28" i="5"/>
  <c r="R28" i="5"/>
  <c r="S28" i="5"/>
  <c r="T28" i="5"/>
  <c r="U28" i="5"/>
  <c r="M29" i="5"/>
  <c r="N29" i="5"/>
  <c r="O29" i="5"/>
  <c r="P29" i="5"/>
  <c r="Q29" i="5"/>
  <c r="R29" i="5"/>
  <c r="S29" i="5"/>
  <c r="T29" i="5"/>
  <c r="U29" i="5"/>
  <c r="M30" i="5"/>
  <c r="N30" i="5"/>
  <c r="O30" i="5"/>
  <c r="P30" i="5"/>
  <c r="Q30" i="5"/>
  <c r="R30" i="5"/>
  <c r="S30" i="5"/>
  <c r="T30" i="5"/>
  <c r="U30" i="5"/>
  <c r="M31" i="5"/>
  <c r="N31" i="5"/>
  <c r="O31" i="5"/>
  <c r="P31" i="5"/>
  <c r="Q31" i="5"/>
  <c r="R31" i="5"/>
  <c r="S31" i="5"/>
  <c r="T31" i="5"/>
  <c r="U31" i="5"/>
  <c r="M32" i="5"/>
  <c r="N32" i="5"/>
  <c r="O32" i="5"/>
  <c r="P32" i="5"/>
  <c r="Q32" i="5"/>
  <c r="R32" i="5"/>
  <c r="S32" i="5"/>
  <c r="T32" i="5"/>
  <c r="U32" i="5"/>
  <c r="M33" i="5"/>
  <c r="N33" i="5"/>
  <c r="O33" i="5"/>
  <c r="P33" i="5"/>
  <c r="Q33" i="5"/>
  <c r="R33" i="5"/>
  <c r="S33" i="5"/>
  <c r="T33" i="5"/>
  <c r="U33" i="5"/>
  <c r="M34" i="5"/>
  <c r="N34" i="5"/>
  <c r="O34" i="5"/>
  <c r="P34" i="5"/>
  <c r="Q34" i="5"/>
  <c r="R34" i="5"/>
  <c r="S34" i="5"/>
  <c r="T34" i="5"/>
  <c r="U34" i="5"/>
  <c r="M35" i="5"/>
  <c r="N35" i="5"/>
  <c r="O35" i="5"/>
  <c r="P35" i="5"/>
  <c r="Q35" i="5"/>
  <c r="R35" i="5"/>
  <c r="S35" i="5"/>
  <c r="T35" i="5"/>
  <c r="U35" i="5"/>
  <c r="M36" i="5"/>
  <c r="N36" i="5"/>
  <c r="O36" i="5"/>
  <c r="P36" i="5"/>
  <c r="Q36" i="5"/>
  <c r="R36" i="5"/>
  <c r="S36" i="5"/>
  <c r="T36" i="5"/>
  <c r="U36" i="5"/>
  <c r="M37" i="5"/>
  <c r="N37" i="5"/>
  <c r="O37" i="5"/>
  <c r="P37" i="5"/>
  <c r="Q37" i="5"/>
  <c r="R37" i="5"/>
  <c r="S37" i="5"/>
  <c r="T37" i="5"/>
  <c r="U37" i="5"/>
  <c r="M38" i="5"/>
  <c r="N38" i="5"/>
  <c r="O38" i="5"/>
  <c r="P38" i="5"/>
  <c r="Q38" i="5"/>
  <c r="R38" i="5"/>
  <c r="S38" i="5"/>
  <c r="T38" i="5"/>
  <c r="U38" i="5"/>
  <c r="M39" i="5"/>
  <c r="N39" i="5"/>
  <c r="O39" i="5"/>
  <c r="P39" i="5"/>
  <c r="Q39" i="5"/>
  <c r="R39" i="5"/>
  <c r="S39" i="5"/>
  <c r="T39" i="5"/>
  <c r="U39" i="5"/>
  <c r="M40" i="5"/>
  <c r="N40" i="5"/>
  <c r="O40" i="5"/>
  <c r="P40" i="5"/>
  <c r="Q40" i="5"/>
  <c r="R40" i="5"/>
  <c r="S40" i="5"/>
  <c r="T40" i="5"/>
  <c r="U40" i="5"/>
  <c r="M41" i="5"/>
  <c r="N41" i="5"/>
  <c r="O41" i="5"/>
  <c r="P41" i="5"/>
  <c r="Q41" i="5"/>
  <c r="R41" i="5"/>
  <c r="S41" i="5"/>
  <c r="T41" i="5"/>
  <c r="U41" i="5"/>
  <c r="M42" i="5"/>
  <c r="N42" i="5"/>
  <c r="O42" i="5"/>
  <c r="P42" i="5"/>
  <c r="Q42" i="5"/>
  <c r="R42" i="5"/>
  <c r="S42" i="5"/>
  <c r="T42" i="5"/>
  <c r="U42" i="5"/>
  <c r="M43" i="5"/>
  <c r="N43" i="5"/>
  <c r="O43" i="5"/>
  <c r="P43" i="5"/>
  <c r="Q43" i="5"/>
  <c r="R43" i="5"/>
  <c r="S43" i="5"/>
  <c r="T43" i="5"/>
  <c r="U43" i="5"/>
  <c r="M44" i="5"/>
  <c r="N44" i="5"/>
  <c r="O44" i="5"/>
  <c r="P44" i="5"/>
  <c r="Q44" i="5"/>
  <c r="R44" i="5"/>
  <c r="S44" i="5"/>
  <c r="T44" i="5"/>
  <c r="U44" i="5"/>
  <c r="M45" i="5"/>
  <c r="N45" i="5"/>
  <c r="O45" i="5"/>
  <c r="P45" i="5"/>
  <c r="Q45" i="5"/>
  <c r="R45" i="5"/>
  <c r="S45" i="5"/>
  <c r="T45" i="5"/>
  <c r="U45" i="5"/>
  <c r="M46" i="5"/>
  <c r="N46" i="5"/>
  <c r="O46" i="5"/>
  <c r="P46" i="5"/>
  <c r="Q46" i="5"/>
  <c r="R46" i="5"/>
  <c r="S46" i="5"/>
  <c r="T46" i="5"/>
  <c r="U46" i="5"/>
  <c r="M47" i="5"/>
  <c r="N47" i="5"/>
  <c r="O47" i="5"/>
  <c r="P47" i="5"/>
  <c r="Q47" i="5"/>
  <c r="R47" i="5"/>
  <c r="S47" i="5"/>
  <c r="T47" i="5"/>
  <c r="U47" i="5"/>
  <c r="M48" i="5"/>
  <c r="N48" i="5"/>
  <c r="O48" i="5"/>
  <c r="P48" i="5"/>
  <c r="Q48" i="5"/>
  <c r="R48" i="5"/>
  <c r="S48" i="5"/>
  <c r="T48" i="5"/>
  <c r="U48" i="5"/>
  <c r="M49" i="5"/>
  <c r="N49" i="5"/>
  <c r="O49" i="5"/>
  <c r="P49" i="5"/>
  <c r="Q49" i="5"/>
  <c r="R49" i="5"/>
  <c r="S49" i="5"/>
  <c r="T49" i="5"/>
  <c r="U49" i="5"/>
  <c r="M50" i="5"/>
  <c r="N50" i="5"/>
  <c r="O50" i="5"/>
  <c r="P50" i="5"/>
  <c r="Q50" i="5"/>
  <c r="R50" i="5"/>
  <c r="S50" i="5"/>
  <c r="T50" i="5"/>
  <c r="U50" i="5"/>
  <c r="M51" i="5"/>
  <c r="N51" i="5"/>
  <c r="O51" i="5"/>
  <c r="P51" i="5"/>
  <c r="Q51" i="5"/>
  <c r="R51" i="5"/>
  <c r="S51" i="5"/>
  <c r="T51" i="5"/>
  <c r="U51" i="5"/>
  <c r="M52" i="5"/>
  <c r="N52" i="5"/>
  <c r="O52" i="5"/>
  <c r="P52" i="5"/>
  <c r="Q52" i="5"/>
  <c r="R52" i="5"/>
  <c r="S52" i="5"/>
  <c r="T52" i="5"/>
  <c r="U52" i="5"/>
  <c r="M53" i="5"/>
  <c r="N53" i="5"/>
  <c r="O53" i="5"/>
  <c r="P53" i="5"/>
  <c r="Q53" i="5"/>
  <c r="R53" i="5"/>
  <c r="S53" i="5"/>
  <c r="T53" i="5"/>
  <c r="U53" i="5"/>
  <c r="M54" i="5"/>
  <c r="N54" i="5"/>
  <c r="O54" i="5"/>
  <c r="P54" i="5"/>
  <c r="Q54" i="5"/>
  <c r="R54" i="5"/>
  <c r="S54" i="5"/>
  <c r="T54" i="5"/>
  <c r="U54" i="5"/>
  <c r="M55" i="5"/>
  <c r="N55" i="5"/>
  <c r="O55" i="5"/>
  <c r="P55" i="5"/>
  <c r="Q55" i="5"/>
  <c r="R55" i="5"/>
  <c r="S55" i="5"/>
  <c r="T55" i="5"/>
  <c r="U55" i="5"/>
  <c r="M56" i="5"/>
  <c r="N56" i="5"/>
  <c r="O56" i="5"/>
  <c r="P56" i="5"/>
  <c r="Q56" i="5"/>
  <c r="R56" i="5"/>
  <c r="S56" i="5"/>
  <c r="T56" i="5"/>
  <c r="U56" i="5"/>
  <c r="M57" i="5"/>
  <c r="N57" i="5"/>
  <c r="O57" i="5"/>
  <c r="P57" i="5"/>
  <c r="Q57" i="5"/>
  <c r="R57" i="5"/>
  <c r="S57" i="5"/>
  <c r="T57" i="5"/>
  <c r="U57" i="5"/>
  <c r="M58" i="5"/>
  <c r="N58" i="5"/>
  <c r="O58" i="5"/>
  <c r="P58" i="5"/>
  <c r="Q58" i="5"/>
  <c r="R58" i="5"/>
  <c r="S58" i="5"/>
  <c r="T58" i="5"/>
  <c r="U58" i="5"/>
  <c r="M59" i="5"/>
  <c r="N59" i="5"/>
  <c r="O59" i="5"/>
  <c r="P59" i="5"/>
  <c r="Q59" i="5"/>
  <c r="R59" i="5"/>
  <c r="S59" i="5"/>
  <c r="T59" i="5"/>
  <c r="U59" i="5"/>
  <c r="M60" i="5"/>
  <c r="N60" i="5"/>
  <c r="O60" i="5"/>
  <c r="P60" i="5"/>
  <c r="Q60" i="5"/>
  <c r="R60" i="5"/>
  <c r="S60" i="5"/>
  <c r="T60" i="5"/>
  <c r="U60" i="5"/>
  <c r="M61" i="5"/>
  <c r="N61" i="5"/>
  <c r="O61" i="5"/>
  <c r="P61" i="5"/>
  <c r="Q61" i="5"/>
  <c r="R61" i="5"/>
  <c r="S61" i="5"/>
  <c r="T61" i="5"/>
  <c r="U61" i="5"/>
  <c r="M62" i="5"/>
  <c r="N62" i="5"/>
  <c r="O62" i="5"/>
  <c r="P62" i="5"/>
  <c r="Q62" i="5"/>
  <c r="R62" i="5"/>
  <c r="S62" i="5"/>
  <c r="T62" i="5"/>
  <c r="U62" i="5"/>
  <c r="M63" i="5"/>
  <c r="N63" i="5"/>
  <c r="O63" i="5"/>
  <c r="P63" i="5"/>
  <c r="Q63" i="5"/>
  <c r="R63" i="5"/>
  <c r="S63" i="5"/>
  <c r="T63" i="5"/>
  <c r="U63" i="5"/>
  <c r="M64" i="5"/>
  <c r="N64" i="5"/>
  <c r="O64" i="5"/>
  <c r="P64" i="5"/>
  <c r="Q64" i="5"/>
  <c r="R64" i="5"/>
  <c r="S64" i="5"/>
  <c r="T64" i="5"/>
  <c r="U64" i="5"/>
  <c r="M65" i="5"/>
  <c r="N65" i="5"/>
  <c r="O65" i="5"/>
  <c r="P65" i="5"/>
  <c r="Q65" i="5"/>
  <c r="R65" i="5"/>
  <c r="S65" i="5"/>
  <c r="T65" i="5"/>
  <c r="U65" i="5"/>
  <c r="M66" i="5"/>
  <c r="N66" i="5"/>
  <c r="O66" i="5"/>
  <c r="P66" i="5"/>
  <c r="Q66" i="5"/>
  <c r="R66" i="5"/>
  <c r="S66" i="5"/>
  <c r="T66" i="5"/>
  <c r="U66" i="5"/>
  <c r="M67" i="5"/>
  <c r="N67" i="5"/>
  <c r="O67" i="5"/>
  <c r="P67" i="5"/>
  <c r="Q67" i="5"/>
  <c r="R67" i="5"/>
  <c r="S67" i="5"/>
  <c r="T67" i="5"/>
  <c r="U67" i="5"/>
  <c r="M68" i="5"/>
  <c r="N68" i="5"/>
  <c r="O68" i="5"/>
  <c r="P68" i="5"/>
  <c r="Q68" i="5"/>
  <c r="R68" i="5"/>
  <c r="S68" i="5"/>
  <c r="T68" i="5"/>
  <c r="U68" i="5"/>
  <c r="M69" i="5"/>
  <c r="N69" i="5"/>
  <c r="O69" i="5"/>
  <c r="P69" i="5"/>
  <c r="Q69" i="5"/>
  <c r="R69" i="5"/>
  <c r="S69" i="5"/>
  <c r="T69" i="5"/>
  <c r="U69" i="5"/>
  <c r="M70" i="5"/>
  <c r="N70" i="5"/>
  <c r="O70" i="5"/>
  <c r="P70" i="5"/>
  <c r="Q70" i="5"/>
  <c r="R70" i="5"/>
  <c r="S70" i="5"/>
  <c r="T70" i="5"/>
  <c r="U70" i="5"/>
  <c r="M71" i="5"/>
  <c r="N71" i="5"/>
  <c r="O71" i="5"/>
  <c r="P71" i="5"/>
  <c r="Q71" i="5"/>
  <c r="R71" i="5"/>
  <c r="S71" i="5"/>
  <c r="T71" i="5"/>
  <c r="U71" i="5"/>
  <c r="M72" i="5"/>
  <c r="N72" i="5"/>
  <c r="O72" i="5"/>
  <c r="P72" i="5"/>
  <c r="Q72" i="5"/>
  <c r="R72" i="5"/>
  <c r="S72" i="5"/>
  <c r="T72" i="5"/>
  <c r="U72" i="5"/>
  <c r="M73" i="5"/>
  <c r="N73" i="5"/>
  <c r="O73" i="5"/>
  <c r="P73" i="5"/>
  <c r="Q73" i="5"/>
  <c r="R73" i="5"/>
  <c r="S73" i="5"/>
  <c r="T73" i="5"/>
  <c r="U73" i="5"/>
  <c r="M74" i="5"/>
  <c r="N74" i="5"/>
  <c r="O74" i="5"/>
  <c r="P74" i="5"/>
  <c r="Q74" i="5"/>
  <c r="R74" i="5"/>
  <c r="S74" i="5"/>
  <c r="T74" i="5"/>
  <c r="U74" i="5"/>
  <c r="M75" i="5"/>
  <c r="N75" i="5"/>
  <c r="O75" i="5"/>
  <c r="P75" i="5"/>
  <c r="Q75" i="5"/>
  <c r="R75" i="5"/>
  <c r="S75" i="5"/>
  <c r="T75" i="5"/>
  <c r="U75" i="5"/>
  <c r="M76" i="5"/>
  <c r="N76" i="5"/>
  <c r="O76" i="5"/>
  <c r="P76" i="5"/>
  <c r="Q76" i="5"/>
  <c r="R76" i="5"/>
  <c r="S76" i="5"/>
  <c r="T76" i="5"/>
  <c r="U76" i="5"/>
  <c r="M77" i="5"/>
  <c r="N77" i="5"/>
  <c r="O77" i="5"/>
  <c r="P77" i="5"/>
  <c r="Q77" i="5"/>
  <c r="R77" i="5"/>
  <c r="S77" i="5"/>
  <c r="T77" i="5"/>
  <c r="U77" i="5"/>
  <c r="M78" i="5"/>
  <c r="N78" i="5"/>
  <c r="O78" i="5"/>
  <c r="P78" i="5"/>
  <c r="Q78" i="5"/>
  <c r="R78" i="5"/>
  <c r="S78" i="5"/>
  <c r="T78" i="5"/>
  <c r="U78" i="5"/>
  <c r="M79" i="5"/>
  <c r="N79" i="5"/>
  <c r="O79" i="5"/>
  <c r="P79" i="5"/>
  <c r="Q79" i="5"/>
  <c r="R79" i="5"/>
  <c r="S79" i="5"/>
  <c r="T79" i="5"/>
  <c r="U79" i="5"/>
  <c r="M80" i="5"/>
  <c r="N80" i="5"/>
  <c r="O80" i="5"/>
  <c r="P80" i="5"/>
  <c r="Q80" i="5"/>
  <c r="R80" i="5"/>
  <c r="S80" i="5"/>
  <c r="T80" i="5"/>
  <c r="U80" i="5"/>
  <c r="M81" i="5"/>
  <c r="N81" i="5"/>
  <c r="O81" i="5"/>
  <c r="P81" i="5"/>
  <c r="Q81" i="5"/>
  <c r="R81" i="5"/>
  <c r="S81" i="5"/>
  <c r="T81" i="5"/>
  <c r="U81" i="5"/>
  <c r="M82" i="5"/>
  <c r="N82" i="5"/>
  <c r="O82" i="5"/>
  <c r="P82" i="5"/>
  <c r="Q82" i="5"/>
  <c r="R82" i="5"/>
  <c r="S82" i="5"/>
  <c r="T82" i="5"/>
  <c r="U82" i="5"/>
  <c r="M83" i="5"/>
  <c r="N83" i="5"/>
  <c r="O83" i="5"/>
  <c r="P83" i="5"/>
  <c r="Q83" i="5"/>
  <c r="R83" i="5"/>
  <c r="S83" i="5"/>
  <c r="T83" i="5"/>
  <c r="U83" i="5"/>
  <c r="M84" i="5"/>
  <c r="N84" i="5"/>
  <c r="O84" i="5"/>
  <c r="P84" i="5"/>
  <c r="Q84" i="5"/>
  <c r="R84" i="5"/>
  <c r="S84" i="5"/>
  <c r="T84" i="5"/>
  <c r="U84" i="5"/>
  <c r="M85" i="5"/>
  <c r="N85" i="5"/>
  <c r="O85" i="5"/>
  <c r="P85" i="5"/>
  <c r="Q85" i="5"/>
  <c r="R85" i="5"/>
  <c r="S85" i="5"/>
  <c r="T85" i="5"/>
  <c r="U85" i="5"/>
  <c r="M86" i="5"/>
  <c r="N86" i="5"/>
  <c r="O86" i="5"/>
  <c r="P86" i="5"/>
  <c r="Q86" i="5"/>
  <c r="R86" i="5"/>
  <c r="S86" i="5"/>
  <c r="T86" i="5"/>
  <c r="U86" i="5"/>
  <c r="M87" i="5"/>
  <c r="N87" i="5"/>
  <c r="O87" i="5"/>
  <c r="P87" i="5"/>
  <c r="Q87" i="5"/>
  <c r="R87" i="5"/>
  <c r="S87" i="5"/>
  <c r="T87" i="5"/>
  <c r="U87" i="5"/>
  <c r="M88" i="5"/>
  <c r="N88" i="5"/>
  <c r="O88" i="5"/>
  <c r="P88" i="5"/>
  <c r="Q88" i="5"/>
  <c r="R88" i="5"/>
  <c r="S88" i="5"/>
  <c r="T88" i="5"/>
  <c r="U88" i="5"/>
  <c r="M89" i="5"/>
  <c r="N89" i="5"/>
  <c r="O89" i="5"/>
  <c r="P89" i="5"/>
  <c r="Q89" i="5"/>
  <c r="R89" i="5"/>
  <c r="S89" i="5"/>
  <c r="T89" i="5"/>
  <c r="U89" i="5"/>
  <c r="M90" i="5"/>
  <c r="N90" i="5"/>
  <c r="O90" i="5"/>
  <c r="P90" i="5"/>
  <c r="Q90" i="5"/>
  <c r="R90" i="5"/>
  <c r="S90" i="5"/>
  <c r="T90" i="5"/>
  <c r="U90" i="5"/>
  <c r="M91" i="5"/>
  <c r="N91" i="5"/>
  <c r="O91" i="5"/>
  <c r="P91" i="5"/>
  <c r="Q91" i="5"/>
  <c r="R91" i="5"/>
  <c r="S91" i="5"/>
  <c r="T91" i="5"/>
  <c r="U91" i="5"/>
  <c r="M92" i="5"/>
  <c r="N92" i="5"/>
  <c r="O92" i="5"/>
  <c r="P92" i="5"/>
  <c r="Q92" i="5"/>
  <c r="R92" i="5"/>
  <c r="S92" i="5"/>
  <c r="T92" i="5"/>
  <c r="U92" i="5"/>
  <c r="M93" i="5"/>
  <c r="N93" i="5"/>
  <c r="O93" i="5"/>
  <c r="P93" i="5"/>
  <c r="Q93" i="5"/>
  <c r="R93" i="5"/>
  <c r="S93" i="5"/>
  <c r="T93" i="5"/>
  <c r="U93" i="5"/>
  <c r="M94" i="5"/>
  <c r="N94" i="5"/>
  <c r="O94" i="5"/>
  <c r="P94" i="5"/>
  <c r="Q94" i="5"/>
  <c r="R94" i="5"/>
  <c r="S94" i="5"/>
  <c r="T94" i="5"/>
  <c r="U94" i="5"/>
  <c r="M95" i="5"/>
  <c r="N95" i="5"/>
  <c r="O95" i="5"/>
  <c r="P95" i="5"/>
  <c r="Q95" i="5"/>
  <c r="R95" i="5"/>
  <c r="S95" i="5"/>
  <c r="T95" i="5"/>
  <c r="U95" i="5"/>
  <c r="M96" i="5"/>
  <c r="N96" i="5"/>
  <c r="O96" i="5"/>
  <c r="P96" i="5"/>
  <c r="Q96" i="5"/>
  <c r="R96" i="5"/>
  <c r="S96" i="5"/>
  <c r="T96" i="5"/>
  <c r="U96" i="5"/>
  <c r="M97" i="5"/>
  <c r="N97" i="5"/>
  <c r="O97" i="5"/>
  <c r="P97" i="5"/>
  <c r="Q97" i="5"/>
  <c r="R97" i="5"/>
  <c r="S97" i="5"/>
  <c r="T97" i="5"/>
  <c r="U97" i="5"/>
  <c r="M98" i="5"/>
  <c r="N98" i="5"/>
  <c r="O98" i="5"/>
  <c r="P98" i="5"/>
  <c r="Q98" i="5"/>
  <c r="R98" i="5"/>
  <c r="S98" i="5"/>
  <c r="T98" i="5"/>
  <c r="U98" i="5"/>
  <c r="M99" i="5"/>
  <c r="N99" i="5"/>
  <c r="O99" i="5"/>
  <c r="P99" i="5"/>
  <c r="Q99" i="5"/>
  <c r="R99" i="5"/>
  <c r="S99" i="5"/>
  <c r="T99" i="5"/>
  <c r="U99" i="5"/>
  <c r="M100" i="5"/>
  <c r="N100" i="5"/>
  <c r="O100" i="5"/>
  <c r="P100" i="5"/>
  <c r="Q100" i="5"/>
  <c r="R100" i="5"/>
  <c r="S100" i="5"/>
  <c r="T100" i="5"/>
  <c r="U100" i="5"/>
  <c r="M101" i="5"/>
  <c r="N101" i="5"/>
  <c r="O101" i="5"/>
  <c r="P101" i="5"/>
  <c r="Q101" i="5"/>
  <c r="R101" i="5"/>
  <c r="S101" i="5"/>
  <c r="T101" i="5"/>
  <c r="U101" i="5"/>
  <c r="M102" i="5"/>
  <c r="N102" i="5"/>
  <c r="O102" i="5"/>
  <c r="P102" i="5"/>
  <c r="Q102" i="5"/>
  <c r="R102" i="5"/>
  <c r="S102" i="5"/>
  <c r="T102" i="5"/>
  <c r="U102" i="5"/>
  <c r="M103" i="5"/>
  <c r="N103" i="5"/>
  <c r="O103" i="5"/>
  <c r="P103" i="5"/>
  <c r="Q103" i="5"/>
  <c r="R103" i="5"/>
  <c r="S103" i="5"/>
  <c r="T103" i="5"/>
  <c r="U103" i="5"/>
  <c r="M104" i="5"/>
  <c r="N104" i="5"/>
  <c r="O104" i="5"/>
  <c r="P104" i="5"/>
  <c r="Q104" i="5"/>
  <c r="R104" i="5"/>
  <c r="S104" i="5"/>
  <c r="T104" i="5"/>
  <c r="U104" i="5"/>
  <c r="M105" i="5"/>
  <c r="N105" i="5"/>
  <c r="O105" i="5"/>
  <c r="P105" i="5"/>
  <c r="Q105" i="5"/>
  <c r="R105" i="5"/>
  <c r="S105" i="5"/>
  <c r="T105" i="5"/>
  <c r="U105" i="5"/>
  <c r="M106" i="5"/>
  <c r="N106" i="5"/>
  <c r="O106" i="5"/>
  <c r="P106" i="5"/>
  <c r="Q106" i="5"/>
  <c r="R106" i="5"/>
  <c r="S106" i="5"/>
  <c r="T106" i="5"/>
  <c r="U106" i="5"/>
  <c r="M107" i="5"/>
  <c r="N107" i="5"/>
  <c r="O107" i="5"/>
  <c r="P107" i="5"/>
  <c r="Q107" i="5"/>
  <c r="R107" i="5"/>
  <c r="S107" i="5"/>
  <c r="T107" i="5"/>
  <c r="U107" i="5"/>
  <c r="M108" i="5"/>
  <c r="N108" i="5"/>
  <c r="O108" i="5"/>
  <c r="P108" i="5"/>
  <c r="Q108" i="5"/>
  <c r="R108" i="5"/>
  <c r="S108" i="5"/>
  <c r="T108" i="5"/>
  <c r="U108" i="5"/>
  <c r="M109" i="5"/>
  <c r="N109" i="5"/>
  <c r="O109" i="5"/>
  <c r="P109" i="5"/>
  <c r="Q109" i="5"/>
  <c r="R109" i="5"/>
  <c r="S109" i="5"/>
  <c r="T109" i="5"/>
  <c r="U109" i="5"/>
  <c r="M110" i="5"/>
  <c r="N110" i="5"/>
  <c r="O110" i="5"/>
  <c r="P110" i="5"/>
  <c r="Q110" i="5"/>
  <c r="R110" i="5"/>
  <c r="S110" i="5"/>
  <c r="T110" i="5"/>
  <c r="U110" i="5"/>
  <c r="M111" i="5"/>
  <c r="N111" i="5"/>
  <c r="O111" i="5"/>
  <c r="P111" i="5"/>
  <c r="Q111" i="5"/>
  <c r="R111" i="5"/>
  <c r="S111" i="5"/>
  <c r="T111" i="5"/>
  <c r="U111" i="5"/>
  <c r="M112" i="5"/>
  <c r="N112" i="5"/>
  <c r="O112" i="5"/>
  <c r="P112" i="5"/>
  <c r="Q112" i="5"/>
  <c r="R112" i="5"/>
  <c r="S112" i="5"/>
  <c r="T112" i="5"/>
  <c r="U112" i="5"/>
  <c r="M113" i="5"/>
  <c r="N113" i="5"/>
  <c r="O113" i="5"/>
  <c r="P113" i="5"/>
  <c r="Q113" i="5"/>
  <c r="R113" i="5"/>
  <c r="S113" i="5"/>
  <c r="T113" i="5"/>
  <c r="U113" i="5"/>
  <c r="M114" i="5"/>
  <c r="N114" i="5"/>
  <c r="O114" i="5"/>
  <c r="P114" i="5"/>
  <c r="Q114" i="5"/>
  <c r="R114" i="5"/>
  <c r="S114" i="5"/>
  <c r="T114" i="5"/>
  <c r="U114" i="5"/>
  <c r="M115" i="5"/>
  <c r="N115" i="5"/>
  <c r="O115" i="5"/>
  <c r="P115" i="5"/>
  <c r="Q115" i="5"/>
  <c r="R115" i="5"/>
  <c r="S115" i="5"/>
  <c r="T115" i="5"/>
  <c r="U115" i="5"/>
  <c r="M116" i="5"/>
  <c r="N116" i="5"/>
  <c r="O116" i="5"/>
  <c r="P116" i="5"/>
  <c r="Q116" i="5"/>
  <c r="R116" i="5"/>
  <c r="S116" i="5"/>
  <c r="T116" i="5"/>
  <c r="U116" i="5"/>
  <c r="M117" i="5"/>
  <c r="N117" i="5"/>
  <c r="O117" i="5"/>
  <c r="P117" i="5"/>
  <c r="Q117" i="5"/>
  <c r="R117" i="5"/>
  <c r="S117" i="5"/>
  <c r="T117" i="5"/>
  <c r="U117" i="5"/>
  <c r="M118" i="5"/>
  <c r="N118" i="5"/>
  <c r="O118" i="5"/>
  <c r="P118" i="5"/>
  <c r="Q118" i="5"/>
  <c r="R118" i="5"/>
  <c r="S118" i="5"/>
  <c r="T118" i="5"/>
  <c r="U118" i="5"/>
  <c r="M119" i="5"/>
  <c r="N119" i="5"/>
  <c r="O119" i="5"/>
  <c r="P119" i="5"/>
  <c r="Q119" i="5"/>
  <c r="R119" i="5"/>
  <c r="S119" i="5"/>
  <c r="T119" i="5"/>
  <c r="U119" i="5"/>
  <c r="M120" i="5"/>
  <c r="N120" i="5"/>
  <c r="O120" i="5"/>
  <c r="P120" i="5"/>
  <c r="Q120" i="5"/>
  <c r="R120" i="5"/>
  <c r="S120" i="5"/>
  <c r="T120" i="5"/>
  <c r="U120" i="5"/>
  <c r="M121" i="5"/>
  <c r="N121" i="5"/>
  <c r="O121" i="5"/>
  <c r="P121" i="5"/>
  <c r="Q121" i="5"/>
  <c r="R121" i="5"/>
  <c r="S121" i="5"/>
  <c r="T121" i="5"/>
  <c r="U121" i="5"/>
  <c r="M122" i="5"/>
  <c r="N122" i="5"/>
  <c r="O122" i="5"/>
  <c r="P122" i="5"/>
  <c r="Q122" i="5"/>
  <c r="R122" i="5"/>
  <c r="S122" i="5"/>
  <c r="T122" i="5"/>
  <c r="U122" i="5"/>
  <c r="M123" i="5"/>
  <c r="N123" i="5"/>
  <c r="O123" i="5"/>
  <c r="P123" i="5"/>
  <c r="Q123" i="5"/>
  <c r="R123" i="5"/>
  <c r="S123" i="5"/>
  <c r="T123" i="5"/>
  <c r="U123" i="5"/>
  <c r="M124" i="5"/>
  <c r="N124" i="5"/>
  <c r="O124" i="5"/>
  <c r="P124" i="5"/>
  <c r="Q124" i="5"/>
  <c r="R124" i="5"/>
  <c r="S124" i="5"/>
  <c r="T124" i="5"/>
  <c r="U124" i="5"/>
  <c r="M125" i="5"/>
  <c r="N125" i="5"/>
  <c r="O125" i="5"/>
  <c r="P125" i="5"/>
  <c r="Q125" i="5"/>
  <c r="R125" i="5"/>
  <c r="S125" i="5"/>
  <c r="T125" i="5"/>
  <c r="U125" i="5"/>
  <c r="M126" i="5"/>
  <c r="N126" i="5"/>
  <c r="O126" i="5"/>
  <c r="P126" i="5"/>
  <c r="Q126" i="5"/>
  <c r="R126" i="5"/>
  <c r="S126" i="5"/>
  <c r="T126" i="5"/>
  <c r="U126" i="5"/>
  <c r="M127" i="5"/>
  <c r="N127" i="5"/>
  <c r="O127" i="5"/>
  <c r="P127" i="5"/>
  <c r="Q127" i="5"/>
  <c r="R127" i="5"/>
  <c r="S127" i="5"/>
  <c r="T127" i="5"/>
  <c r="U127" i="5"/>
  <c r="M128" i="5"/>
  <c r="N128" i="5"/>
  <c r="O128" i="5"/>
  <c r="P128" i="5"/>
  <c r="Q128" i="5"/>
  <c r="R128" i="5"/>
  <c r="S128" i="5"/>
  <c r="T128" i="5"/>
  <c r="U128" i="5"/>
  <c r="M129" i="5"/>
  <c r="N129" i="5"/>
  <c r="O129" i="5"/>
  <c r="P129" i="5"/>
  <c r="Q129" i="5"/>
  <c r="R129" i="5"/>
  <c r="S129" i="5"/>
  <c r="T129" i="5"/>
  <c r="U129" i="5"/>
  <c r="M130" i="5"/>
  <c r="N130" i="5"/>
  <c r="O130" i="5"/>
  <c r="P130" i="5"/>
  <c r="Q130" i="5"/>
  <c r="R130" i="5"/>
  <c r="S130" i="5"/>
  <c r="T130" i="5"/>
  <c r="U130" i="5"/>
  <c r="M131" i="5"/>
  <c r="N131" i="5"/>
  <c r="O131" i="5"/>
  <c r="P131" i="5"/>
  <c r="Q131" i="5"/>
  <c r="R131" i="5"/>
  <c r="S131" i="5"/>
  <c r="T131" i="5"/>
  <c r="U131" i="5"/>
  <c r="M132" i="5"/>
  <c r="N132" i="5"/>
  <c r="O132" i="5"/>
  <c r="P132" i="5"/>
  <c r="Q132" i="5"/>
  <c r="R132" i="5"/>
  <c r="S132" i="5"/>
  <c r="T132" i="5"/>
  <c r="U132" i="5"/>
  <c r="M133" i="5"/>
  <c r="N133" i="5"/>
  <c r="O133" i="5"/>
  <c r="P133" i="5"/>
  <c r="Q133" i="5"/>
  <c r="R133" i="5"/>
  <c r="S133" i="5"/>
  <c r="T133" i="5"/>
  <c r="U133" i="5"/>
  <c r="M134" i="5"/>
  <c r="N134" i="5"/>
  <c r="O134" i="5"/>
  <c r="P134" i="5"/>
  <c r="Q134" i="5"/>
  <c r="R134" i="5"/>
  <c r="S134" i="5"/>
  <c r="T134" i="5"/>
  <c r="U134" i="5"/>
  <c r="M135" i="5"/>
  <c r="N135" i="5"/>
  <c r="O135" i="5"/>
  <c r="P135" i="5"/>
  <c r="Q135" i="5"/>
  <c r="R135" i="5"/>
  <c r="S135" i="5"/>
  <c r="T135" i="5"/>
  <c r="U135" i="5"/>
  <c r="M136" i="5"/>
  <c r="N136" i="5"/>
  <c r="O136" i="5"/>
  <c r="P136" i="5"/>
  <c r="Q136" i="5"/>
  <c r="R136" i="5"/>
  <c r="S136" i="5"/>
  <c r="T136" i="5"/>
  <c r="U136" i="5"/>
  <c r="M137" i="5"/>
  <c r="N137" i="5"/>
  <c r="O137" i="5"/>
  <c r="P137" i="5"/>
  <c r="Q137" i="5"/>
  <c r="R137" i="5"/>
  <c r="S137" i="5"/>
  <c r="T137" i="5"/>
  <c r="U137" i="5"/>
  <c r="M138" i="5"/>
  <c r="N138" i="5"/>
  <c r="O138" i="5"/>
  <c r="P138" i="5"/>
  <c r="Q138" i="5"/>
  <c r="R138" i="5"/>
  <c r="S138" i="5"/>
  <c r="T138" i="5"/>
  <c r="U138" i="5"/>
  <c r="M139" i="5"/>
  <c r="N139" i="5"/>
  <c r="O139" i="5"/>
  <c r="P139" i="5"/>
  <c r="Q139" i="5"/>
  <c r="R139" i="5"/>
  <c r="S139" i="5"/>
  <c r="T139" i="5"/>
  <c r="U139" i="5"/>
  <c r="M140" i="5"/>
  <c r="N140" i="5"/>
  <c r="O140" i="5"/>
  <c r="P140" i="5"/>
  <c r="Q140" i="5"/>
  <c r="R140" i="5"/>
  <c r="S140" i="5"/>
  <c r="T140" i="5"/>
  <c r="U140" i="5"/>
  <c r="M141" i="5"/>
  <c r="N141" i="5"/>
  <c r="O141" i="5"/>
  <c r="P141" i="5"/>
  <c r="Q141" i="5"/>
  <c r="R141" i="5"/>
  <c r="S141" i="5"/>
  <c r="T141" i="5"/>
  <c r="U141" i="5"/>
  <c r="M142" i="5"/>
  <c r="N142" i="5"/>
  <c r="O142" i="5"/>
  <c r="P142" i="5"/>
  <c r="Q142" i="5"/>
  <c r="R142" i="5"/>
  <c r="S142" i="5"/>
  <c r="T142" i="5"/>
  <c r="U142" i="5"/>
  <c r="M143" i="5"/>
  <c r="N143" i="5"/>
  <c r="O143" i="5"/>
  <c r="P143" i="5"/>
  <c r="Q143" i="5"/>
  <c r="R143" i="5"/>
  <c r="S143" i="5"/>
  <c r="T143" i="5"/>
  <c r="U143" i="5"/>
  <c r="M144" i="5"/>
  <c r="N144" i="5"/>
  <c r="O144" i="5"/>
  <c r="P144" i="5"/>
  <c r="Q144" i="5"/>
  <c r="R144" i="5"/>
  <c r="S144" i="5"/>
  <c r="T144" i="5"/>
  <c r="U144" i="5"/>
  <c r="M145" i="5"/>
  <c r="N145" i="5"/>
  <c r="O145" i="5"/>
  <c r="P145" i="5"/>
  <c r="Q145" i="5"/>
  <c r="R145" i="5"/>
  <c r="S145" i="5"/>
  <c r="T145" i="5"/>
  <c r="U145" i="5"/>
  <c r="M146" i="5"/>
  <c r="N146" i="5"/>
  <c r="O146" i="5"/>
  <c r="P146" i="5"/>
  <c r="Q146" i="5"/>
  <c r="R146" i="5"/>
  <c r="S146" i="5"/>
  <c r="T146" i="5"/>
  <c r="U146" i="5"/>
  <c r="M147" i="5"/>
  <c r="N147" i="5"/>
  <c r="O147" i="5"/>
  <c r="P147" i="5"/>
  <c r="Q147" i="5"/>
  <c r="R147" i="5"/>
  <c r="S147" i="5"/>
  <c r="T147" i="5"/>
  <c r="U147" i="5"/>
  <c r="M148" i="5"/>
  <c r="N148" i="5"/>
  <c r="O148" i="5"/>
  <c r="P148" i="5"/>
  <c r="Q148" i="5"/>
  <c r="R148" i="5"/>
  <c r="S148" i="5"/>
  <c r="T148" i="5"/>
  <c r="U148" i="5"/>
  <c r="M149" i="5"/>
  <c r="N149" i="5"/>
  <c r="O149" i="5"/>
  <c r="P149" i="5"/>
  <c r="Q149" i="5"/>
  <c r="R149" i="5"/>
  <c r="S149" i="5"/>
  <c r="T149" i="5"/>
  <c r="U149" i="5"/>
  <c r="M150" i="5"/>
  <c r="N150" i="5"/>
  <c r="O150" i="5"/>
  <c r="P150" i="5"/>
  <c r="Q150" i="5"/>
  <c r="R150" i="5"/>
  <c r="S150" i="5"/>
  <c r="T150" i="5"/>
  <c r="U150" i="5"/>
  <c r="M151" i="5"/>
  <c r="N151" i="5"/>
  <c r="O151" i="5"/>
  <c r="P151" i="5"/>
  <c r="Q151" i="5"/>
  <c r="R151" i="5"/>
  <c r="S151" i="5"/>
  <c r="T151" i="5"/>
  <c r="U151" i="5"/>
  <c r="M152" i="5"/>
  <c r="N152" i="5"/>
  <c r="O152" i="5"/>
  <c r="P152" i="5"/>
  <c r="Q152" i="5"/>
  <c r="R152" i="5"/>
  <c r="S152" i="5"/>
  <c r="T152" i="5"/>
  <c r="U152" i="5"/>
  <c r="M153" i="5"/>
  <c r="N153" i="5"/>
  <c r="O153" i="5"/>
  <c r="P153" i="5"/>
  <c r="Q153" i="5"/>
  <c r="R153" i="5"/>
  <c r="S153" i="5"/>
  <c r="T153" i="5"/>
  <c r="U153" i="5"/>
  <c r="M154" i="5"/>
  <c r="N154" i="5"/>
  <c r="O154" i="5"/>
  <c r="P154" i="5"/>
  <c r="Q154" i="5"/>
  <c r="R154" i="5"/>
  <c r="S154" i="5"/>
  <c r="T154" i="5"/>
  <c r="U154" i="5"/>
  <c r="M155" i="5"/>
  <c r="N155" i="5"/>
  <c r="O155" i="5"/>
  <c r="P155" i="5"/>
  <c r="Q155" i="5"/>
  <c r="R155" i="5"/>
  <c r="S155" i="5"/>
  <c r="T155" i="5"/>
  <c r="U155" i="5"/>
  <c r="M156" i="5"/>
  <c r="N156" i="5"/>
  <c r="O156" i="5"/>
  <c r="P156" i="5"/>
  <c r="Q156" i="5"/>
  <c r="R156" i="5"/>
  <c r="S156" i="5"/>
  <c r="T156" i="5"/>
  <c r="U156" i="5"/>
  <c r="M157" i="5"/>
  <c r="N157" i="5"/>
  <c r="O157" i="5"/>
  <c r="P157" i="5"/>
  <c r="Q157" i="5"/>
  <c r="R157" i="5"/>
  <c r="S157" i="5"/>
  <c r="T157" i="5"/>
  <c r="U157" i="5"/>
  <c r="M158" i="5"/>
  <c r="N158" i="5"/>
  <c r="O158" i="5"/>
  <c r="P158" i="5"/>
  <c r="Q158" i="5"/>
  <c r="R158" i="5"/>
  <c r="S158" i="5"/>
  <c r="T158" i="5"/>
  <c r="U158" i="5"/>
  <c r="M159" i="5"/>
  <c r="N159" i="5"/>
  <c r="O159" i="5"/>
  <c r="P159" i="5"/>
  <c r="Q159" i="5"/>
  <c r="R159" i="5"/>
  <c r="S159" i="5"/>
  <c r="T159" i="5"/>
  <c r="U159" i="5"/>
  <c r="M160" i="5"/>
  <c r="N160" i="5"/>
  <c r="O160" i="5"/>
  <c r="P160" i="5"/>
  <c r="Q160" i="5"/>
  <c r="R160" i="5"/>
  <c r="S160" i="5"/>
  <c r="T160" i="5"/>
  <c r="U160" i="5"/>
  <c r="M161" i="5"/>
  <c r="N161" i="5"/>
  <c r="O161" i="5"/>
  <c r="P161" i="5"/>
  <c r="Q161" i="5"/>
  <c r="R161" i="5"/>
  <c r="S161" i="5"/>
  <c r="T161" i="5"/>
  <c r="U161" i="5"/>
  <c r="M162" i="5"/>
  <c r="N162" i="5"/>
  <c r="O162" i="5"/>
  <c r="P162" i="5"/>
  <c r="Q162" i="5"/>
  <c r="R162" i="5"/>
  <c r="S162" i="5"/>
  <c r="T162" i="5"/>
  <c r="U162" i="5"/>
  <c r="M163" i="5"/>
  <c r="N163" i="5"/>
  <c r="O163" i="5"/>
  <c r="P163" i="5"/>
  <c r="Q163" i="5"/>
  <c r="R163" i="5"/>
  <c r="S163" i="5"/>
  <c r="T163" i="5"/>
  <c r="U163" i="5"/>
  <c r="M164" i="5"/>
  <c r="N164" i="5"/>
  <c r="O164" i="5"/>
  <c r="P164" i="5"/>
  <c r="Q164" i="5"/>
  <c r="R164" i="5"/>
  <c r="S164" i="5"/>
  <c r="T164" i="5"/>
  <c r="U164" i="5"/>
  <c r="M165" i="5"/>
  <c r="N165" i="5"/>
  <c r="O165" i="5"/>
  <c r="P165" i="5"/>
  <c r="Q165" i="5"/>
  <c r="R165" i="5"/>
  <c r="S165" i="5"/>
  <c r="T165" i="5"/>
  <c r="U165" i="5"/>
  <c r="M166" i="5"/>
  <c r="N166" i="5"/>
  <c r="O166" i="5"/>
  <c r="P166" i="5"/>
  <c r="Q166" i="5"/>
  <c r="R166" i="5"/>
  <c r="S166" i="5"/>
  <c r="T166" i="5"/>
  <c r="U166" i="5"/>
  <c r="M167" i="5"/>
  <c r="N167" i="5"/>
  <c r="O167" i="5"/>
  <c r="P167" i="5"/>
  <c r="Q167" i="5"/>
  <c r="R167" i="5"/>
  <c r="S167" i="5"/>
  <c r="T167" i="5"/>
  <c r="U167" i="5"/>
  <c r="M168" i="5"/>
  <c r="N168" i="5"/>
  <c r="O168" i="5"/>
  <c r="P168" i="5"/>
  <c r="Q168" i="5"/>
  <c r="R168" i="5"/>
  <c r="S168" i="5"/>
  <c r="T168" i="5"/>
  <c r="U168" i="5"/>
  <c r="M169" i="5"/>
  <c r="N169" i="5"/>
  <c r="O169" i="5"/>
  <c r="P169" i="5"/>
  <c r="Q169" i="5"/>
  <c r="R169" i="5"/>
  <c r="S169" i="5"/>
  <c r="T169" i="5"/>
  <c r="U169" i="5"/>
  <c r="M170" i="5"/>
  <c r="N170" i="5"/>
  <c r="O170" i="5"/>
  <c r="P170" i="5"/>
  <c r="Q170" i="5"/>
  <c r="R170" i="5"/>
  <c r="S170" i="5"/>
  <c r="T170" i="5"/>
  <c r="U170" i="5"/>
  <c r="M171" i="5"/>
  <c r="N171" i="5"/>
  <c r="O171" i="5"/>
  <c r="P171" i="5"/>
  <c r="Q171" i="5"/>
  <c r="R171" i="5"/>
  <c r="S171" i="5"/>
  <c r="T171" i="5"/>
  <c r="U171" i="5"/>
  <c r="M172" i="5"/>
  <c r="N172" i="5"/>
  <c r="O172" i="5"/>
  <c r="P172" i="5"/>
  <c r="Q172" i="5"/>
  <c r="R172" i="5"/>
  <c r="S172" i="5"/>
  <c r="T172" i="5"/>
  <c r="U172" i="5"/>
  <c r="M173" i="5"/>
  <c r="N173" i="5"/>
  <c r="O173" i="5"/>
  <c r="P173" i="5"/>
  <c r="Q173" i="5"/>
  <c r="R173" i="5"/>
  <c r="S173" i="5"/>
  <c r="T173" i="5"/>
  <c r="U173" i="5"/>
  <c r="M174" i="5"/>
  <c r="N174" i="5"/>
  <c r="O174" i="5"/>
  <c r="P174" i="5"/>
  <c r="Q174" i="5"/>
  <c r="R174" i="5"/>
  <c r="S174" i="5"/>
  <c r="T174" i="5"/>
  <c r="U174" i="5"/>
  <c r="M175" i="5"/>
  <c r="N175" i="5"/>
  <c r="O175" i="5"/>
  <c r="P175" i="5"/>
  <c r="Q175" i="5"/>
  <c r="R175" i="5"/>
  <c r="S175" i="5"/>
  <c r="T175" i="5"/>
  <c r="U175" i="5"/>
  <c r="M176" i="5"/>
  <c r="N176" i="5"/>
  <c r="O176" i="5"/>
  <c r="P176" i="5"/>
  <c r="Q176" i="5"/>
  <c r="R176" i="5"/>
  <c r="S176" i="5"/>
  <c r="T176" i="5"/>
  <c r="U176" i="5"/>
  <c r="M177" i="5"/>
  <c r="N177" i="5"/>
  <c r="O177" i="5"/>
  <c r="P177" i="5"/>
  <c r="Q177" i="5"/>
  <c r="R177" i="5"/>
  <c r="S177" i="5"/>
  <c r="T177" i="5"/>
  <c r="U177" i="5"/>
  <c r="M178" i="5"/>
  <c r="N178" i="5"/>
  <c r="O178" i="5"/>
  <c r="P178" i="5"/>
  <c r="Q178" i="5"/>
  <c r="R178" i="5"/>
  <c r="S178" i="5"/>
  <c r="T178" i="5"/>
  <c r="U178" i="5"/>
  <c r="M179" i="5"/>
  <c r="N179" i="5"/>
  <c r="O179" i="5"/>
  <c r="P179" i="5"/>
  <c r="Q179" i="5"/>
  <c r="R179" i="5"/>
  <c r="S179" i="5"/>
  <c r="T179" i="5"/>
  <c r="U179" i="5"/>
  <c r="M180" i="5"/>
  <c r="N180" i="5"/>
  <c r="O180" i="5"/>
  <c r="P180" i="5"/>
  <c r="Q180" i="5"/>
  <c r="R180" i="5"/>
  <c r="S180" i="5"/>
  <c r="T180" i="5"/>
  <c r="U180" i="5"/>
  <c r="M181" i="5"/>
  <c r="N181" i="5"/>
  <c r="O181" i="5"/>
  <c r="P181" i="5"/>
  <c r="Q181" i="5"/>
  <c r="R181" i="5"/>
  <c r="S181" i="5"/>
  <c r="T181" i="5"/>
  <c r="U181" i="5"/>
  <c r="M182" i="5"/>
  <c r="N182" i="5"/>
  <c r="O182" i="5"/>
  <c r="P182" i="5"/>
  <c r="Q182" i="5"/>
  <c r="R182" i="5"/>
  <c r="S182" i="5"/>
  <c r="T182" i="5"/>
  <c r="U182" i="5"/>
  <c r="M183" i="5"/>
  <c r="N183" i="5"/>
  <c r="O183" i="5"/>
  <c r="P183" i="5"/>
  <c r="Q183" i="5"/>
  <c r="R183" i="5"/>
  <c r="S183" i="5"/>
  <c r="T183" i="5"/>
  <c r="U183" i="5"/>
  <c r="M184" i="5"/>
  <c r="N184" i="5"/>
  <c r="O184" i="5"/>
  <c r="P184" i="5"/>
  <c r="Q184" i="5"/>
  <c r="R184" i="5"/>
  <c r="S184" i="5"/>
  <c r="T184" i="5"/>
  <c r="U184" i="5"/>
  <c r="M185" i="5"/>
  <c r="N185" i="5"/>
  <c r="O185" i="5"/>
  <c r="P185" i="5"/>
  <c r="Q185" i="5"/>
  <c r="R185" i="5"/>
  <c r="S185" i="5"/>
  <c r="T185" i="5"/>
  <c r="U185" i="5"/>
  <c r="M186" i="5"/>
  <c r="N186" i="5"/>
  <c r="O186" i="5"/>
  <c r="P186" i="5"/>
  <c r="Q186" i="5"/>
  <c r="R186" i="5"/>
  <c r="S186" i="5"/>
  <c r="T186" i="5"/>
  <c r="U186" i="5"/>
  <c r="M187" i="5"/>
  <c r="N187" i="5"/>
  <c r="O187" i="5"/>
  <c r="P187" i="5"/>
  <c r="Q187" i="5"/>
  <c r="R187" i="5"/>
  <c r="S187" i="5"/>
  <c r="T187" i="5"/>
  <c r="U187" i="5"/>
  <c r="M188" i="5"/>
  <c r="N188" i="5"/>
  <c r="O188" i="5"/>
  <c r="P188" i="5"/>
  <c r="Q188" i="5"/>
  <c r="R188" i="5"/>
  <c r="S188" i="5"/>
  <c r="T188" i="5"/>
  <c r="U188" i="5"/>
  <c r="M189" i="5"/>
  <c r="N189" i="5"/>
  <c r="O189" i="5"/>
  <c r="P189" i="5"/>
  <c r="Q189" i="5"/>
  <c r="R189" i="5"/>
  <c r="S189" i="5"/>
  <c r="T189" i="5"/>
  <c r="U189" i="5"/>
  <c r="M190" i="5"/>
  <c r="N190" i="5"/>
  <c r="O190" i="5"/>
  <c r="P190" i="5"/>
  <c r="Q190" i="5"/>
  <c r="R190" i="5"/>
  <c r="S190" i="5"/>
  <c r="T190" i="5"/>
  <c r="U190" i="5"/>
  <c r="M191" i="5"/>
  <c r="N191" i="5"/>
  <c r="O191" i="5"/>
  <c r="P191" i="5"/>
  <c r="Q191" i="5"/>
  <c r="R191" i="5"/>
  <c r="S191" i="5"/>
  <c r="T191" i="5"/>
  <c r="U191" i="5"/>
  <c r="M192" i="5"/>
  <c r="N192" i="5"/>
  <c r="O192" i="5"/>
  <c r="P192" i="5"/>
  <c r="Q192" i="5"/>
  <c r="R192" i="5"/>
  <c r="S192" i="5"/>
  <c r="T192" i="5"/>
  <c r="U192" i="5"/>
  <c r="M193" i="5"/>
  <c r="N193" i="5"/>
  <c r="O193" i="5"/>
  <c r="P193" i="5"/>
  <c r="Q193" i="5"/>
  <c r="R193" i="5"/>
  <c r="S193" i="5"/>
  <c r="T193" i="5"/>
  <c r="U193" i="5"/>
  <c r="M194" i="5"/>
  <c r="N194" i="5"/>
  <c r="O194" i="5"/>
  <c r="P194" i="5"/>
  <c r="Q194" i="5"/>
  <c r="R194" i="5"/>
  <c r="S194" i="5"/>
  <c r="T194" i="5"/>
  <c r="U194" i="5"/>
  <c r="M195" i="5"/>
  <c r="N195" i="5"/>
  <c r="O195" i="5"/>
  <c r="P195" i="5"/>
  <c r="Q195" i="5"/>
  <c r="R195" i="5"/>
  <c r="S195" i="5"/>
  <c r="T195" i="5"/>
  <c r="U195" i="5"/>
  <c r="M196" i="5"/>
  <c r="N196" i="5"/>
  <c r="O196" i="5"/>
  <c r="P196" i="5"/>
  <c r="Q196" i="5"/>
  <c r="R196" i="5"/>
  <c r="S196" i="5"/>
  <c r="T196" i="5"/>
  <c r="U196" i="5"/>
  <c r="M197" i="5"/>
  <c r="N197" i="5"/>
  <c r="O197" i="5"/>
  <c r="P197" i="5"/>
  <c r="Q197" i="5"/>
  <c r="R197" i="5"/>
  <c r="S197" i="5"/>
  <c r="T197" i="5"/>
  <c r="U197" i="5"/>
  <c r="M198" i="5"/>
  <c r="N198" i="5"/>
  <c r="O198" i="5"/>
  <c r="P198" i="5"/>
  <c r="Q198" i="5"/>
  <c r="R198" i="5"/>
  <c r="S198" i="5"/>
  <c r="T198" i="5"/>
  <c r="U198" i="5"/>
  <c r="M199" i="5"/>
  <c r="N199" i="5"/>
  <c r="O199" i="5"/>
  <c r="P199" i="5"/>
  <c r="Q199" i="5"/>
  <c r="R199" i="5"/>
  <c r="S199" i="5"/>
  <c r="T199" i="5"/>
  <c r="U199" i="5"/>
  <c r="M200" i="5"/>
  <c r="N200" i="5"/>
  <c r="O200" i="5"/>
  <c r="P200" i="5"/>
  <c r="Q200" i="5"/>
  <c r="R200" i="5"/>
  <c r="S200" i="5"/>
  <c r="T200" i="5"/>
  <c r="U200" i="5"/>
  <c r="M201" i="5"/>
  <c r="N201" i="5"/>
  <c r="O201" i="5"/>
  <c r="P201" i="5"/>
  <c r="Q201" i="5"/>
  <c r="R201" i="5"/>
  <c r="S201" i="5"/>
  <c r="T201" i="5"/>
  <c r="U201" i="5"/>
  <c r="M202" i="5"/>
  <c r="N202" i="5"/>
  <c r="O202" i="5"/>
  <c r="P202" i="5"/>
  <c r="Q202" i="5"/>
  <c r="R202" i="5"/>
  <c r="S202" i="5"/>
  <c r="T202" i="5"/>
  <c r="U202" i="5"/>
  <c r="M203" i="5"/>
  <c r="N203" i="5"/>
  <c r="O203" i="5"/>
  <c r="P203" i="5"/>
  <c r="Q203" i="5"/>
  <c r="R203" i="5"/>
  <c r="S203" i="5"/>
  <c r="T203" i="5"/>
  <c r="U203" i="5"/>
  <c r="M204" i="5"/>
  <c r="N204" i="5"/>
  <c r="O204" i="5"/>
  <c r="P204" i="5"/>
  <c r="Q204" i="5"/>
  <c r="R204" i="5"/>
  <c r="S204" i="5"/>
  <c r="T204" i="5"/>
  <c r="U204" i="5"/>
  <c r="M205" i="5"/>
  <c r="N205" i="5"/>
  <c r="O205" i="5"/>
  <c r="P205" i="5"/>
  <c r="Q205" i="5"/>
  <c r="R205" i="5"/>
  <c r="S205" i="5"/>
  <c r="T205" i="5"/>
  <c r="U205" i="5"/>
  <c r="M206" i="5"/>
  <c r="N206" i="5"/>
  <c r="O206" i="5"/>
  <c r="P206" i="5"/>
  <c r="Q206" i="5"/>
  <c r="R206" i="5"/>
  <c r="S206" i="5"/>
  <c r="T206" i="5"/>
  <c r="U206" i="5"/>
  <c r="M207" i="5"/>
  <c r="N207" i="5"/>
  <c r="O207" i="5"/>
  <c r="P207" i="5"/>
  <c r="Q207" i="5"/>
  <c r="R207" i="5"/>
  <c r="S207" i="5"/>
  <c r="T207" i="5"/>
  <c r="U207" i="5"/>
  <c r="M208" i="5"/>
  <c r="N208" i="5"/>
  <c r="O208" i="5"/>
  <c r="P208" i="5"/>
  <c r="Q208" i="5"/>
  <c r="R208" i="5"/>
  <c r="S208" i="5"/>
  <c r="T208" i="5"/>
  <c r="U208" i="5"/>
  <c r="M209" i="5"/>
  <c r="N209" i="5"/>
  <c r="O209" i="5"/>
  <c r="P209" i="5"/>
  <c r="Q209" i="5"/>
  <c r="R209" i="5"/>
  <c r="S209" i="5"/>
  <c r="T209" i="5"/>
  <c r="U209" i="5"/>
  <c r="M210" i="5"/>
  <c r="N210" i="5"/>
  <c r="O210" i="5"/>
  <c r="P210" i="5"/>
  <c r="Q210" i="5"/>
  <c r="R210" i="5"/>
  <c r="S210" i="5"/>
  <c r="T210" i="5"/>
  <c r="U210" i="5"/>
  <c r="M211" i="5"/>
  <c r="N211" i="5"/>
  <c r="O211" i="5"/>
  <c r="P211" i="5"/>
  <c r="Q211" i="5"/>
  <c r="R211" i="5"/>
  <c r="S211" i="5"/>
  <c r="T211" i="5"/>
  <c r="U211" i="5"/>
  <c r="M212" i="5"/>
  <c r="N212" i="5"/>
  <c r="O212" i="5"/>
  <c r="P212" i="5"/>
  <c r="Q212" i="5"/>
  <c r="R212" i="5"/>
  <c r="S212" i="5"/>
  <c r="T212" i="5"/>
  <c r="U212" i="5"/>
  <c r="M213" i="5"/>
  <c r="N213" i="5"/>
  <c r="O213" i="5"/>
  <c r="P213" i="5"/>
  <c r="Q213" i="5"/>
  <c r="R213" i="5"/>
  <c r="S213" i="5"/>
  <c r="T213" i="5"/>
  <c r="U213" i="5"/>
  <c r="M214" i="5"/>
  <c r="N214" i="5"/>
  <c r="O214" i="5"/>
  <c r="P214" i="5"/>
  <c r="Q214" i="5"/>
  <c r="R214" i="5"/>
  <c r="S214" i="5"/>
  <c r="T214" i="5"/>
  <c r="U214" i="5"/>
  <c r="M215" i="5"/>
  <c r="N215" i="5"/>
  <c r="O215" i="5"/>
  <c r="P215" i="5"/>
  <c r="Q215" i="5"/>
  <c r="R215" i="5"/>
  <c r="S215" i="5"/>
  <c r="T215" i="5"/>
  <c r="U215" i="5"/>
  <c r="M216" i="5"/>
  <c r="N216" i="5"/>
  <c r="O216" i="5"/>
  <c r="P216" i="5"/>
  <c r="Q216" i="5"/>
  <c r="R216" i="5"/>
  <c r="S216" i="5"/>
  <c r="T216" i="5"/>
  <c r="U216" i="5"/>
  <c r="M217" i="5"/>
  <c r="N217" i="5"/>
  <c r="O217" i="5"/>
  <c r="P217" i="5"/>
  <c r="Q217" i="5"/>
  <c r="R217" i="5"/>
  <c r="S217" i="5"/>
  <c r="T217" i="5"/>
  <c r="U217" i="5"/>
  <c r="M218" i="5"/>
  <c r="N218" i="5"/>
  <c r="O218" i="5"/>
  <c r="P218" i="5"/>
  <c r="Q218" i="5"/>
  <c r="R218" i="5"/>
  <c r="S218" i="5"/>
  <c r="T218" i="5"/>
  <c r="U218" i="5"/>
  <c r="M219" i="5"/>
  <c r="N219" i="5"/>
  <c r="O219" i="5"/>
  <c r="P219" i="5"/>
  <c r="Q219" i="5"/>
  <c r="R219" i="5"/>
  <c r="S219" i="5"/>
  <c r="T219" i="5"/>
  <c r="U219" i="5"/>
  <c r="M220" i="5"/>
  <c r="N220" i="5"/>
  <c r="O220" i="5"/>
  <c r="P220" i="5"/>
  <c r="Q220" i="5"/>
  <c r="R220" i="5"/>
  <c r="S220" i="5"/>
  <c r="T220" i="5"/>
  <c r="U220" i="5"/>
  <c r="M221" i="5"/>
  <c r="N221" i="5"/>
  <c r="O221" i="5"/>
  <c r="P221" i="5"/>
  <c r="Q221" i="5"/>
  <c r="R221" i="5"/>
  <c r="S221" i="5"/>
  <c r="T221" i="5"/>
  <c r="U221" i="5"/>
  <c r="M222" i="5"/>
  <c r="N222" i="5"/>
  <c r="O222" i="5"/>
  <c r="P222" i="5"/>
  <c r="Q222" i="5"/>
  <c r="R222" i="5"/>
  <c r="S222" i="5"/>
  <c r="T222" i="5"/>
  <c r="U222" i="5"/>
  <c r="M223" i="5"/>
  <c r="N223" i="5"/>
  <c r="O223" i="5"/>
  <c r="P223" i="5"/>
  <c r="Q223" i="5"/>
  <c r="R223" i="5"/>
  <c r="S223" i="5"/>
  <c r="T223" i="5"/>
  <c r="U223" i="5"/>
  <c r="M224" i="5"/>
  <c r="N224" i="5"/>
  <c r="O224" i="5"/>
  <c r="P224" i="5"/>
  <c r="Q224" i="5"/>
  <c r="R224" i="5"/>
  <c r="S224" i="5"/>
  <c r="T224" i="5"/>
  <c r="U224" i="5"/>
  <c r="M225" i="5"/>
  <c r="N225" i="5"/>
  <c r="O225" i="5"/>
  <c r="P225" i="5"/>
  <c r="Q225" i="5"/>
  <c r="R225" i="5"/>
  <c r="S225" i="5"/>
  <c r="T225" i="5"/>
  <c r="U225" i="5"/>
  <c r="M226" i="5"/>
  <c r="N226" i="5"/>
  <c r="O226" i="5"/>
  <c r="P226" i="5"/>
  <c r="Q226" i="5"/>
  <c r="R226" i="5"/>
  <c r="S226" i="5"/>
  <c r="T226" i="5"/>
  <c r="U226" i="5"/>
  <c r="M227" i="5"/>
  <c r="N227" i="5"/>
  <c r="O227" i="5"/>
  <c r="P227" i="5"/>
  <c r="Q227" i="5"/>
  <c r="R227" i="5"/>
  <c r="S227" i="5"/>
  <c r="T227" i="5"/>
  <c r="U227" i="5"/>
  <c r="M228" i="5"/>
  <c r="N228" i="5"/>
  <c r="O228" i="5"/>
  <c r="P228" i="5"/>
  <c r="Q228" i="5"/>
  <c r="R228" i="5"/>
  <c r="S228" i="5"/>
  <c r="T228" i="5"/>
  <c r="U228" i="5"/>
  <c r="M229" i="5"/>
  <c r="N229" i="5"/>
  <c r="O229" i="5"/>
  <c r="P229" i="5"/>
  <c r="Q229" i="5"/>
  <c r="R229" i="5"/>
  <c r="S229" i="5"/>
  <c r="T229" i="5"/>
  <c r="U229" i="5"/>
  <c r="M230" i="5"/>
  <c r="N230" i="5"/>
  <c r="O230" i="5"/>
  <c r="P230" i="5"/>
  <c r="Q230" i="5"/>
  <c r="R230" i="5"/>
  <c r="S230" i="5"/>
  <c r="T230" i="5"/>
  <c r="U230" i="5"/>
  <c r="M231" i="5"/>
  <c r="N231" i="5"/>
  <c r="O231" i="5"/>
  <c r="P231" i="5"/>
  <c r="Q231" i="5"/>
  <c r="R231" i="5"/>
  <c r="S231" i="5"/>
  <c r="T231" i="5"/>
  <c r="U231" i="5"/>
  <c r="M232" i="5"/>
  <c r="N232" i="5"/>
  <c r="O232" i="5"/>
  <c r="P232" i="5"/>
  <c r="Q232" i="5"/>
  <c r="R232" i="5"/>
  <c r="S232" i="5"/>
  <c r="T232" i="5"/>
  <c r="U232" i="5"/>
  <c r="M233" i="5"/>
  <c r="N233" i="5"/>
  <c r="O233" i="5"/>
  <c r="P233" i="5"/>
  <c r="Q233" i="5"/>
  <c r="R233" i="5"/>
  <c r="S233" i="5"/>
  <c r="T233" i="5"/>
  <c r="U233" i="5"/>
  <c r="M234" i="5"/>
  <c r="N234" i="5"/>
  <c r="O234" i="5"/>
  <c r="P234" i="5"/>
  <c r="Q234" i="5"/>
  <c r="R234" i="5"/>
  <c r="S234" i="5"/>
  <c r="T234" i="5"/>
  <c r="U234" i="5"/>
  <c r="M235" i="5"/>
  <c r="N235" i="5"/>
  <c r="O235" i="5"/>
  <c r="P235" i="5"/>
  <c r="Q235" i="5"/>
  <c r="R235" i="5"/>
  <c r="S235" i="5"/>
  <c r="T235" i="5"/>
  <c r="U235" i="5"/>
  <c r="M236" i="5"/>
  <c r="N236" i="5"/>
  <c r="O236" i="5"/>
  <c r="P236" i="5"/>
  <c r="Q236" i="5"/>
  <c r="R236" i="5"/>
  <c r="S236" i="5"/>
  <c r="T236" i="5"/>
  <c r="U236" i="5"/>
  <c r="M237" i="5"/>
  <c r="N237" i="5"/>
  <c r="O237" i="5"/>
  <c r="P237" i="5"/>
  <c r="Q237" i="5"/>
  <c r="R237" i="5"/>
  <c r="S237" i="5"/>
  <c r="T237" i="5"/>
  <c r="U237" i="5"/>
  <c r="M238" i="5"/>
  <c r="N238" i="5"/>
  <c r="O238" i="5"/>
  <c r="P238" i="5"/>
  <c r="Q238" i="5"/>
  <c r="R238" i="5"/>
  <c r="S238" i="5"/>
  <c r="T238" i="5"/>
  <c r="U238" i="5"/>
  <c r="M239" i="5"/>
  <c r="N239" i="5"/>
  <c r="O239" i="5"/>
  <c r="P239" i="5"/>
  <c r="Q239" i="5"/>
  <c r="R239" i="5"/>
  <c r="S239" i="5"/>
  <c r="T239" i="5"/>
  <c r="U239" i="5"/>
  <c r="M240" i="5"/>
  <c r="N240" i="5"/>
  <c r="O240" i="5"/>
  <c r="P240" i="5"/>
  <c r="Q240" i="5"/>
  <c r="R240" i="5"/>
  <c r="S240" i="5"/>
  <c r="T240" i="5"/>
  <c r="U240" i="5"/>
  <c r="M241" i="5"/>
  <c r="N241" i="5"/>
  <c r="O241" i="5"/>
  <c r="P241" i="5"/>
  <c r="Q241" i="5"/>
  <c r="R241" i="5"/>
  <c r="S241" i="5"/>
  <c r="T241" i="5"/>
  <c r="U241" i="5"/>
  <c r="M242" i="5"/>
  <c r="N242" i="5"/>
  <c r="O242" i="5"/>
  <c r="P242" i="5"/>
  <c r="Q242" i="5"/>
  <c r="R242" i="5"/>
  <c r="S242" i="5"/>
  <c r="T242" i="5"/>
  <c r="U242" i="5"/>
  <c r="M243" i="5"/>
  <c r="N243" i="5"/>
  <c r="O243" i="5"/>
  <c r="P243" i="5"/>
  <c r="Q243" i="5"/>
  <c r="R243" i="5"/>
  <c r="S243" i="5"/>
  <c r="T243" i="5"/>
  <c r="U243" i="5"/>
  <c r="M244" i="5"/>
  <c r="N244" i="5"/>
  <c r="O244" i="5"/>
  <c r="P244" i="5"/>
  <c r="Q244" i="5"/>
  <c r="R244" i="5"/>
  <c r="S244" i="5"/>
  <c r="T244" i="5"/>
  <c r="U244" i="5"/>
  <c r="M245" i="5"/>
  <c r="N245" i="5"/>
  <c r="O245" i="5"/>
  <c r="P245" i="5"/>
  <c r="Q245" i="5"/>
  <c r="R245" i="5"/>
  <c r="S245" i="5"/>
  <c r="T245" i="5"/>
  <c r="U245" i="5"/>
  <c r="M246" i="5"/>
  <c r="N246" i="5"/>
  <c r="O246" i="5"/>
  <c r="P246" i="5"/>
  <c r="Q246" i="5"/>
  <c r="R246" i="5"/>
  <c r="S246" i="5"/>
  <c r="T246" i="5"/>
  <c r="U246" i="5"/>
  <c r="M247" i="5"/>
  <c r="N247" i="5"/>
  <c r="O247" i="5"/>
  <c r="P247" i="5"/>
  <c r="Q247" i="5"/>
  <c r="R247" i="5"/>
  <c r="S247" i="5"/>
  <c r="T247" i="5"/>
  <c r="U247" i="5"/>
  <c r="M248" i="5"/>
  <c r="N248" i="5"/>
  <c r="O248" i="5"/>
  <c r="P248" i="5"/>
  <c r="Q248" i="5"/>
  <c r="R248" i="5"/>
  <c r="S248" i="5"/>
  <c r="T248" i="5"/>
  <c r="U248" i="5"/>
  <c r="M249" i="5"/>
  <c r="N249" i="5"/>
  <c r="O249" i="5"/>
  <c r="P249" i="5"/>
  <c r="Q249" i="5"/>
  <c r="R249" i="5"/>
  <c r="S249" i="5"/>
  <c r="T249" i="5"/>
  <c r="U249" i="5"/>
  <c r="M250" i="5"/>
  <c r="N250" i="5"/>
  <c r="O250" i="5"/>
  <c r="P250" i="5"/>
  <c r="Q250" i="5"/>
  <c r="R250" i="5"/>
  <c r="S250" i="5"/>
  <c r="T250" i="5"/>
  <c r="U250" i="5"/>
  <c r="M251" i="5"/>
  <c r="N251" i="5"/>
  <c r="O251" i="5"/>
  <c r="P251" i="5"/>
  <c r="Q251" i="5"/>
  <c r="R251" i="5"/>
  <c r="S251" i="5"/>
  <c r="T251" i="5"/>
  <c r="U251" i="5"/>
  <c r="M252" i="5"/>
  <c r="N252" i="5"/>
  <c r="O252" i="5"/>
  <c r="P252" i="5"/>
  <c r="Q252" i="5"/>
  <c r="R252" i="5"/>
  <c r="S252" i="5"/>
  <c r="T252" i="5"/>
  <c r="U252" i="5"/>
  <c r="M253" i="5"/>
  <c r="N253" i="5"/>
  <c r="O253" i="5"/>
  <c r="P253" i="5"/>
  <c r="Q253" i="5"/>
  <c r="R253" i="5"/>
  <c r="S253" i="5"/>
  <c r="T253" i="5"/>
  <c r="U253" i="5"/>
  <c r="M254" i="5"/>
  <c r="N254" i="5"/>
  <c r="O254" i="5"/>
  <c r="P254" i="5"/>
  <c r="Q254" i="5"/>
  <c r="R254" i="5"/>
  <c r="S254" i="5"/>
  <c r="T254" i="5"/>
  <c r="U254" i="5"/>
  <c r="M255" i="5"/>
  <c r="N255" i="5"/>
  <c r="O255" i="5"/>
  <c r="P255" i="5"/>
  <c r="Q255" i="5"/>
  <c r="R255" i="5"/>
  <c r="S255" i="5"/>
  <c r="T255" i="5"/>
  <c r="U255" i="5"/>
  <c r="M256" i="5"/>
  <c r="N256" i="5"/>
  <c r="O256" i="5"/>
  <c r="P256" i="5"/>
  <c r="Q256" i="5"/>
  <c r="R256" i="5"/>
  <c r="S256" i="5"/>
  <c r="T256" i="5"/>
  <c r="U256" i="5"/>
  <c r="M257" i="5"/>
  <c r="N257" i="5"/>
  <c r="O257" i="5"/>
  <c r="P257" i="5"/>
  <c r="Q257" i="5"/>
  <c r="R257" i="5"/>
  <c r="S257" i="5"/>
  <c r="T257" i="5"/>
  <c r="U257" i="5"/>
  <c r="M258" i="5"/>
  <c r="N258" i="5"/>
  <c r="O258" i="5"/>
  <c r="P258" i="5"/>
  <c r="Q258" i="5"/>
  <c r="R258" i="5"/>
  <c r="S258" i="5"/>
  <c r="T258" i="5"/>
  <c r="U258" i="5"/>
  <c r="M259" i="5"/>
  <c r="N259" i="5"/>
  <c r="O259" i="5"/>
  <c r="P259" i="5"/>
  <c r="Q259" i="5"/>
  <c r="R259" i="5"/>
  <c r="S259" i="5"/>
  <c r="T259" i="5"/>
  <c r="U259" i="5"/>
  <c r="M260" i="5"/>
  <c r="N260" i="5"/>
  <c r="O260" i="5"/>
  <c r="P260" i="5"/>
  <c r="Q260" i="5"/>
  <c r="R260" i="5"/>
  <c r="S260" i="5"/>
  <c r="T260" i="5"/>
  <c r="U260" i="5"/>
  <c r="M261" i="5"/>
  <c r="N261" i="5"/>
  <c r="O261" i="5"/>
  <c r="P261" i="5"/>
  <c r="Q261" i="5"/>
  <c r="R261" i="5"/>
  <c r="S261" i="5"/>
  <c r="T261" i="5"/>
  <c r="U261" i="5"/>
  <c r="M262" i="5"/>
  <c r="N262" i="5"/>
  <c r="O262" i="5"/>
  <c r="P262" i="5"/>
  <c r="Q262" i="5"/>
  <c r="R262" i="5"/>
  <c r="S262" i="5"/>
  <c r="T262" i="5"/>
  <c r="U262" i="5"/>
  <c r="M263" i="5"/>
  <c r="N263" i="5"/>
  <c r="O263" i="5"/>
  <c r="P263" i="5"/>
  <c r="Q263" i="5"/>
  <c r="R263" i="5"/>
  <c r="S263" i="5"/>
  <c r="T263" i="5"/>
  <c r="U263" i="5"/>
  <c r="M264" i="5"/>
  <c r="N264" i="5"/>
  <c r="O264" i="5"/>
  <c r="P264" i="5"/>
  <c r="Q264" i="5"/>
  <c r="R264" i="5"/>
  <c r="S264" i="5"/>
  <c r="T264" i="5"/>
  <c r="U264" i="5"/>
  <c r="M265" i="5"/>
  <c r="N265" i="5"/>
  <c r="O265" i="5"/>
  <c r="P265" i="5"/>
  <c r="Q265" i="5"/>
  <c r="R265" i="5"/>
  <c r="S265" i="5"/>
  <c r="T265" i="5"/>
  <c r="U265" i="5"/>
  <c r="M266" i="5"/>
  <c r="N266" i="5"/>
  <c r="O266" i="5"/>
  <c r="P266" i="5"/>
  <c r="Q266" i="5"/>
  <c r="R266" i="5"/>
  <c r="S266" i="5"/>
  <c r="T266" i="5"/>
  <c r="U266" i="5"/>
  <c r="M267" i="5"/>
  <c r="N267" i="5"/>
  <c r="O267" i="5"/>
  <c r="P267" i="5"/>
  <c r="Q267" i="5"/>
  <c r="R267" i="5"/>
  <c r="S267" i="5"/>
  <c r="T267" i="5"/>
  <c r="U267" i="5"/>
  <c r="M268" i="5"/>
  <c r="N268" i="5"/>
  <c r="O268" i="5"/>
  <c r="P268" i="5"/>
  <c r="Q268" i="5"/>
  <c r="R268" i="5"/>
  <c r="S268" i="5"/>
  <c r="T268" i="5"/>
  <c r="U268" i="5"/>
  <c r="M269" i="5"/>
  <c r="N269" i="5"/>
  <c r="O269" i="5"/>
  <c r="P269" i="5"/>
  <c r="Q269" i="5"/>
  <c r="R269" i="5"/>
  <c r="S269" i="5"/>
  <c r="T269" i="5"/>
  <c r="U269" i="5"/>
  <c r="M270" i="5"/>
  <c r="N270" i="5"/>
  <c r="O270" i="5"/>
  <c r="P270" i="5"/>
  <c r="Q270" i="5"/>
  <c r="R270" i="5"/>
  <c r="S270" i="5"/>
  <c r="T270" i="5"/>
  <c r="U270" i="5"/>
  <c r="M271" i="5"/>
  <c r="N271" i="5"/>
  <c r="O271" i="5"/>
  <c r="P271" i="5"/>
  <c r="Q271" i="5"/>
  <c r="R271" i="5"/>
  <c r="S271" i="5"/>
  <c r="T271" i="5"/>
  <c r="U271" i="5"/>
  <c r="M272" i="5"/>
  <c r="N272" i="5"/>
  <c r="O272" i="5"/>
  <c r="P272" i="5"/>
  <c r="Q272" i="5"/>
  <c r="R272" i="5"/>
  <c r="S272" i="5"/>
  <c r="T272" i="5"/>
  <c r="U272" i="5"/>
  <c r="M273" i="5"/>
  <c r="N273" i="5"/>
  <c r="O273" i="5"/>
  <c r="P273" i="5"/>
  <c r="Q273" i="5"/>
  <c r="R273" i="5"/>
  <c r="S273" i="5"/>
  <c r="T273" i="5"/>
  <c r="U273" i="5"/>
  <c r="M274" i="5"/>
  <c r="N274" i="5"/>
  <c r="O274" i="5"/>
  <c r="P274" i="5"/>
  <c r="Q274" i="5"/>
  <c r="R274" i="5"/>
  <c r="S274" i="5"/>
  <c r="T274" i="5"/>
  <c r="U274" i="5"/>
  <c r="M275" i="5"/>
  <c r="N275" i="5"/>
  <c r="O275" i="5"/>
  <c r="P275" i="5"/>
  <c r="Q275" i="5"/>
  <c r="R275" i="5"/>
  <c r="S275" i="5"/>
  <c r="T275" i="5"/>
  <c r="U275" i="5"/>
  <c r="M276" i="5"/>
  <c r="N276" i="5"/>
  <c r="O276" i="5"/>
  <c r="P276" i="5"/>
  <c r="Q276" i="5"/>
  <c r="R276" i="5"/>
  <c r="S276" i="5"/>
  <c r="T276" i="5"/>
  <c r="U276" i="5"/>
  <c r="M277" i="5"/>
  <c r="N277" i="5"/>
  <c r="O277" i="5"/>
  <c r="P277" i="5"/>
  <c r="Q277" i="5"/>
  <c r="R277" i="5"/>
  <c r="S277" i="5"/>
  <c r="T277" i="5"/>
  <c r="U277" i="5"/>
  <c r="M278" i="5"/>
  <c r="N278" i="5"/>
  <c r="O278" i="5"/>
  <c r="P278" i="5"/>
  <c r="Q278" i="5"/>
  <c r="R278" i="5"/>
  <c r="S278" i="5"/>
  <c r="T278" i="5"/>
  <c r="U278" i="5"/>
  <c r="M279" i="5"/>
  <c r="N279" i="5"/>
  <c r="O279" i="5"/>
  <c r="P279" i="5"/>
  <c r="Q279" i="5"/>
  <c r="R279" i="5"/>
  <c r="S279" i="5"/>
  <c r="T279" i="5"/>
  <c r="U279" i="5"/>
  <c r="M280" i="5"/>
  <c r="N280" i="5"/>
  <c r="O280" i="5"/>
  <c r="P280" i="5"/>
  <c r="Q280" i="5"/>
  <c r="R280" i="5"/>
  <c r="S280" i="5"/>
  <c r="T280" i="5"/>
  <c r="U280" i="5"/>
  <c r="M281" i="5"/>
  <c r="N281" i="5"/>
  <c r="O281" i="5"/>
  <c r="P281" i="5"/>
  <c r="Q281" i="5"/>
  <c r="R281" i="5"/>
  <c r="S281" i="5"/>
  <c r="T281" i="5"/>
  <c r="U281" i="5"/>
  <c r="M282" i="5"/>
  <c r="N282" i="5"/>
  <c r="O282" i="5"/>
  <c r="P282" i="5"/>
  <c r="Q282" i="5"/>
  <c r="R282" i="5"/>
  <c r="S282" i="5"/>
  <c r="T282" i="5"/>
  <c r="U282" i="5"/>
  <c r="M283" i="5"/>
  <c r="N283" i="5"/>
  <c r="O283" i="5"/>
  <c r="P283" i="5"/>
  <c r="Q283" i="5"/>
  <c r="R283" i="5"/>
  <c r="S283" i="5"/>
  <c r="T283" i="5"/>
  <c r="U283" i="5"/>
  <c r="M284" i="5"/>
  <c r="N284" i="5"/>
  <c r="O284" i="5"/>
  <c r="P284" i="5"/>
  <c r="Q284" i="5"/>
  <c r="R284" i="5"/>
  <c r="S284" i="5"/>
  <c r="T284" i="5"/>
  <c r="U284" i="5"/>
  <c r="M285" i="5"/>
  <c r="N285" i="5"/>
  <c r="O285" i="5"/>
  <c r="P285" i="5"/>
  <c r="Q285" i="5"/>
  <c r="R285" i="5"/>
  <c r="S285" i="5"/>
  <c r="T285" i="5"/>
  <c r="U285" i="5"/>
  <c r="M286" i="5"/>
  <c r="N286" i="5"/>
  <c r="O286" i="5"/>
  <c r="P286" i="5"/>
  <c r="Q286" i="5"/>
  <c r="R286" i="5"/>
  <c r="S286" i="5"/>
  <c r="T286" i="5"/>
  <c r="U286" i="5"/>
  <c r="M287" i="5"/>
  <c r="N287" i="5"/>
  <c r="O287" i="5"/>
  <c r="P287" i="5"/>
  <c r="Q287" i="5"/>
  <c r="R287" i="5"/>
  <c r="S287" i="5"/>
  <c r="T287" i="5"/>
  <c r="U287" i="5"/>
  <c r="M288" i="5"/>
  <c r="N288" i="5"/>
  <c r="O288" i="5"/>
  <c r="P288" i="5"/>
  <c r="Q288" i="5"/>
  <c r="R288" i="5"/>
  <c r="S288" i="5"/>
  <c r="T288" i="5"/>
  <c r="U288" i="5"/>
  <c r="M289" i="5"/>
  <c r="N289" i="5"/>
  <c r="O289" i="5"/>
  <c r="P289" i="5"/>
  <c r="Q289" i="5"/>
  <c r="R289" i="5"/>
  <c r="S289" i="5"/>
  <c r="T289" i="5"/>
  <c r="U289" i="5"/>
  <c r="M290" i="5"/>
  <c r="N290" i="5"/>
  <c r="O290" i="5"/>
  <c r="P290" i="5"/>
  <c r="Q290" i="5"/>
  <c r="R290" i="5"/>
  <c r="S290" i="5"/>
  <c r="T290" i="5"/>
  <c r="U290" i="5"/>
  <c r="M291" i="5"/>
  <c r="N291" i="5"/>
  <c r="O291" i="5"/>
  <c r="P291" i="5"/>
  <c r="Q291" i="5"/>
  <c r="R291" i="5"/>
  <c r="S291" i="5"/>
  <c r="T291" i="5"/>
  <c r="U291" i="5"/>
  <c r="M292" i="5"/>
  <c r="N292" i="5"/>
  <c r="O292" i="5"/>
  <c r="P292" i="5"/>
  <c r="Q292" i="5"/>
  <c r="R292" i="5"/>
  <c r="S292" i="5"/>
  <c r="T292" i="5"/>
  <c r="U292" i="5"/>
  <c r="M293" i="5"/>
  <c r="N293" i="5"/>
  <c r="O293" i="5"/>
  <c r="P293" i="5"/>
  <c r="Q293" i="5"/>
  <c r="R293" i="5"/>
  <c r="S293" i="5"/>
  <c r="T293" i="5"/>
  <c r="U293" i="5"/>
  <c r="M294" i="5"/>
  <c r="N294" i="5"/>
  <c r="O294" i="5"/>
  <c r="P294" i="5"/>
  <c r="Q294" i="5"/>
  <c r="R294" i="5"/>
  <c r="S294" i="5"/>
  <c r="T294" i="5"/>
  <c r="U294" i="5"/>
  <c r="M295" i="5"/>
  <c r="N295" i="5"/>
  <c r="O295" i="5"/>
  <c r="P295" i="5"/>
  <c r="Q295" i="5"/>
  <c r="R295" i="5"/>
  <c r="S295" i="5"/>
  <c r="T295" i="5"/>
  <c r="U295" i="5"/>
  <c r="M296" i="5"/>
  <c r="N296" i="5"/>
  <c r="O296" i="5"/>
  <c r="P296" i="5"/>
  <c r="Q296" i="5"/>
  <c r="R296" i="5"/>
  <c r="S296" i="5"/>
  <c r="T296" i="5"/>
  <c r="U296" i="5"/>
  <c r="M297" i="5"/>
  <c r="N297" i="5"/>
  <c r="O297" i="5"/>
  <c r="P297" i="5"/>
  <c r="Q297" i="5"/>
  <c r="R297" i="5"/>
  <c r="S297" i="5"/>
  <c r="T297" i="5"/>
  <c r="U297" i="5"/>
  <c r="M298" i="5"/>
  <c r="N298" i="5"/>
  <c r="O298" i="5"/>
  <c r="P298" i="5"/>
  <c r="Q298" i="5"/>
  <c r="R298" i="5"/>
  <c r="S298" i="5"/>
  <c r="T298" i="5"/>
  <c r="U298" i="5"/>
  <c r="M299" i="5"/>
  <c r="N299" i="5"/>
  <c r="O299" i="5"/>
  <c r="P299" i="5"/>
  <c r="Q299" i="5"/>
  <c r="R299" i="5"/>
  <c r="S299" i="5"/>
  <c r="T299" i="5"/>
  <c r="U299" i="5"/>
  <c r="M300" i="5"/>
  <c r="N300" i="5"/>
  <c r="O300" i="5"/>
  <c r="P300" i="5"/>
  <c r="Q300" i="5"/>
  <c r="R300" i="5"/>
  <c r="S300" i="5"/>
  <c r="T300" i="5"/>
  <c r="U300" i="5"/>
  <c r="M301" i="5"/>
  <c r="N301" i="5"/>
  <c r="O301" i="5"/>
  <c r="P301" i="5"/>
  <c r="Q301" i="5"/>
  <c r="R301" i="5"/>
  <c r="S301" i="5"/>
  <c r="T301" i="5"/>
  <c r="U301" i="5"/>
  <c r="M302" i="5"/>
  <c r="N302" i="5"/>
  <c r="O302" i="5"/>
  <c r="P302" i="5"/>
  <c r="Q302" i="5"/>
  <c r="R302" i="5"/>
  <c r="S302" i="5"/>
  <c r="T302" i="5"/>
  <c r="U302" i="5"/>
  <c r="M303" i="5"/>
  <c r="N303" i="5"/>
  <c r="O303" i="5"/>
  <c r="P303" i="5"/>
  <c r="Q303" i="5"/>
  <c r="R303" i="5"/>
  <c r="S303" i="5"/>
  <c r="T303" i="5"/>
  <c r="U303" i="5"/>
  <c r="M304" i="5"/>
  <c r="N304" i="5"/>
  <c r="O304" i="5"/>
  <c r="P304" i="5"/>
  <c r="Q304" i="5"/>
  <c r="R304" i="5"/>
  <c r="S304" i="5"/>
  <c r="T304" i="5"/>
  <c r="U304" i="5"/>
  <c r="M305" i="5"/>
  <c r="N305" i="5"/>
  <c r="O305" i="5"/>
  <c r="P305" i="5"/>
  <c r="Q305" i="5"/>
  <c r="R305" i="5"/>
  <c r="S305" i="5"/>
  <c r="T305" i="5"/>
  <c r="U305" i="5"/>
  <c r="M306" i="5"/>
  <c r="N306" i="5"/>
  <c r="O306" i="5"/>
  <c r="P306" i="5"/>
  <c r="Q306" i="5"/>
  <c r="R306" i="5"/>
  <c r="S306" i="5"/>
  <c r="T306" i="5"/>
  <c r="U306" i="5"/>
  <c r="M307" i="5"/>
  <c r="N307" i="5"/>
  <c r="O307" i="5"/>
  <c r="P307" i="5"/>
  <c r="Q307" i="5"/>
  <c r="R307" i="5"/>
  <c r="S307" i="5"/>
  <c r="T307" i="5"/>
  <c r="U307" i="5"/>
  <c r="M308" i="5"/>
  <c r="N308" i="5"/>
  <c r="O308" i="5"/>
  <c r="P308" i="5"/>
  <c r="Q308" i="5"/>
  <c r="R308" i="5"/>
  <c r="S308" i="5"/>
  <c r="T308" i="5"/>
  <c r="U308" i="5"/>
  <c r="M309" i="5"/>
  <c r="N309" i="5"/>
  <c r="O309" i="5"/>
  <c r="P309" i="5"/>
  <c r="Q309" i="5"/>
  <c r="R309" i="5"/>
  <c r="S309" i="5"/>
  <c r="T309" i="5"/>
  <c r="U309" i="5"/>
  <c r="M310" i="5"/>
  <c r="N310" i="5"/>
  <c r="O310" i="5"/>
  <c r="P310" i="5"/>
  <c r="Q310" i="5"/>
  <c r="R310" i="5"/>
  <c r="S310" i="5"/>
  <c r="T310" i="5"/>
  <c r="U310" i="5"/>
  <c r="M311" i="5"/>
  <c r="N311" i="5"/>
  <c r="O311" i="5"/>
  <c r="P311" i="5"/>
  <c r="Q311" i="5"/>
  <c r="R311" i="5"/>
  <c r="S311" i="5"/>
  <c r="T311" i="5"/>
  <c r="U311" i="5"/>
  <c r="M312" i="5"/>
  <c r="N312" i="5"/>
  <c r="O312" i="5"/>
  <c r="P312" i="5"/>
  <c r="Q312" i="5"/>
  <c r="R312" i="5"/>
  <c r="S312" i="5"/>
  <c r="T312" i="5"/>
  <c r="U312" i="5"/>
  <c r="M313" i="5"/>
  <c r="N313" i="5"/>
  <c r="O313" i="5"/>
  <c r="P313" i="5"/>
  <c r="Q313" i="5"/>
  <c r="R313" i="5"/>
  <c r="S313" i="5"/>
  <c r="T313" i="5"/>
  <c r="U313" i="5"/>
  <c r="M314" i="5"/>
  <c r="N314" i="5"/>
  <c r="O314" i="5"/>
  <c r="P314" i="5"/>
  <c r="Q314" i="5"/>
  <c r="R314" i="5"/>
  <c r="S314" i="5"/>
  <c r="T314" i="5"/>
  <c r="U314" i="5"/>
  <c r="M315" i="5"/>
  <c r="N315" i="5"/>
  <c r="O315" i="5"/>
  <c r="P315" i="5"/>
  <c r="Q315" i="5"/>
  <c r="R315" i="5"/>
  <c r="S315" i="5"/>
  <c r="T315" i="5"/>
  <c r="U315" i="5"/>
  <c r="M316" i="5"/>
  <c r="N316" i="5"/>
  <c r="O316" i="5"/>
  <c r="P316" i="5"/>
  <c r="Q316" i="5"/>
  <c r="R316" i="5"/>
  <c r="S316" i="5"/>
  <c r="T316" i="5"/>
  <c r="U316" i="5"/>
  <c r="M317" i="5"/>
  <c r="N317" i="5"/>
  <c r="O317" i="5"/>
  <c r="P317" i="5"/>
  <c r="Q317" i="5"/>
  <c r="R317" i="5"/>
  <c r="S317" i="5"/>
  <c r="T317" i="5"/>
  <c r="U317" i="5"/>
  <c r="M318" i="5"/>
  <c r="N318" i="5"/>
  <c r="O318" i="5"/>
  <c r="P318" i="5"/>
  <c r="Q318" i="5"/>
  <c r="R318" i="5"/>
  <c r="S318" i="5"/>
  <c r="T318" i="5"/>
  <c r="U318" i="5"/>
  <c r="M319" i="5"/>
  <c r="N319" i="5"/>
  <c r="O319" i="5"/>
  <c r="P319" i="5"/>
  <c r="Q319" i="5"/>
  <c r="R319" i="5"/>
  <c r="S319" i="5"/>
  <c r="T319" i="5"/>
  <c r="U319" i="5"/>
  <c r="M320" i="5"/>
  <c r="N320" i="5"/>
  <c r="O320" i="5"/>
  <c r="P320" i="5"/>
  <c r="Q320" i="5"/>
  <c r="R320" i="5"/>
  <c r="S320" i="5"/>
  <c r="T320" i="5"/>
  <c r="U320" i="5"/>
  <c r="M321" i="5"/>
  <c r="N321" i="5"/>
  <c r="O321" i="5"/>
  <c r="P321" i="5"/>
  <c r="Q321" i="5"/>
  <c r="R321" i="5"/>
  <c r="S321" i="5"/>
  <c r="T321" i="5"/>
  <c r="U321" i="5"/>
  <c r="M322" i="5"/>
  <c r="N322" i="5"/>
  <c r="O322" i="5"/>
  <c r="P322" i="5"/>
  <c r="Q322" i="5"/>
  <c r="R322" i="5"/>
  <c r="S322" i="5"/>
  <c r="T322" i="5"/>
  <c r="U322" i="5"/>
  <c r="M323" i="5"/>
  <c r="N323" i="5"/>
  <c r="O323" i="5"/>
  <c r="P323" i="5"/>
  <c r="Q323" i="5"/>
  <c r="R323" i="5"/>
  <c r="S323" i="5"/>
  <c r="T323" i="5"/>
  <c r="U323" i="5"/>
  <c r="M324" i="5"/>
  <c r="N324" i="5"/>
  <c r="O324" i="5"/>
  <c r="P324" i="5"/>
  <c r="Q324" i="5"/>
  <c r="R324" i="5"/>
  <c r="S324" i="5"/>
  <c r="T324" i="5"/>
  <c r="U324" i="5"/>
  <c r="M325" i="5"/>
  <c r="N325" i="5"/>
  <c r="O325" i="5"/>
  <c r="P325" i="5"/>
  <c r="Q325" i="5"/>
  <c r="R325" i="5"/>
  <c r="S325" i="5"/>
  <c r="T325" i="5"/>
  <c r="U325" i="5"/>
  <c r="M326" i="5"/>
  <c r="N326" i="5"/>
  <c r="O326" i="5"/>
  <c r="P326" i="5"/>
  <c r="Q326" i="5"/>
  <c r="R326" i="5"/>
  <c r="S326" i="5"/>
  <c r="T326" i="5"/>
  <c r="U326" i="5"/>
  <c r="M327" i="5"/>
  <c r="N327" i="5"/>
  <c r="O327" i="5"/>
  <c r="P327" i="5"/>
  <c r="Q327" i="5"/>
  <c r="R327" i="5"/>
  <c r="S327" i="5"/>
  <c r="T327" i="5"/>
  <c r="U327" i="5"/>
  <c r="M328" i="5"/>
  <c r="N328" i="5"/>
  <c r="O328" i="5"/>
  <c r="P328" i="5"/>
  <c r="Q328" i="5"/>
  <c r="R328" i="5"/>
  <c r="S328" i="5"/>
  <c r="T328" i="5"/>
  <c r="U328" i="5"/>
  <c r="U2" i="5"/>
  <c r="T2" i="5"/>
  <c r="S2" i="5"/>
  <c r="R2" i="5"/>
  <c r="Q2" i="5"/>
  <c r="P2" i="5"/>
  <c r="O2" i="5"/>
  <c r="N2" i="5"/>
  <c r="M2" i="5"/>
  <c r="K9" i="5"/>
  <c r="K7" i="5"/>
  <c r="K5" i="5"/>
  <c r="K3" i="5"/>
  <c r="K11" i="5" l="1"/>
</calcChain>
</file>

<file path=xl/sharedStrings.xml><?xml version="1.0" encoding="utf-8"?>
<sst xmlns="http://schemas.openxmlformats.org/spreadsheetml/2006/main" count="1358" uniqueCount="125">
  <si>
    <t>Transmissivity_ft2d</t>
  </si>
  <si>
    <t>Storage_Coeff</t>
  </si>
  <si>
    <t>Resource_Type</t>
  </si>
  <si>
    <t>Resource_Name</t>
  </si>
  <si>
    <t>Resource_Lat</t>
  </si>
  <si>
    <t>Resource_Long</t>
  </si>
  <si>
    <t>HCW</t>
  </si>
  <si>
    <t>Well_Status</t>
  </si>
  <si>
    <t>Well_Lat</t>
  </si>
  <si>
    <t>Well_Long</t>
  </si>
  <si>
    <t>Max Capacity</t>
  </si>
  <si>
    <t>Well Type</t>
  </si>
  <si>
    <t>Fraction_Intercept</t>
  </si>
  <si>
    <t>Q_gpm</t>
  </si>
  <si>
    <t>Stream</t>
  </si>
  <si>
    <t>Default_dd_days</t>
  </si>
  <si>
    <t>Default_pumping_days</t>
  </si>
  <si>
    <t>Comments</t>
  </si>
  <si>
    <t>Default_depletion_years</t>
  </si>
  <si>
    <t>Pumping_Days</t>
  </si>
  <si>
    <t>IR10</t>
  </si>
  <si>
    <t>Lake</t>
  </si>
  <si>
    <t>Lake Emily</t>
  </si>
  <si>
    <t>EXISTING</t>
  </si>
  <si>
    <t>IN62</t>
  </si>
  <si>
    <t>PS11</t>
  </si>
  <si>
    <t>LV10</t>
  </si>
  <si>
    <t>IR24</t>
  </si>
  <si>
    <t>PS41</t>
  </si>
  <si>
    <t>PS31</t>
  </si>
  <si>
    <t>Max_Trans_ft2d</t>
  </si>
  <si>
    <t>Min_Trans_ft2d</t>
  </si>
  <si>
    <t>Min_S</t>
  </si>
  <si>
    <t>Max_S</t>
  </si>
  <si>
    <t>Max_FractInt</t>
  </si>
  <si>
    <t>Min_FractInt</t>
  </si>
  <si>
    <t>IR10,None</t>
  </si>
  <si>
    <t>IR10,LV20,IN31</t>
  </si>
  <si>
    <t>None,IR99</t>
  </si>
  <si>
    <t>IR10,IR21</t>
  </si>
  <si>
    <t>PS31,None</t>
  </si>
  <si>
    <t>IN99,PS31</t>
  </si>
  <si>
    <t>None,IR10</t>
  </si>
  <si>
    <t>PS21,PS22,DS11</t>
  </si>
  <si>
    <t>None,IN62</t>
  </si>
  <si>
    <t>None</t>
  </si>
  <si>
    <t>IR32,None</t>
  </si>
  <si>
    <t>IN53,None</t>
  </si>
  <si>
    <t>None,OT98,IR99,IR32</t>
  </si>
  <si>
    <t>DS11,None</t>
  </si>
  <si>
    <t>None,IR10,IN31,IN99</t>
  </si>
  <si>
    <t>None,IR10,IR99</t>
  </si>
  <si>
    <t>None,IR31</t>
  </si>
  <si>
    <t>None,IR10,OT01</t>
  </si>
  <si>
    <t>None,IR31,IR10</t>
  </si>
  <si>
    <t>None,DS11,IR10</t>
  </si>
  <si>
    <t>None,IR10,LV10</t>
  </si>
  <si>
    <t>None,IR10,IR21</t>
  </si>
  <si>
    <t>None,IR10,IR24</t>
  </si>
  <si>
    <t>None,IR10,IR22,IR21</t>
  </si>
  <si>
    <t>IN61,IN62,IR10</t>
  </si>
  <si>
    <t>None,IR31,IR99</t>
  </si>
  <si>
    <t>None,IR10,IN99</t>
  </si>
  <si>
    <t>OT13,IR99,None</t>
  </si>
  <si>
    <t>IR31</t>
  </si>
  <si>
    <t>None,IN61,IN62</t>
  </si>
  <si>
    <t>None,PS31,IN31</t>
  </si>
  <si>
    <t>None,IN32,PS31</t>
  </si>
  <si>
    <t>None,IN61,IN64,IN99</t>
  </si>
  <si>
    <t>None,IN61</t>
  </si>
  <si>
    <t>None,IN98,IN99</t>
  </si>
  <si>
    <t>None,IN61,IN99</t>
  </si>
  <si>
    <t>DS11,None,IR10</t>
  </si>
  <si>
    <t>None,CO99,PS44</t>
  </si>
  <si>
    <t>PS41,PS31</t>
  </si>
  <si>
    <t>IR32,None,IR99,IR25</t>
  </si>
  <si>
    <t>IN61,IN62</t>
  </si>
  <si>
    <t>IR10,LV20,LV10,None,IR99</t>
  </si>
  <si>
    <t>PS42,None</t>
  </si>
  <si>
    <t>DS11,LV10,LV20</t>
  </si>
  <si>
    <t>LV10,None,IR10</t>
  </si>
  <si>
    <t>None,LV20</t>
  </si>
  <si>
    <t>LV10,LV20</t>
  </si>
  <si>
    <t>LV10,DS11,IR10</t>
  </si>
  <si>
    <t>LV10,None,LV20</t>
  </si>
  <si>
    <t>IR23,None,IR10,OT13</t>
  </si>
  <si>
    <t>IN31,IR10,IN99</t>
  </si>
  <si>
    <t>LV10,None,DS11</t>
  </si>
  <si>
    <t>LV10,None</t>
  </si>
  <si>
    <t>DS11,LV10,None</t>
  </si>
  <si>
    <t>IR10,LV10</t>
  </si>
  <si>
    <t>None,IR10,IR23,IR24</t>
  </si>
  <si>
    <t>None,IR10,IR99,LV20</t>
  </si>
  <si>
    <t>IR10,IR23</t>
  </si>
  <si>
    <t>IR99,IR25</t>
  </si>
  <si>
    <t>None,IR24</t>
  </si>
  <si>
    <t>LV20,LV10</t>
  </si>
  <si>
    <t>PS31,CO99,PS44</t>
  </si>
  <si>
    <t>None,IR99,LV20,IR10</t>
  </si>
  <si>
    <t>DS11,LV10,IR10,None</t>
  </si>
  <si>
    <t>None,CO21,IR99</t>
  </si>
  <si>
    <t>None,LV20,PS42</t>
  </si>
  <si>
    <t>IN64,OT01,None</t>
  </si>
  <si>
    <t>None,IR99,IR25</t>
  </si>
  <si>
    <t>CO99,None,PS44</t>
  </si>
  <si>
    <t>IR99,None,PS44</t>
  </si>
  <si>
    <t>None,LV10</t>
  </si>
  <si>
    <t>LPR</t>
  </si>
  <si>
    <t>PENDING</t>
  </si>
  <si>
    <t>Q_gpm10</t>
  </si>
  <si>
    <t>Q_gpm20</t>
  </si>
  <si>
    <t>Q_gpm30</t>
  </si>
  <si>
    <t>Q_gpm40</t>
  </si>
  <si>
    <t>Q_gpm50</t>
  </si>
  <si>
    <t>Q_gpm60</t>
  </si>
  <si>
    <t>Q_gpm70</t>
  </si>
  <si>
    <t>Q_gpm_Orig</t>
  </si>
  <si>
    <t>Max</t>
  </si>
  <si>
    <t>Min</t>
  </si>
  <si>
    <t>Median</t>
  </si>
  <si>
    <t>STD</t>
  </si>
  <si>
    <t>Q_gpm80</t>
  </si>
  <si>
    <t>Q_gpm90</t>
  </si>
  <si>
    <t>Mean</t>
  </si>
  <si>
    <t>Describe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</si>
</sst>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8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9F8-704C-4468-B674-B6544C5A2D7A}">
  <dimension ref="A1:K2"/>
  <sheetViews>
    <sheetView workbookViewId="0">
      <selection activeCell="J2" sqref="J2"/>
    </sheetView>
  </sheetViews>
  <sheetFormatPr defaultColWidth="8.85546875" defaultRowHeight="15" x14ac:dyDescent="0.25"/>
  <cols>
    <col min="1" max="1" width="18.42578125" bestFit="1" customWidth="1"/>
    <col min="2" max="3" width="18.42578125" customWidth="1"/>
    <col min="4" max="4" width="13.5703125" bestFit="1" customWidth="1"/>
    <col min="5" max="6" width="13.5703125" customWidth="1"/>
    <col min="7" max="7" width="14.5703125" bestFit="1" customWidth="1"/>
    <col min="8" max="8" width="21.42578125" bestFit="1" customWidth="1"/>
    <col min="9" max="9" width="19.5703125" bestFit="1" customWidth="1"/>
  </cols>
  <sheetData>
    <row r="1" spans="1:11" x14ac:dyDescent="0.25">
      <c r="A1" t="s">
        <v>0</v>
      </c>
      <c r="B1" t="s">
        <v>30</v>
      </c>
      <c r="C1" t="s">
        <v>31</v>
      </c>
      <c r="D1" t="s">
        <v>1</v>
      </c>
      <c r="E1" t="s">
        <v>33</v>
      </c>
      <c r="F1" t="s">
        <v>32</v>
      </c>
      <c r="G1" t="s">
        <v>15</v>
      </c>
      <c r="H1" t="s">
        <v>18</v>
      </c>
      <c r="I1" t="s">
        <v>16</v>
      </c>
      <c r="J1" t="s">
        <v>34</v>
      </c>
      <c r="K1" t="s">
        <v>35</v>
      </c>
    </row>
    <row r="2" spans="1:11" x14ac:dyDescent="0.25">
      <c r="A2">
        <v>1700</v>
      </c>
      <c r="B2">
        <v>60000</v>
      </c>
      <c r="C2">
        <v>600</v>
      </c>
      <c r="D2" s="1">
        <v>0.12</v>
      </c>
      <c r="E2" s="1">
        <v>0.2</v>
      </c>
      <c r="F2" s="1">
        <v>0.05</v>
      </c>
      <c r="G2">
        <v>90</v>
      </c>
      <c r="H2">
        <v>5</v>
      </c>
      <c r="I2">
        <v>90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8CF-98E7-4C21-B0E2-2FCF4CCA21CC}">
  <dimension ref="A1:U328"/>
  <sheetViews>
    <sheetView tabSelected="1" zoomScale="120" zoomScaleNormal="120" workbookViewId="0">
      <selection activeCell="H2" sqref="H2:H328"/>
    </sheetView>
  </sheetViews>
  <sheetFormatPr defaultColWidth="8.85546875" defaultRowHeight="15" x14ac:dyDescent="0.25"/>
  <cols>
    <col min="1" max="1" width="11.42578125" style="5" customWidth="1"/>
    <col min="2" max="2" width="12.7109375" bestFit="1" customWidth="1"/>
    <col min="3" max="4" width="14" style="2" customWidth="1"/>
    <col min="5" max="5" width="12.42578125" style="5" bestFit="1" customWidth="1"/>
    <col min="6" max="6" width="24.28515625" bestFit="1" customWidth="1"/>
    <col min="7" max="7" width="13.42578125" bestFit="1" customWidth="1"/>
    <col min="8" max="8" width="10" customWidth="1"/>
    <col min="9" max="9" width="14.140625" style="5" bestFit="1" customWidth="1"/>
    <col min="11" max="11" width="12.85546875" bestFit="1" customWidth="1"/>
    <col min="12" max="20" width="10.28515625" bestFit="1" customWidth="1"/>
  </cols>
  <sheetData>
    <row r="1" spans="1:21" s="7" customFormat="1" ht="14.25" customHeight="1" thickBot="1" x14ac:dyDescent="0.3">
      <c r="A1" s="7" t="s">
        <v>6</v>
      </c>
      <c r="B1" s="7" t="s">
        <v>7</v>
      </c>
      <c r="C1" s="8" t="s">
        <v>8</v>
      </c>
      <c r="D1" s="8" t="s">
        <v>9</v>
      </c>
      <c r="E1" s="7" t="s">
        <v>10</v>
      </c>
      <c r="F1" s="7" t="s">
        <v>11</v>
      </c>
      <c r="G1" s="10" t="s">
        <v>116</v>
      </c>
      <c r="H1" s="11" t="s">
        <v>13</v>
      </c>
      <c r="I1" s="7" t="s">
        <v>19</v>
      </c>
      <c r="K1" s="7" t="s">
        <v>124</v>
      </c>
      <c r="M1" s="7" t="s">
        <v>109</v>
      </c>
      <c r="N1" s="7" t="s">
        <v>110</v>
      </c>
      <c r="O1" s="7" t="s">
        <v>111</v>
      </c>
      <c r="P1" s="7" t="s">
        <v>112</v>
      </c>
      <c r="Q1" s="7" t="s">
        <v>113</v>
      </c>
      <c r="R1" s="7" t="s">
        <v>114</v>
      </c>
      <c r="S1" s="7" t="s">
        <v>115</v>
      </c>
      <c r="T1" s="7" t="s">
        <v>121</v>
      </c>
      <c r="U1" s="7" t="s">
        <v>122</v>
      </c>
    </row>
    <row r="2" spans="1:21" x14ac:dyDescent="0.25">
      <c r="A2" s="5">
        <v>418</v>
      </c>
      <c r="B2" s="9" t="s">
        <v>108</v>
      </c>
      <c r="C2" s="6">
        <v>44.443073300000002</v>
      </c>
      <c r="D2" s="6">
        <v>89.483926699999998</v>
      </c>
      <c r="E2" s="5">
        <v>1000</v>
      </c>
      <c r="F2" s="9" t="s">
        <v>20</v>
      </c>
      <c r="G2" s="4">
        <v>109.5</v>
      </c>
      <c r="H2" s="4">
        <f>Q2</f>
        <v>54.75</v>
      </c>
      <c r="I2" s="5">
        <v>90</v>
      </c>
      <c r="K2" s="12" t="s">
        <v>123</v>
      </c>
      <c r="M2" s="5">
        <f>IF($G2&gt;=50, $G2*0.9,$G2)</f>
        <v>98.55</v>
      </c>
      <c r="N2" s="5">
        <f>IF($G2&gt;=50, $G2*0.8,$G2)</f>
        <v>87.600000000000009</v>
      </c>
      <c r="O2" s="5">
        <f>IF($G2&gt;=50, $G2*0.7,$G2)</f>
        <v>76.649999999999991</v>
      </c>
      <c r="P2" s="5">
        <f>IF($G2&gt;=50, $G2*0.6,$G2)</f>
        <v>65.7</v>
      </c>
      <c r="Q2" s="5">
        <f>IF($G2&gt;=50, $G2*0.5,$G2)</f>
        <v>54.75</v>
      </c>
      <c r="R2" s="5">
        <f>IF($G2&gt;=50, $G2*0.4,$G2)</f>
        <v>43.800000000000004</v>
      </c>
      <c r="S2" s="5">
        <f>IF($G2&gt;=50, $G2*0.3,$G2)</f>
        <v>32.85</v>
      </c>
      <c r="T2" s="5">
        <f>IF($G2&gt;=50, $G2*0.2,$G2)</f>
        <v>21.900000000000002</v>
      </c>
      <c r="U2" s="5">
        <f>IF($G2&gt;=50, $G2*0.1,$G2)</f>
        <v>10.950000000000001</v>
      </c>
    </row>
    <row r="3" spans="1:21" x14ac:dyDescent="0.25">
      <c r="A3" s="5">
        <v>466</v>
      </c>
      <c r="B3" s="9" t="s">
        <v>23</v>
      </c>
      <c r="C3" s="6">
        <v>44.461174700000001</v>
      </c>
      <c r="D3" s="6">
        <v>89.493950499999997</v>
      </c>
      <c r="E3" s="5">
        <v>1350</v>
      </c>
      <c r="F3" s="9" t="s">
        <v>25</v>
      </c>
      <c r="G3" s="4">
        <v>315.89999999999998</v>
      </c>
      <c r="H3" s="4">
        <f t="shared" ref="H3:H66" si="0">Q3</f>
        <v>157.94999999999999</v>
      </c>
      <c r="I3" s="5">
        <v>330</v>
      </c>
      <c r="K3" s="13">
        <f>AVERAGE(G2:G328)</f>
        <v>150.75902140672773</v>
      </c>
      <c r="M3" s="5">
        <f t="shared" ref="M3:M66" si="1">IF($G3&gt;=50, $G3*0.9,$G3)</f>
        <v>284.31</v>
      </c>
      <c r="N3" s="5">
        <f t="shared" ref="N3:N66" si="2">IF($G3&gt;=50, $G3*0.8,$G3)</f>
        <v>252.72</v>
      </c>
      <c r="O3" s="5">
        <f t="shared" ref="O3:O66" si="3">IF($G3&gt;=50, $G3*0.7,$G3)</f>
        <v>221.12999999999997</v>
      </c>
      <c r="P3" s="5">
        <f t="shared" ref="P3:P66" si="4">IF($G3&gt;=50, $G3*0.6,$G3)</f>
        <v>189.54</v>
      </c>
      <c r="Q3" s="5">
        <f t="shared" ref="Q3:Q66" si="5">IF($G3&gt;=50, $G3*0.5,$G3)</f>
        <v>157.94999999999999</v>
      </c>
      <c r="R3" s="5">
        <f t="shared" ref="R3:R66" si="6">IF($G3&gt;=50, $G3*0.4,$G3)</f>
        <v>126.36</v>
      </c>
      <c r="S3" s="5">
        <f t="shared" ref="S3:S66" si="7">IF($G3&gt;=50, $G3*0.3,$G3)</f>
        <v>94.77</v>
      </c>
      <c r="T3" s="5">
        <f t="shared" ref="T3:T66" si="8">IF($G3&gt;=50, $G3*0.2,$G3)</f>
        <v>63.18</v>
      </c>
      <c r="U3" s="5">
        <f t="shared" ref="U3:U66" si="9">IF($G3&gt;=50, $G3*0.1,$G3)</f>
        <v>31.59</v>
      </c>
    </row>
    <row r="4" spans="1:21" x14ac:dyDescent="0.25">
      <c r="A4" s="5">
        <v>467</v>
      </c>
      <c r="B4" s="9" t="s">
        <v>23</v>
      </c>
      <c r="C4" s="6">
        <v>44.458573000000001</v>
      </c>
      <c r="D4" s="6">
        <v>89.493972900000003</v>
      </c>
      <c r="E4" s="5">
        <v>1780</v>
      </c>
      <c r="F4" s="9" t="s">
        <v>25</v>
      </c>
      <c r="G4" s="4">
        <v>296.89999999999998</v>
      </c>
      <c r="H4" s="4">
        <f t="shared" si="0"/>
        <v>148.44999999999999</v>
      </c>
      <c r="I4" s="5">
        <v>330</v>
      </c>
      <c r="K4" s="12" t="s">
        <v>117</v>
      </c>
      <c r="M4" s="5">
        <f t="shared" si="1"/>
        <v>267.20999999999998</v>
      </c>
      <c r="N4" s="5">
        <f t="shared" si="2"/>
        <v>237.51999999999998</v>
      </c>
      <c r="O4" s="5">
        <f t="shared" si="3"/>
        <v>207.82999999999998</v>
      </c>
      <c r="P4" s="5">
        <f t="shared" si="4"/>
        <v>178.14</v>
      </c>
      <c r="Q4" s="5">
        <f t="shared" si="5"/>
        <v>148.44999999999999</v>
      </c>
      <c r="R4" s="5">
        <f t="shared" si="6"/>
        <v>118.75999999999999</v>
      </c>
      <c r="S4" s="5">
        <f t="shared" si="7"/>
        <v>89.07</v>
      </c>
      <c r="T4" s="5">
        <f t="shared" si="8"/>
        <v>59.379999999999995</v>
      </c>
      <c r="U4" s="5">
        <f t="shared" si="9"/>
        <v>29.689999999999998</v>
      </c>
    </row>
    <row r="5" spans="1:21" x14ac:dyDescent="0.25">
      <c r="A5" s="5">
        <v>490</v>
      </c>
      <c r="B5" s="9" t="s">
        <v>23</v>
      </c>
      <c r="C5" s="6">
        <v>44.466657300000001</v>
      </c>
      <c r="D5" s="6">
        <v>89.312107900000001</v>
      </c>
      <c r="E5" s="5">
        <v>70</v>
      </c>
      <c r="F5" s="9" t="s">
        <v>37</v>
      </c>
      <c r="G5" s="4">
        <v>27.7</v>
      </c>
      <c r="H5" s="4">
        <f t="shared" si="0"/>
        <v>27.7</v>
      </c>
      <c r="I5" s="5">
        <v>330</v>
      </c>
      <c r="K5" s="13">
        <f>MAX(G2:G328)</f>
        <v>1133.7</v>
      </c>
      <c r="M5" s="5">
        <f t="shared" si="1"/>
        <v>27.7</v>
      </c>
      <c r="N5" s="5">
        <f t="shared" si="2"/>
        <v>27.7</v>
      </c>
      <c r="O5" s="5">
        <f t="shared" si="3"/>
        <v>27.7</v>
      </c>
      <c r="P5" s="5">
        <f t="shared" si="4"/>
        <v>27.7</v>
      </c>
      <c r="Q5" s="5">
        <f t="shared" si="5"/>
        <v>27.7</v>
      </c>
      <c r="R5" s="5">
        <f t="shared" si="6"/>
        <v>27.7</v>
      </c>
      <c r="S5" s="5">
        <f t="shared" si="7"/>
        <v>27.7</v>
      </c>
      <c r="T5" s="5">
        <f t="shared" si="8"/>
        <v>27.7</v>
      </c>
      <c r="U5" s="5">
        <f t="shared" si="9"/>
        <v>27.7</v>
      </c>
    </row>
    <row r="6" spans="1:21" x14ac:dyDescent="0.25">
      <c r="A6" s="5">
        <v>509</v>
      </c>
      <c r="B6" s="9" t="s">
        <v>23</v>
      </c>
      <c r="C6" s="6">
        <v>44.5206017</v>
      </c>
      <c r="D6" s="6">
        <v>89.471376699999993</v>
      </c>
      <c r="E6" s="5">
        <v>65</v>
      </c>
      <c r="F6" s="9" t="s">
        <v>38</v>
      </c>
      <c r="G6" s="4">
        <v>0.1</v>
      </c>
      <c r="H6" s="4">
        <f t="shared" si="0"/>
        <v>0.1</v>
      </c>
      <c r="I6" s="5">
        <v>60</v>
      </c>
      <c r="K6" s="12" t="s">
        <v>118</v>
      </c>
      <c r="M6" s="5">
        <f t="shared" si="1"/>
        <v>0.1</v>
      </c>
      <c r="N6" s="5">
        <f t="shared" si="2"/>
        <v>0.1</v>
      </c>
      <c r="O6" s="5">
        <f t="shared" si="3"/>
        <v>0.1</v>
      </c>
      <c r="P6" s="5">
        <f t="shared" si="4"/>
        <v>0.1</v>
      </c>
      <c r="Q6" s="5">
        <f t="shared" si="5"/>
        <v>0.1</v>
      </c>
      <c r="R6" s="5">
        <f t="shared" si="6"/>
        <v>0.1</v>
      </c>
      <c r="S6" s="5">
        <f t="shared" si="7"/>
        <v>0.1</v>
      </c>
      <c r="T6" s="5">
        <f t="shared" si="8"/>
        <v>0.1</v>
      </c>
      <c r="U6" s="5">
        <f t="shared" si="9"/>
        <v>0.1</v>
      </c>
    </row>
    <row r="7" spans="1:21" x14ac:dyDescent="0.25">
      <c r="A7" s="5">
        <v>602</v>
      </c>
      <c r="B7" s="9" t="s">
        <v>23</v>
      </c>
      <c r="C7" s="6">
        <v>44.454248300000003</v>
      </c>
      <c r="D7" s="6">
        <v>89.302578400000002</v>
      </c>
      <c r="E7" s="5">
        <v>20</v>
      </c>
      <c r="F7" s="9" t="s">
        <v>40</v>
      </c>
      <c r="G7" s="4">
        <v>0.5</v>
      </c>
      <c r="H7" s="4">
        <f t="shared" si="0"/>
        <v>0.5</v>
      </c>
      <c r="I7" s="5">
        <v>365</v>
      </c>
      <c r="K7" s="13">
        <f>MIN(G2:G328)</f>
        <v>0.1</v>
      </c>
      <c r="M7" s="5">
        <f t="shared" si="1"/>
        <v>0.5</v>
      </c>
      <c r="N7" s="5">
        <f t="shared" si="2"/>
        <v>0.5</v>
      </c>
      <c r="O7" s="5">
        <f t="shared" si="3"/>
        <v>0.5</v>
      </c>
      <c r="P7" s="5">
        <f t="shared" si="4"/>
        <v>0.5</v>
      </c>
      <c r="Q7" s="5">
        <f t="shared" si="5"/>
        <v>0.5</v>
      </c>
      <c r="R7" s="5">
        <f t="shared" si="6"/>
        <v>0.5</v>
      </c>
      <c r="S7" s="5">
        <f t="shared" si="7"/>
        <v>0.5</v>
      </c>
      <c r="T7" s="5">
        <f t="shared" si="8"/>
        <v>0.5</v>
      </c>
      <c r="U7" s="5">
        <f t="shared" si="9"/>
        <v>0.5</v>
      </c>
    </row>
    <row r="8" spans="1:21" x14ac:dyDescent="0.25">
      <c r="A8" s="5">
        <v>603</v>
      </c>
      <c r="B8" s="9" t="s">
        <v>23</v>
      </c>
      <c r="C8" s="6">
        <v>44.454839700000001</v>
      </c>
      <c r="D8" s="6">
        <v>89.303522099999995</v>
      </c>
      <c r="E8" s="5">
        <v>100</v>
      </c>
      <c r="F8" s="9" t="s">
        <v>41</v>
      </c>
      <c r="G8" s="4">
        <v>0.2</v>
      </c>
      <c r="H8" s="4">
        <f t="shared" si="0"/>
        <v>0.2</v>
      </c>
      <c r="I8" s="5">
        <v>365</v>
      </c>
      <c r="K8" s="12" t="s">
        <v>119</v>
      </c>
      <c r="M8" s="5">
        <f t="shared" si="1"/>
        <v>0.2</v>
      </c>
      <c r="N8" s="5">
        <f t="shared" si="2"/>
        <v>0.2</v>
      </c>
      <c r="O8" s="5">
        <f t="shared" si="3"/>
        <v>0.2</v>
      </c>
      <c r="P8" s="5">
        <f t="shared" si="4"/>
        <v>0.2</v>
      </c>
      <c r="Q8" s="5">
        <f t="shared" si="5"/>
        <v>0.2</v>
      </c>
      <c r="R8" s="5">
        <f t="shared" si="6"/>
        <v>0.2</v>
      </c>
      <c r="S8" s="5">
        <f t="shared" si="7"/>
        <v>0.2</v>
      </c>
      <c r="T8" s="5">
        <f t="shared" si="8"/>
        <v>0.2</v>
      </c>
      <c r="U8" s="5">
        <f t="shared" si="9"/>
        <v>0.2</v>
      </c>
    </row>
    <row r="9" spans="1:21" x14ac:dyDescent="0.25">
      <c r="A9" s="5">
        <v>798</v>
      </c>
      <c r="B9" s="9" t="s">
        <v>23</v>
      </c>
      <c r="C9" s="6">
        <v>44.396549999999998</v>
      </c>
      <c r="D9" s="6">
        <v>89.4024383</v>
      </c>
      <c r="E9" s="5">
        <v>1000</v>
      </c>
      <c r="F9" s="9" t="s">
        <v>20</v>
      </c>
      <c r="G9" s="4">
        <v>135.6</v>
      </c>
      <c r="H9" s="4">
        <f t="shared" si="0"/>
        <v>67.8</v>
      </c>
      <c r="I9" s="5">
        <v>120</v>
      </c>
      <c r="K9" s="13">
        <f>MEDIAN(G2:G328)</f>
        <v>124.9</v>
      </c>
      <c r="M9" s="5">
        <f t="shared" si="1"/>
        <v>122.03999999999999</v>
      </c>
      <c r="N9" s="5">
        <f t="shared" si="2"/>
        <v>108.48</v>
      </c>
      <c r="O9" s="5">
        <f t="shared" si="3"/>
        <v>94.919999999999987</v>
      </c>
      <c r="P9" s="5">
        <f t="shared" si="4"/>
        <v>81.36</v>
      </c>
      <c r="Q9" s="5">
        <f t="shared" si="5"/>
        <v>67.8</v>
      </c>
      <c r="R9" s="5">
        <f t="shared" si="6"/>
        <v>54.24</v>
      </c>
      <c r="S9" s="5">
        <f t="shared" si="7"/>
        <v>40.68</v>
      </c>
      <c r="T9" s="5">
        <f t="shared" si="8"/>
        <v>27.12</v>
      </c>
      <c r="U9" s="5">
        <f t="shared" si="9"/>
        <v>13.56</v>
      </c>
    </row>
    <row r="10" spans="1:21" x14ac:dyDescent="0.25">
      <c r="A10" s="5">
        <v>807</v>
      </c>
      <c r="B10" s="9" t="s">
        <v>23</v>
      </c>
      <c r="C10" s="6">
        <v>44.423234999999998</v>
      </c>
      <c r="D10" s="6">
        <v>89.482813300000004</v>
      </c>
      <c r="E10" s="5">
        <v>1000</v>
      </c>
      <c r="F10" s="9" t="s">
        <v>36</v>
      </c>
      <c r="G10" s="4">
        <v>82.6</v>
      </c>
      <c r="H10" s="4">
        <f t="shared" si="0"/>
        <v>41.3</v>
      </c>
      <c r="I10" s="5">
        <v>90</v>
      </c>
      <c r="K10" s="12" t="s">
        <v>120</v>
      </c>
      <c r="M10" s="5">
        <f t="shared" si="1"/>
        <v>74.34</v>
      </c>
      <c r="N10" s="5">
        <f t="shared" si="2"/>
        <v>66.08</v>
      </c>
      <c r="O10" s="5">
        <f t="shared" si="3"/>
        <v>57.819999999999993</v>
      </c>
      <c r="P10" s="5">
        <f t="shared" si="4"/>
        <v>49.559999999999995</v>
      </c>
      <c r="Q10" s="5">
        <f t="shared" si="5"/>
        <v>41.3</v>
      </c>
      <c r="R10" s="5">
        <f t="shared" si="6"/>
        <v>33.04</v>
      </c>
      <c r="S10" s="5">
        <f t="shared" si="7"/>
        <v>24.779999999999998</v>
      </c>
      <c r="T10" s="5">
        <f t="shared" si="8"/>
        <v>16.52</v>
      </c>
      <c r="U10" s="5">
        <f t="shared" si="9"/>
        <v>8.26</v>
      </c>
    </row>
    <row r="11" spans="1:21" x14ac:dyDescent="0.25">
      <c r="A11" s="5">
        <v>850</v>
      </c>
      <c r="B11" s="9" t="s">
        <v>23</v>
      </c>
      <c r="C11" s="6">
        <v>44.5399703</v>
      </c>
      <c r="D11" s="6">
        <v>89.491647700000001</v>
      </c>
      <c r="E11" s="5">
        <v>1000</v>
      </c>
      <c r="F11" s="9" t="s">
        <v>42</v>
      </c>
      <c r="G11" s="4">
        <v>107.2</v>
      </c>
      <c r="H11" s="4">
        <f t="shared" si="0"/>
        <v>53.6</v>
      </c>
      <c r="I11" s="5">
        <v>120</v>
      </c>
      <c r="K11" s="13">
        <f>STDEV(G:G)</f>
        <v>149.06739768239117</v>
      </c>
      <c r="M11" s="5">
        <f t="shared" si="1"/>
        <v>96.48</v>
      </c>
      <c r="N11" s="5">
        <f t="shared" si="2"/>
        <v>85.76</v>
      </c>
      <c r="O11" s="5">
        <f t="shared" si="3"/>
        <v>75.039999999999992</v>
      </c>
      <c r="P11" s="5">
        <f t="shared" si="4"/>
        <v>64.319999999999993</v>
      </c>
      <c r="Q11" s="5">
        <f t="shared" si="5"/>
        <v>53.6</v>
      </c>
      <c r="R11" s="5">
        <f t="shared" si="6"/>
        <v>42.88</v>
      </c>
      <c r="S11" s="5">
        <f t="shared" si="7"/>
        <v>32.159999999999997</v>
      </c>
      <c r="T11" s="5">
        <f t="shared" si="8"/>
        <v>21.44</v>
      </c>
      <c r="U11" s="5">
        <f t="shared" si="9"/>
        <v>10.72</v>
      </c>
    </row>
    <row r="12" spans="1:21" x14ac:dyDescent="0.25">
      <c r="A12" s="5">
        <v>862</v>
      </c>
      <c r="B12" s="9" t="s">
        <v>23</v>
      </c>
      <c r="C12" s="6">
        <v>44.5206193</v>
      </c>
      <c r="D12" s="6">
        <v>89.471409899999998</v>
      </c>
      <c r="E12" s="5">
        <v>15</v>
      </c>
      <c r="F12" s="9" t="s">
        <v>43</v>
      </c>
      <c r="G12" s="4">
        <v>4.5999999999999996</v>
      </c>
      <c r="H12" s="4">
        <f t="shared" si="0"/>
        <v>4.5999999999999996</v>
      </c>
      <c r="I12" s="5">
        <v>365</v>
      </c>
      <c r="M12" s="5">
        <f t="shared" si="1"/>
        <v>4.5999999999999996</v>
      </c>
      <c r="N12" s="5">
        <f t="shared" si="2"/>
        <v>4.5999999999999996</v>
      </c>
      <c r="O12" s="5">
        <f t="shared" si="3"/>
        <v>4.5999999999999996</v>
      </c>
      <c r="P12" s="5">
        <f t="shared" si="4"/>
        <v>4.5999999999999996</v>
      </c>
      <c r="Q12" s="5">
        <f t="shared" si="5"/>
        <v>4.5999999999999996</v>
      </c>
      <c r="R12" s="5">
        <f t="shared" si="6"/>
        <v>4.5999999999999996</v>
      </c>
      <c r="S12" s="5">
        <f t="shared" si="7"/>
        <v>4.5999999999999996</v>
      </c>
      <c r="T12" s="5">
        <f t="shared" si="8"/>
        <v>4.5999999999999996</v>
      </c>
      <c r="U12" s="5">
        <f t="shared" si="9"/>
        <v>4.5999999999999996</v>
      </c>
    </row>
    <row r="13" spans="1:21" x14ac:dyDescent="0.25">
      <c r="A13" s="5">
        <v>1013</v>
      </c>
      <c r="B13" s="9" t="s">
        <v>23</v>
      </c>
      <c r="C13" s="6">
        <v>44.487321700000003</v>
      </c>
      <c r="D13" s="6">
        <v>89.345388299999996</v>
      </c>
      <c r="E13" s="5">
        <v>1000</v>
      </c>
      <c r="F13" s="9" t="s">
        <v>20</v>
      </c>
      <c r="G13" s="4">
        <v>125.1</v>
      </c>
      <c r="H13" s="4">
        <f t="shared" si="0"/>
        <v>62.55</v>
      </c>
      <c r="I13" s="5">
        <v>90</v>
      </c>
      <c r="M13" s="5">
        <f t="shared" si="1"/>
        <v>112.59</v>
      </c>
      <c r="N13" s="5">
        <f t="shared" si="2"/>
        <v>100.08</v>
      </c>
      <c r="O13" s="5">
        <f t="shared" si="3"/>
        <v>87.57</v>
      </c>
      <c r="P13" s="5">
        <f t="shared" si="4"/>
        <v>75.059999999999988</v>
      </c>
      <c r="Q13" s="5">
        <f t="shared" si="5"/>
        <v>62.55</v>
      </c>
      <c r="R13" s="5">
        <f t="shared" si="6"/>
        <v>50.04</v>
      </c>
      <c r="S13" s="5">
        <f t="shared" si="7"/>
        <v>37.529999999999994</v>
      </c>
      <c r="T13" s="5">
        <f t="shared" si="8"/>
        <v>25.02</v>
      </c>
      <c r="U13" s="5">
        <f t="shared" si="9"/>
        <v>12.51</v>
      </c>
    </row>
    <row r="14" spans="1:21" x14ac:dyDescent="0.25">
      <c r="A14" s="5">
        <v>1302</v>
      </c>
      <c r="B14" s="9" t="s">
        <v>23</v>
      </c>
      <c r="C14" s="6">
        <v>44.581371799999999</v>
      </c>
      <c r="D14" s="6">
        <v>89.453904600000001</v>
      </c>
      <c r="E14" s="5">
        <v>1000</v>
      </c>
      <c r="F14" s="9" t="s">
        <v>20</v>
      </c>
      <c r="G14" s="4">
        <v>88.2</v>
      </c>
      <c r="H14" s="4">
        <f t="shared" si="0"/>
        <v>44.1</v>
      </c>
      <c r="I14" s="5">
        <v>90</v>
      </c>
      <c r="M14" s="5">
        <f t="shared" si="1"/>
        <v>79.38000000000001</v>
      </c>
      <c r="N14" s="5">
        <f t="shared" si="2"/>
        <v>70.56</v>
      </c>
      <c r="O14" s="5">
        <f t="shared" si="3"/>
        <v>61.739999999999995</v>
      </c>
      <c r="P14" s="5">
        <f t="shared" si="4"/>
        <v>52.92</v>
      </c>
      <c r="Q14" s="5">
        <f t="shared" si="5"/>
        <v>44.1</v>
      </c>
      <c r="R14" s="5">
        <f t="shared" si="6"/>
        <v>35.28</v>
      </c>
      <c r="S14" s="5">
        <f t="shared" si="7"/>
        <v>26.46</v>
      </c>
      <c r="T14" s="5">
        <f t="shared" si="8"/>
        <v>17.64</v>
      </c>
      <c r="U14" s="5">
        <f t="shared" si="9"/>
        <v>8.82</v>
      </c>
    </row>
    <row r="15" spans="1:21" x14ac:dyDescent="0.25">
      <c r="A15" s="5">
        <v>1323</v>
      </c>
      <c r="B15" s="9" t="s">
        <v>23</v>
      </c>
      <c r="C15" s="6">
        <v>44.521916699999998</v>
      </c>
      <c r="D15" s="6">
        <v>89.450889900000007</v>
      </c>
      <c r="E15" s="5">
        <v>1200</v>
      </c>
      <c r="F15" s="9" t="s">
        <v>42</v>
      </c>
      <c r="G15" s="4">
        <v>76.2</v>
      </c>
      <c r="H15" s="4">
        <f t="shared" si="0"/>
        <v>38.1</v>
      </c>
      <c r="I15" s="5">
        <v>30</v>
      </c>
      <c r="M15" s="5">
        <f t="shared" si="1"/>
        <v>68.58</v>
      </c>
      <c r="N15" s="5">
        <f t="shared" si="2"/>
        <v>60.960000000000008</v>
      </c>
      <c r="O15" s="5">
        <f t="shared" si="3"/>
        <v>53.339999999999996</v>
      </c>
      <c r="P15" s="5">
        <f t="shared" si="4"/>
        <v>45.72</v>
      </c>
      <c r="Q15" s="5">
        <f t="shared" si="5"/>
        <v>38.1</v>
      </c>
      <c r="R15" s="5">
        <f t="shared" si="6"/>
        <v>30.480000000000004</v>
      </c>
      <c r="S15" s="5">
        <f t="shared" si="7"/>
        <v>22.86</v>
      </c>
      <c r="T15" s="5">
        <f t="shared" si="8"/>
        <v>15.240000000000002</v>
      </c>
      <c r="U15" s="5">
        <f t="shared" si="9"/>
        <v>7.620000000000001</v>
      </c>
    </row>
    <row r="16" spans="1:21" x14ac:dyDescent="0.25">
      <c r="A16" s="5">
        <v>1486</v>
      </c>
      <c r="B16" s="9" t="s">
        <v>23</v>
      </c>
      <c r="C16" s="6">
        <v>44.503996700000002</v>
      </c>
      <c r="D16" s="6">
        <v>89.460823300000001</v>
      </c>
      <c r="E16" s="5">
        <v>1200</v>
      </c>
      <c r="F16" s="9" t="s">
        <v>36</v>
      </c>
      <c r="G16" s="4">
        <v>222.8</v>
      </c>
      <c r="H16" s="4">
        <f t="shared" si="0"/>
        <v>111.4</v>
      </c>
      <c r="I16" s="5">
        <v>90</v>
      </c>
      <c r="M16" s="5">
        <f t="shared" si="1"/>
        <v>200.52</v>
      </c>
      <c r="N16" s="5">
        <f t="shared" si="2"/>
        <v>178.24</v>
      </c>
      <c r="O16" s="5">
        <f t="shared" si="3"/>
        <v>155.96</v>
      </c>
      <c r="P16" s="5">
        <f t="shared" si="4"/>
        <v>133.68</v>
      </c>
      <c r="Q16" s="5">
        <f t="shared" si="5"/>
        <v>111.4</v>
      </c>
      <c r="R16" s="5">
        <f t="shared" si="6"/>
        <v>89.12</v>
      </c>
      <c r="S16" s="5">
        <f t="shared" si="7"/>
        <v>66.84</v>
      </c>
      <c r="T16" s="5">
        <f t="shared" si="8"/>
        <v>44.56</v>
      </c>
      <c r="U16" s="5">
        <f t="shared" si="9"/>
        <v>22.28</v>
      </c>
    </row>
    <row r="17" spans="1:21" x14ac:dyDescent="0.25">
      <c r="A17" s="5">
        <v>1584</v>
      </c>
      <c r="B17" s="9" t="s">
        <v>23</v>
      </c>
      <c r="C17" s="6">
        <v>44.48</v>
      </c>
      <c r="D17" s="6">
        <v>89.464721699999998</v>
      </c>
      <c r="E17" s="5">
        <v>800</v>
      </c>
      <c r="F17" s="9" t="s">
        <v>42</v>
      </c>
      <c r="G17" s="4">
        <v>150.5</v>
      </c>
      <c r="H17" s="4">
        <f t="shared" si="0"/>
        <v>75.25</v>
      </c>
      <c r="I17" s="5">
        <v>90</v>
      </c>
      <c r="M17" s="5">
        <f t="shared" si="1"/>
        <v>135.45000000000002</v>
      </c>
      <c r="N17" s="5">
        <f t="shared" si="2"/>
        <v>120.4</v>
      </c>
      <c r="O17" s="5">
        <f t="shared" si="3"/>
        <v>105.35</v>
      </c>
      <c r="P17" s="5">
        <f t="shared" si="4"/>
        <v>90.3</v>
      </c>
      <c r="Q17" s="5">
        <f t="shared" si="5"/>
        <v>75.25</v>
      </c>
      <c r="R17" s="5">
        <f t="shared" si="6"/>
        <v>60.2</v>
      </c>
      <c r="S17" s="5">
        <f t="shared" si="7"/>
        <v>45.15</v>
      </c>
      <c r="T17" s="5">
        <f t="shared" si="8"/>
        <v>30.1</v>
      </c>
      <c r="U17" s="5">
        <f t="shared" si="9"/>
        <v>15.05</v>
      </c>
    </row>
    <row r="18" spans="1:21" x14ac:dyDescent="0.25">
      <c r="A18" s="5">
        <v>1589</v>
      </c>
      <c r="B18" s="9" t="s">
        <v>23</v>
      </c>
      <c r="C18" s="6">
        <v>44.4051847</v>
      </c>
      <c r="D18" s="6">
        <v>89.409194099999993</v>
      </c>
      <c r="E18" s="5">
        <v>1000</v>
      </c>
      <c r="F18" s="9" t="s">
        <v>20</v>
      </c>
      <c r="G18" s="4">
        <v>264.10000000000002</v>
      </c>
      <c r="H18" s="4">
        <f t="shared" si="0"/>
        <v>132.05000000000001</v>
      </c>
      <c r="I18" s="5">
        <v>120</v>
      </c>
      <c r="M18" s="5">
        <f t="shared" si="1"/>
        <v>237.69000000000003</v>
      </c>
      <c r="N18" s="5">
        <f t="shared" si="2"/>
        <v>211.28000000000003</v>
      </c>
      <c r="O18" s="5">
        <f t="shared" si="3"/>
        <v>184.87</v>
      </c>
      <c r="P18" s="5">
        <f t="shared" si="4"/>
        <v>158.46</v>
      </c>
      <c r="Q18" s="5">
        <f t="shared" si="5"/>
        <v>132.05000000000001</v>
      </c>
      <c r="R18" s="5">
        <f t="shared" si="6"/>
        <v>105.64000000000001</v>
      </c>
      <c r="S18" s="5">
        <f t="shared" si="7"/>
        <v>79.23</v>
      </c>
      <c r="T18" s="5">
        <f t="shared" si="8"/>
        <v>52.820000000000007</v>
      </c>
      <c r="U18" s="5">
        <f t="shared" si="9"/>
        <v>26.410000000000004</v>
      </c>
    </row>
    <row r="19" spans="1:21" x14ac:dyDescent="0.25">
      <c r="A19" s="5">
        <v>1643</v>
      </c>
      <c r="B19" s="9" t="s">
        <v>23</v>
      </c>
      <c r="C19" s="6">
        <v>44.417400000000001</v>
      </c>
      <c r="D19" s="6">
        <v>89.533533300000002</v>
      </c>
      <c r="E19" s="5">
        <v>1000</v>
      </c>
      <c r="F19" s="9" t="s">
        <v>20</v>
      </c>
      <c r="G19" s="4">
        <v>114.5</v>
      </c>
      <c r="H19" s="4">
        <f t="shared" si="0"/>
        <v>57.25</v>
      </c>
      <c r="I19" s="5">
        <v>90</v>
      </c>
      <c r="M19" s="5">
        <f t="shared" si="1"/>
        <v>103.05</v>
      </c>
      <c r="N19" s="5">
        <f t="shared" si="2"/>
        <v>91.600000000000009</v>
      </c>
      <c r="O19" s="5">
        <f t="shared" si="3"/>
        <v>80.149999999999991</v>
      </c>
      <c r="P19" s="5">
        <f t="shared" si="4"/>
        <v>68.7</v>
      </c>
      <c r="Q19" s="5">
        <f t="shared" si="5"/>
        <v>57.25</v>
      </c>
      <c r="R19" s="5">
        <f t="shared" si="6"/>
        <v>45.800000000000004</v>
      </c>
      <c r="S19" s="5">
        <f t="shared" si="7"/>
        <v>34.35</v>
      </c>
      <c r="T19" s="5">
        <f t="shared" si="8"/>
        <v>22.900000000000002</v>
      </c>
      <c r="U19" s="5">
        <f t="shared" si="9"/>
        <v>11.450000000000001</v>
      </c>
    </row>
    <row r="20" spans="1:21" x14ac:dyDescent="0.25">
      <c r="A20" s="5">
        <v>1683</v>
      </c>
      <c r="B20" s="9" t="s">
        <v>23</v>
      </c>
      <c r="C20" s="6">
        <v>44.390654300000001</v>
      </c>
      <c r="D20" s="6">
        <v>89.409045300000002</v>
      </c>
      <c r="E20" s="5">
        <v>1000</v>
      </c>
      <c r="F20" s="9" t="s">
        <v>20</v>
      </c>
      <c r="G20" s="4">
        <v>260.60000000000002</v>
      </c>
      <c r="H20" s="4">
        <f t="shared" si="0"/>
        <v>130.30000000000001</v>
      </c>
      <c r="I20" s="5">
        <v>150</v>
      </c>
      <c r="M20" s="5">
        <f t="shared" si="1"/>
        <v>234.54000000000002</v>
      </c>
      <c r="N20" s="5">
        <f t="shared" si="2"/>
        <v>208.48000000000002</v>
      </c>
      <c r="O20" s="5">
        <f t="shared" si="3"/>
        <v>182.42000000000002</v>
      </c>
      <c r="P20" s="5">
        <f t="shared" si="4"/>
        <v>156.36000000000001</v>
      </c>
      <c r="Q20" s="5">
        <f t="shared" si="5"/>
        <v>130.30000000000001</v>
      </c>
      <c r="R20" s="5">
        <f t="shared" si="6"/>
        <v>104.24000000000001</v>
      </c>
      <c r="S20" s="5">
        <f t="shared" si="7"/>
        <v>78.180000000000007</v>
      </c>
      <c r="T20" s="5">
        <f t="shared" si="8"/>
        <v>52.120000000000005</v>
      </c>
      <c r="U20" s="5">
        <f t="shared" si="9"/>
        <v>26.060000000000002</v>
      </c>
    </row>
    <row r="21" spans="1:21" x14ac:dyDescent="0.25">
      <c r="A21" s="5">
        <v>1860</v>
      </c>
      <c r="B21" s="9" t="s">
        <v>23</v>
      </c>
      <c r="C21" s="6">
        <v>44.530278299999999</v>
      </c>
      <c r="D21" s="6">
        <v>89.4486378</v>
      </c>
      <c r="E21" s="5">
        <v>1000</v>
      </c>
      <c r="F21" s="9" t="s">
        <v>20</v>
      </c>
      <c r="G21" s="4">
        <v>195.7</v>
      </c>
      <c r="H21" s="4">
        <f t="shared" si="0"/>
        <v>97.85</v>
      </c>
      <c r="I21" s="5">
        <v>120</v>
      </c>
      <c r="M21" s="5">
        <f t="shared" si="1"/>
        <v>176.13</v>
      </c>
      <c r="N21" s="5">
        <f t="shared" si="2"/>
        <v>156.56</v>
      </c>
      <c r="O21" s="5">
        <f t="shared" si="3"/>
        <v>136.98999999999998</v>
      </c>
      <c r="P21" s="5">
        <f t="shared" si="4"/>
        <v>117.41999999999999</v>
      </c>
      <c r="Q21" s="5">
        <f t="shared" si="5"/>
        <v>97.85</v>
      </c>
      <c r="R21" s="5">
        <f t="shared" si="6"/>
        <v>78.28</v>
      </c>
      <c r="S21" s="5">
        <f t="shared" si="7"/>
        <v>58.709999999999994</v>
      </c>
      <c r="T21" s="5">
        <f t="shared" si="8"/>
        <v>39.14</v>
      </c>
      <c r="U21" s="5">
        <f t="shared" si="9"/>
        <v>19.57</v>
      </c>
    </row>
    <row r="22" spans="1:21" x14ac:dyDescent="0.25">
      <c r="A22" s="5">
        <v>2544</v>
      </c>
      <c r="B22" s="9" t="s">
        <v>23</v>
      </c>
      <c r="C22" s="6">
        <v>44.506588700000002</v>
      </c>
      <c r="D22" s="6">
        <v>89.506304799999995</v>
      </c>
      <c r="E22" s="5">
        <v>1000</v>
      </c>
      <c r="F22" s="9" t="s">
        <v>48</v>
      </c>
      <c r="G22" s="4">
        <v>8.1999999999999993</v>
      </c>
      <c r="H22" s="4">
        <f t="shared" si="0"/>
        <v>8.1999999999999993</v>
      </c>
      <c r="I22" s="5">
        <v>180</v>
      </c>
      <c r="M22" s="5">
        <f t="shared" si="1"/>
        <v>8.1999999999999993</v>
      </c>
      <c r="N22" s="5">
        <f t="shared" si="2"/>
        <v>8.1999999999999993</v>
      </c>
      <c r="O22" s="5">
        <f t="shared" si="3"/>
        <v>8.1999999999999993</v>
      </c>
      <c r="P22" s="5">
        <f t="shared" si="4"/>
        <v>8.1999999999999993</v>
      </c>
      <c r="Q22" s="5">
        <f t="shared" si="5"/>
        <v>8.1999999999999993</v>
      </c>
      <c r="R22" s="5">
        <f t="shared" si="6"/>
        <v>8.1999999999999993</v>
      </c>
      <c r="S22" s="5">
        <f t="shared" si="7"/>
        <v>8.1999999999999993</v>
      </c>
      <c r="T22" s="5">
        <f t="shared" si="8"/>
        <v>8.1999999999999993</v>
      </c>
      <c r="U22" s="5">
        <f t="shared" si="9"/>
        <v>8.1999999999999993</v>
      </c>
    </row>
    <row r="23" spans="1:21" x14ac:dyDescent="0.25">
      <c r="A23" s="5">
        <v>2750</v>
      </c>
      <c r="B23" s="9" t="s">
        <v>23</v>
      </c>
      <c r="C23" s="6">
        <v>44.402859999999997</v>
      </c>
      <c r="D23" s="6">
        <v>89.434233300000002</v>
      </c>
      <c r="E23" s="5">
        <v>1000</v>
      </c>
      <c r="F23" s="9" t="s">
        <v>20</v>
      </c>
      <c r="G23" s="4">
        <v>120.7</v>
      </c>
      <c r="H23" s="4">
        <f t="shared" si="0"/>
        <v>60.35</v>
      </c>
      <c r="I23" s="5">
        <v>120</v>
      </c>
      <c r="M23" s="5">
        <f t="shared" si="1"/>
        <v>108.63000000000001</v>
      </c>
      <c r="N23" s="5">
        <f t="shared" si="2"/>
        <v>96.56</v>
      </c>
      <c r="O23" s="5">
        <f t="shared" si="3"/>
        <v>84.49</v>
      </c>
      <c r="P23" s="5">
        <f t="shared" si="4"/>
        <v>72.42</v>
      </c>
      <c r="Q23" s="5">
        <f t="shared" si="5"/>
        <v>60.35</v>
      </c>
      <c r="R23" s="5">
        <f t="shared" si="6"/>
        <v>48.28</v>
      </c>
      <c r="S23" s="5">
        <f t="shared" si="7"/>
        <v>36.21</v>
      </c>
      <c r="T23" s="5">
        <f t="shared" si="8"/>
        <v>24.14</v>
      </c>
      <c r="U23" s="5">
        <f t="shared" si="9"/>
        <v>12.07</v>
      </c>
    </row>
    <row r="24" spans="1:21" x14ac:dyDescent="0.25">
      <c r="A24" s="5">
        <v>2886</v>
      </c>
      <c r="B24" s="9" t="s">
        <v>23</v>
      </c>
      <c r="C24" s="6">
        <v>44.439935699999999</v>
      </c>
      <c r="D24" s="6">
        <v>89.519461899999996</v>
      </c>
      <c r="E24" s="5">
        <v>1400</v>
      </c>
      <c r="F24" s="9" t="s">
        <v>25</v>
      </c>
      <c r="G24" s="4">
        <v>710.5</v>
      </c>
      <c r="H24" s="4">
        <f t="shared" si="0"/>
        <v>355.25</v>
      </c>
      <c r="I24" s="5">
        <v>365</v>
      </c>
      <c r="M24" s="5">
        <f t="shared" si="1"/>
        <v>639.45000000000005</v>
      </c>
      <c r="N24" s="5">
        <f t="shared" si="2"/>
        <v>568.4</v>
      </c>
      <c r="O24" s="5">
        <f t="shared" si="3"/>
        <v>497.34999999999997</v>
      </c>
      <c r="P24" s="5">
        <f t="shared" si="4"/>
        <v>426.3</v>
      </c>
      <c r="Q24" s="5">
        <f t="shared" si="5"/>
        <v>355.25</v>
      </c>
      <c r="R24" s="5">
        <f t="shared" si="6"/>
        <v>284.2</v>
      </c>
      <c r="S24" s="5">
        <f t="shared" si="7"/>
        <v>213.15</v>
      </c>
      <c r="T24" s="5">
        <f t="shared" si="8"/>
        <v>142.1</v>
      </c>
      <c r="U24" s="5">
        <f t="shared" si="9"/>
        <v>71.05</v>
      </c>
    </row>
    <row r="25" spans="1:21" x14ac:dyDescent="0.25">
      <c r="A25" s="5">
        <v>3473</v>
      </c>
      <c r="B25" s="9" t="s">
        <v>23</v>
      </c>
      <c r="C25" s="6">
        <v>44.5484194</v>
      </c>
      <c r="D25" s="6">
        <v>89.448700299999999</v>
      </c>
      <c r="E25" s="5">
        <v>1000</v>
      </c>
      <c r="F25" s="9" t="s">
        <v>20</v>
      </c>
      <c r="G25" s="4">
        <v>83.3</v>
      </c>
      <c r="H25" s="4">
        <f t="shared" si="0"/>
        <v>41.65</v>
      </c>
      <c r="I25" s="5">
        <v>120</v>
      </c>
      <c r="M25" s="5">
        <f t="shared" si="1"/>
        <v>74.97</v>
      </c>
      <c r="N25" s="5">
        <f t="shared" si="2"/>
        <v>66.64</v>
      </c>
      <c r="O25" s="5">
        <f t="shared" si="3"/>
        <v>58.309999999999995</v>
      </c>
      <c r="P25" s="5">
        <f t="shared" si="4"/>
        <v>49.98</v>
      </c>
      <c r="Q25" s="5">
        <f t="shared" si="5"/>
        <v>41.65</v>
      </c>
      <c r="R25" s="5">
        <f t="shared" si="6"/>
        <v>33.32</v>
      </c>
      <c r="S25" s="5">
        <f t="shared" si="7"/>
        <v>24.99</v>
      </c>
      <c r="T25" s="5">
        <f t="shared" si="8"/>
        <v>16.66</v>
      </c>
      <c r="U25" s="5">
        <f t="shared" si="9"/>
        <v>8.33</v>
      </c>
    </row>
    <row r="26" spans="1:21" x14ac:dyDescent="0.25">
      <c r="A26" s="5">
        <v>3949</v>
      </c>
      <c r="B26" s="9" t="s">
        <v>23</v>
      </c>
      <c r="C26" s="6">
        <v>44.508650000000003</v>
      </c>
      <c r="D26" s="6">
        <v>89.487695000000002</v>
      </c>
      <c r="E26" s="5">
        <v>1000</v>
      </c>
      <c r="F26" s="9" t="s">
        <v>36</v>
      </c>
      <c r="G26" s="4">
        <v>43</v>
      </c>
      <c r="H26" s="4">
        <f t="shared" si="0"/>
        <v>43</v>
      </c>
      <c r="I26" s="5">
        <v>90</v>
      </c>
      <c r="M26" s="5">
        <f t="shared" si="1"/>
        <v>43</v>
      </c>
      <c r="N26" s="5">
        <f t="shared" si="2"/>
        <v>43</v>
      </c>
      <c r="O26" s="5">
        <f t="shared" si="3"/>
        <v>43</v>
      </c>
      <c r="P26" s="5">
        <f t="shared" si="4"/>
        <v>43</v>
      </c>
      <c r="Q26" s="5">
        <f t="shared" si="5"/>
        <v>43</v>
      </c>
      <c r="R26" s="5">
        <f t="shared" si="6"/>
        <v>43</v>
      </c>
      <c r="S26" s="5">
        <f t="shared" si="7"/>
        <v>43</v>
      </c>
      <c r="T26" s="5">
        <f t="shared" si="8"/>
        <v>43</v>
      </c>
      <c r="U26" s="5">
        <f t="shared" si="9"/>
        <v>43</v>
      </c>
    </row>
    <row r="27" spans="1:21" x14ac:dyDescent="0.25">
      <c r="A27" s="5">
        <v>4171</v>
      </c>
      <c r="B27" s="9" t="s">
        <v>23</v>
      </c>
      <c r="C27" s="6">
        <v>44.529069999999997</v>
      </c>
      <c r="D27" s="6">
        <v>89.497799999999998</v>
      </c>
      <c r="E27" s="5">
        <v>65</v>
      </c>
      <c r="F27" s="9" t="s">
        <v>46</v>
      </c>
      <c r="G27" s="4">
        <v>7.5</v>
      </c>
      <c r="H27" s="4">
        <f t="shared" si="0"/>
        <v>7.5</v>
      </c>
      <c r="I27" s="5">
        <v>180</v>
      </c>
      <c r="M27" s="5">
        <f t="shared" si="1"/>
        <v>7.5</v>
      </c>
      <c r="N27" s="5">
        <f t="shared" si="2"/>
        <v>7.5</v>
      </c>
      <c r="O27" s="5">
        <f t="shared" si="3"/>
        <v>7.5</v>
      </c>
      <c r="P27" s="5">
        <f t="shared" si="4"/>
        <v>7.5</v>
      </c>
      <c r="Q27" s="5">
        <f t="shared" si="5"/>
        <v>7.5</v>
      </c>
      <c r="R27" s="5">
        <f t="shared" si="6"/>
        <v>7.5</v>
      </c>
      <c r="S27" s="5">
        <f t="shared" si="7"/>
        <v>7.5</v>
      </c>
      <c r="T27" s="5">
        <f t="shared" si="8"/>
        <v>7.5</v>
      </c>
      <c r="U27" s="5">
        <f t="shared" si="9"/>
        <v>7.5</v>
      </c>
    </row>
    <row r="28" spans="1:21" x14ac:dyDescent="0.25">
      <c r="A28" s="5">
        <v>23610</v>
      </c>
      <c r="B28" s="9" t="s">
        <v>23</v>
      </c>
      <c r="C28" s="6">
        <v>44.457473299999997</v>
      </c>
      <c r="D28" s="6">
        <v>89.440953300000004</v>
      </c>
      <c r="F28" s="9" t="s">
        <v>42</v>
      </c>
      <c r="G28" s="4">
        <v>11</v>
      </c>
      <c r="H28" s="4">
        <f t="shared" si="0"/>
        <v>11</v>
      </c>
      <c r="I28" s="5">
        <v>120</v>
      </c>
      <c r="M28" s="5">
        <f t="shared" si="1"/>
        <v>11</v>
      </c>
      <c r="N28" s="5">
        <f t="shared" si="2"/>
        <v>11</v>
      </c>
      <c r="O28" s="5">
        <f t="shared" si="3"/>
        <v>11</v>
      </c>
      <c r="P28" s="5">
        <f t="shared" si="4"/>
        <v>11</v>
      </c>
      <c r="Q28" s="5">
        <f t="shared" si="5"/>
        <v>11</v>
      </c>
      <c r="R28" s="5">
        <f t="shared" si="6"/>
        <v>11</v>
      </c>
      <c r="S28" s="5">
        <f t="shared" si="7"/>
        <v>11</v>
      </c>
      <c r="T28" s="5">
        <f t="shared" si="8"/>
        <v>11</v>
      </c>
      <c r="U28" s="5">
        <f t="shared" si="9"/>
        <v>11</v>
      </c>
    </row>
    <row r="29" spans="1:21" x14ac:dyDescent="0.25">
      <c r="A29" s="5">
        <v>23611</v>
      </c>
      <c r="B29" s="9" t="s">
        <v>23</v>
      </c>
      <c r="C29" s="6">
        <v>44.493763999999999</v>
      </c>
      <c r="D29" s="6">
        <v>89.513486</v>
      </c>
      <c r="E29" s="5">
        <v>120</v>
      </c>
      <c r="F29" s="9" t="s">
        <v>38</v>
      </c>
      <c r="G29" s="4">
        <v>378.8</v>
      </c>
      <c r="H29" s="4">
        <f t="shared" si="0"/>
        <v>189.4</v>
      </c>
      <c r="I29" s="5">
        <v>90</v>
      </c>
      <c r="M29" s="5">
        <f t="shared" si="1"/>
        <v>340.92</v>
      </c>
      <c r="N29" s="5">
        <f t="shared" si="2"/>
        <v>303.04000000000002</v>
      </c>
      <c r="O29" s="5">
        <f t="shared" si="3"/>
        <v>265.15999999999997</v>
      </c>
      <c r="P29" s="5">
        <f t="shared" si="4"/>
        <v>227.28</v>
      </c>
      <c r="Q29" s="5">
        <f t="shared" si="5"/>
        <v>189.4</v>
      </c>
      <c r="R29" s="5">
        <f t="shared" si="6"/>
        <v>151.52000000000001</v>
      </c>
      <c r="S29" s="5">
        <f t="shared" si="7"/>
        <v>113.64</v>
      </c>
      <c r="T29" s="5">
        <f t="shared" si="8"/>
        <v>75.760000000000005</v>
      </c>
      <c r="U29" s="5">
        <f t="shared" si="9"/>
        <v>37.880000000000003</v>
      </c>
    </row>
    <row r="30" spans="1:21" x14ac:dyDescent="0.25">
      <c r="A30" s="5">
        <v>23618</v>
      </c>
      <c r="B30" s="9" t="s">
        <v>23</v>
      </c>
      <c r="C30" s="6">
        <v>44.493310999999999</v>
      </c>
      <c r="D30" s="6">
        <v>89.471873599999995</v>
      </c>
      <c r="E30" s="5">
        <v>500</v>
      </c>
      <c r="F30" s="9" t="s">
        <v>42</v>
      </c>
      <c r="G30" s="4">
        <v>253.9</v>
      </c>
      <c r="H30" s="4">
        <f t="shared" si="0"/>
        <v>126.95</v>
      </c>
      <c r="I30" s="5">
        <v>90</v>
      </c>
      <c r="M30" s="5">
        <f t="shared" si="1"/>
        <v>228.51000000000002</v>
      </c>
      <c r="N30" s="5">
        <f t="shared" si="2"/>
        <v>203.12</v>
      </c>
      <c r="O30" s="5">
        <f t="shared" si="3"/>
        <v>177.73</v>
      </c>
      <c r="P30" s="5">
        <f t="shared" si="4"/>
        <v>152.34</v>
      </c>
      <c r="Q30" s="5">
        <f t="shared" si="5"/>
        <v>126.95</v>
      </c>
      <c r="R30" s="5">
        <f t="shared" si="6"/>
        <v>101.56</v>
      </c>
      <c r="S30" s="5">
        <f t="shared" si="7"/>
        <v>76.17</v>
      </c>
      <c r="T30" s="5">
        <f t="shared" si="8"/>
        <v>50.78</v>
      </c>
      <c r="U30" s="5">
        <f t="shared" si="9"/>
        <v>25.39</v>
      </c>
    </row>
    <row r="31" spans="1:21" x14ac:dyDescent="0.25">
      <c r="A31" s="5">
        <v>23620</v>
      </c>
      <c r="B31" s="9" t="s">
        <v>23</v>
      </c>
      <c r="C31" s="6">
        <v>44.481884999999998</v>
      </c>
      <c r="D31" s="6">
        <v>89.352924999999999</v>
      </c>
      <c r="E31" s="5">
        <v>1000</v>
      </c>
      <c r="F31" s="9" t="s">
        <v>42</v>
      </c>
      <c r="G31" s="4">
        <v>349.7</v>
      </c>
      <c r="H31" s="4">
        <f t="shared" si="0"/>
        <v>174.85</v>
      </c>
      <c r="I31" s="5">
        <v>90</v>
      </c>
      <c r="M31" s="5">
        <f t="shared" si="1"/>
        <v>314.73</v>
      </c>
      <c r="N31" s="5">
        <f t="shared" si="2"/>
        <v>279.76</v>
      </c>
      <c r="O31" s="5">
        <f t="shared" si="3"/>
        <v>244.78999999999996</v>
      </c>
      <c r="P31" s="5">
        <f t="shared" si="4"/>
        <v>209.82</v>
      </c>
      <c r="Q31" s="5">
        <f t="shared" si="5"/>
        <v>174.85</v>
      </c>
      <c r="R31" s="5">
        <f t="shared" si="6"/>
        <v>139.88</v>
      </c>
      <c r="S31" s="5">
        <f t="shared" si="7"/>
        <v>104.91</v>
      </c>
      <c r="T31" s="5">
        <f t="shared" si="8"/>
        <v>69.94</v>
      </c>
      <c r="U31" s="5">
        <f t="shared" si="9"/>
        <v>34.97</v>
      </c>
    </row>
    <row r="32" spans="1:21" x14ac:dyDescent="0.25">
      <c r="A32" s="5">
        <v>23627</v>
      </c>
      <c r="B32" s="9" t="s">
        <v>23</v>
      </c>
      <c r="C32" s="6">
        <v>44.475731699999997</v>
      </c>
      <c r="D32" s="6">
        <v>89.484380000000002</v>
      </c>
      <c r="F32" s="9" t="s">
        <v>42</v>
      </c>
      <c r="G32" s="4">
        <v>276.5</v>
      </c>
      <c r="H32" s="4">
        <f t="shared" si="0"/>
        <v>138.25</v>
      </c>
      <c r="I32" s="5">
        <v>120</v>
      </c>
      <c r="M32" s="5">
        <f t="shared" si="1"/>
        <v>248.85</v>
      </c>
      <c r="N32" s="5">
        <f t="shared" si="2"/>
        <v>221.20000000000002</v>
      </c>
      <c r="O32" s="5">
        <f t="shared" si="3"/>
        <v>193.54999999999998</v>
      </c>
      <c r="P32" s="5">
        <f t="shared" si="4"/>
        <v>165.9</v>
      </c>
      <c r="Q32" s="5">
        <f t="shared" si="5"/>
        <v>138.25</v>
      </c>
      <c r="R32" s="5">
        <f t="shared" si="6"/>
        <v>110.60000000000001</v>
      </c>
      <c r="S32" s="5">
        <f t="shared" si="7"/>
        <v>82.95</v>
      </c>
      <c r="T32" s="5">
        <f t="shared" si="8"/>
        <v>55.300000000000004</v>
      </c>
      <c r="U32" s="5">
        <f t="shared" si="9"/>
        <v>27.650000000000002</v>
      </c>
    </row>
    <row r="33" spans="1:21" x14ac:dyDescent="0.25">
      <c r="A33" s="5">
        <v>23629</v>
      </c>
      <c r="B33" s="9" t="s">
        <v>23</v>
      </c>
      <c r="C33" s="6">
        <v>44.418199999999999</v>
      </c>
      <c r="D33" s="6">
        <v>89.490300000000005</v>
      </c>
      <c r="F33" s="9" t="s">
        <v>42</v>
      </c>
      <c r="G33" s="4">
        <v>146.19999999999999</v>
      </c>
      <c r="H33" s="4">
        <f t="shared" si="0"/>
        <v>73.099999999999994</v>
      </c>
      <c r="I33" s="5">
        <v>120</v>
      </c>
      <c r="M33" s="5">
        <f t="shared" si="1"/>
        <v>131.57999999999998</v>
      </c>
      <c r="N33" s="5">
        <f t="shared" si="2"/>
        <v>116.96</v>
      </c>
      <c r="O33" s="5">
        <f t="shared" si="3"/>
        <v>102.33999999999999</v>
      </c>
      <c r="P33" s="5">
        <f t="shared" si="4"/>
        <v>87.719999999999985</v>
      </c>
      <c r="Q33" s="5">
        <f t="shared" si="5"/>
        <v>73.099999999999994</v>
      </c>
      <c r="R33" s="5">
        <f t="shared" si="6"/>
        <v>58.48</v>
      </c>
      <c r="S33" s="5">
        <f t="shared" si="7"/>
        <v>43.859999999999992</v>
      </c>
      <c r="T33" s="5">
        <f t="shared" si="8"/>
        <v>29.24</v>
      </c>
      <c r="U33" s="5">
        <f t="shared" si="9"/>
        <v>14.62</v>
      </c>
    </row>
    <row r="34" spans="1:21" x14ac:dyDescent="0.25">
      <c r="A34" s="5">
        <v>23630</v>
      </c>
      <c r="B34" s="9" t="s">
        <v>23</v>
      </c>
      <c r="C34" s="6">
        <v>44.414349999999999</v>
      </c>
      <c r="D34" s="6">
        <v>89.503050000000002</v>
      </c>
      <c r="E34" s="5">
        <v>1000</v>
      </c>
      <c r="F34" s="9" t="s">
        <v>42</v>
      </c>
      <c r="G34" s="4">
        <v>255.5</v>
      </c>
      <c r="H34" s="4">
        <f t="shared" si="0"/>
        <v>127.75</v>
      </c>
      <c r="I34" s="5">
        <v>120</v>
      </c>
      <c r="M34" s="5">
        <f t="shared" si="1"/>
        <v>229.95000000000002</v>
      </c>
      <c r="N34" s="5">
        <f t="shared" si="2"/>
        <v>204.4</v>
      </c>
      <c r="O34" s="5">
        <f t="shared" si="3"/>
        <v>178.85</v>
      </c>
      <c r="P34" s="5">
        <f t="shared" si="4"/>
        <v>153.29999999999998</v>
      </c>
      <c r="Q34" s="5">
        <f t="shared" si="5"/>
        <v>127.75</v>
      </c>
      <c r="R34" s="5">
        <f t="shared" si="6"/>
        <v>102.2</v>
      </c>
      <c r="S34" s="5">
        <f t="shared" si="7"/>
        <v>76.649999999999991</v>
      </c>
      <c r="T34" s="5">
        <f t="shared" si="8"/>
        <v>51.1</v>
      </c>
      <c r="U34" s="5">
        <f t="shared" si="9"/>
        <v>25.55</v>
      </c>
    </row>
    <row r="35" spans="1:21" x14ac:dyDescent="0.25">
      <c r="A35" s="5">
        <v>23631</v>
      </c>
      <c r="B35" s="9" t="s">
        <v>23</v>
      </c>
      <c r="C35" s="6">
        <v>44.421460000000003</v>
      </c>
      <c r="D35" s="6">
        <v>89.483435</v>
      </c>
      <c r="F35" s="9" t="s">
        <v>36</v>
      </c>
      <c r="G35" s="4">
        <v>101</v>
      </c>
      <c r="H35" s="4">
        <f t="shared" si="0"/>
        <v>50.5</v>
      </c>
      <c r="I35" s="5">
        <v>90</v>
      </c>
      <c r="M35" s="5">
        <f t="shared" si="1"/>
        <v>90.9</v>
      </c>
      <c r="N35" s="5">
        <f t="shared" si="2"/>
        <v>80.800000000000011</v>
      </c>
      <c r="O35" s="5">
        <f t="shared" si="3"/>
        <v>70.699999999999989</v>
      </c>
      <c r="P35" s="5">
        <f t="shared" si="4"/>
        <v>60.599999999999994</v>
      </c>
      <c r="Q35" s="5">
        <f t="shared" si="5"/>
        <v>50.5</v>
      </c>
      <c r="R35" s="5">
        <f t="shared" si="6"/>
        <v>40.400000000000006</v>
      </c>
      <c r="S35" s="5">
        <f t="shared" si="7"/>
        <v>30.299999999999997</v>
      </c>
      <c r="T35" s="5">
        <f t="shared" si="8"/>
        <v>20.200000000000003</v>
      </c>
      <c r="U35" s="5">
        <f t="shared" si="9"/>
        <v>10.100000000000001</v>
      </c>
    </row>
    <row r="36" spans="1:21" x14ac:dyDescent="0.25">
      <c r="A36" s="5">
        <v>23635</v>
      </c>
      <c r="B36" s="9" t="s">
        <v>23</v>
      </c>
      <c r="C36" s="6">
        <v>44.571579999999997</v>
      </c>
      <c r="D36" s="6">
        <v>89.443730000000002</v>
      </c>
      <c r="E36" s="5">
        <v>1000</v>
      </c>
      <c r="F36" s="9" t="s">
        <v>42</v>
      </c>
      <c r="G36" s="4">
        <v>282.8</v>
      </c>
      <c r="H36" s="4">
        <f t="shared" si="0"/>
        <v>141.4</v>
      </c>
      <c r="I36" s="5">
        <v>120</v>
      </c>
      <c r="M36" s="5">
        <f t="shared" si="1"/>
        <v>254.52</v>
      </c>
      <c r="N36" s="5">
        <f t="shared" si="2"/>
        <v>226.24</v>
      </c>
      <c r="O36" s="5">
        <f t="shared" si="3"/>
        <v>197.96</v>
      </c>
      <c r="P36" s="5">
        <f t="shared" si="4"/>
        <v>169.68</v>
      </c>
      <c r="Q36" s="5">
        <f t="shared" si="5"/>
        <v>141.4</v>
      </c>
      <c r="R36" s="5">
        <f t="shared" si="6"/>
        <v>113.12</v>
      </c>
      <c r="S36" s="5">
        <f t="shared" si="7"/>
        <v>84.84</v>
      </c>
      <c r="T36" s="5">
        <f t="shared" si="8"/>
        <v>56.56</v>
      </c>
      <c r="U36" s="5">
        <f t="shared" si="9"/>
        <v>28.28</v>
      </c>
    </row>
    <row r="37" spans="1:21" x14ac:dyDescent="0.25">
      <c r="A37" s="5">
        <v>23637</v>
      </c>
      <c r="B37" s="9" t="s">
        <v>23</v>
      </c>
      <c r="C37" s="6">
        <v>44.547821999999996</v>
      </c>
      <c r="D37" s="6">
        <v>89.451284999999999</v>
      </c>
      <c r="E37" s="5">
        <v>1200</v>
      </c>
      <c r="F37" s="9" t="s">
        <v>42</v>
      </c>
      <c r="G37" s="4">
        <v>291.39999999999998</v>
      </c>
      <c r="H37" s="4">
        <f t="shared" si="0"/>
        <v>145.69999999999999</v>
      </c>
      <c r="I37" s="5">
        <v>120</v>
      </c>
      <c r="M37" s="5">
        <f t="shared" si="1"/>
        <v>262.26</v>
      </c>
      <c r="N37" s="5">
        <f t="shared" si="2"/>
        <v>233.12</v>
      </c>
      <c r="O37" s="5">
        <f t="shared" si="3"/>
        <v>203.97999999999996</v>
      </c>
      <c r="P37" s="5">
        <f t="shared" si="4"/>
        <v>174.83999999999997</v>
      </c>
      <c r="Q37" s="5">
        <f t="shared" si="5"/>
        <v>145.69999999999999</v>
      </c>
      <c r="R37" s="5">
        <f t="shared" si="6"/>
        <v>116.56</v>
      </c>
      <c r="S37" s="5">
        <f t="shared" si="7"/>
        <v>87.419999999999987</v>
      </c>
      <c r="T37" s="5">
        <f t="shared" si="8"/>
        <v>58.28</v>
      </c>
      <c r="U37" s="5">
        <f t="shared" si="9"/>
        <v>29.14</v>
      </c>
    </row>
    <row r="38" spans="1:21" x14ac:dyDescent="0.25">
      <c r="A38" s="5">
        <v>23638</v>
      </c>
      <c r="B38" s="9" t="s">
        <v>23</v>
      </c>
      <c r="C38" s="6">
        <v>44.473996999999997</v>
      </c>
      <c r="D38" s="6">
        <v>89.452977000000004</v>
      </c>
      <c r="F38" s="9" t="s">
        <v>42</v>
      </c>
      <c r="G38" s="4">
        <v>409.8</v>
      </c>
      <c r="H38" s="4">
        <f t="shared" si="0"/>
        <v>204.9</v>
      </c>
      <c r="I38" s="5">
        <v>120</v>
      </c>
      <c r="M38" s="5">
        <f t="shared" si="1"/>
        <v>368.82</v>
      </c>
      <c r="N38" s="5">
        <f t="shared" si="2"/>
        <v>327.84000000000003</v>
      </c>
      <c r="O38" s="5">
        <f t="shared" si="3"/>
        <v>286.86</v>
      </c>
      <c r="P38" s="5">
        <f t="shared" si="4"/>
        <v>245.88</v>
      </c>
      <c r="Q38" s="5">
        <f t="shared" si="5"/>
        <v>204.9</v>
      </c>
      <c r="R38" s="5">
        <f t="shared" si="6"/>
        <v>163.92000000000002</v>
      </c>
      <c r="S38" s="5">
        <f t="shared" si="7"/>
        <v>122.94</v>
      </c>
      <c r="T38" s="5">
        <f t="shared" si="8"/>
        <v>81.960000000000008</v>
      </c>
      <c r="U38" s="5">
        <f t="shared" si="9"/>
        <v>40.980000000000004</v>
      </c>
    </row>
    <row r="39" spans="1:21" x14ac:dyDescent="0.25">
      <c r="A39" s="5">
        <v>23639</v>
      </c>
      <c r="B39" s="9" t="s">
        <v>23</v>
      </c>
      <c r="C39" s="6">
        <v>44.442295999999999</v>
      </c>
      <c r="D39" s="6">
        <v>89.523703999999995</v>
      </c>
      <c r="E39" s="5">
        <v>0</v>
      </c>
      <c r="F39" s="9" t="s">
        <v>42</v>
      </c>
      <c r="G39" s="4">
        <v>213.2</v>
      </c>
      <c r="H39" s="4">
        <f t="shared" si="0"/>
        <v>106.6</v>
      </c>
      <c r="I39" s="5">
        <v>120</v>
      </c>
      <c r="M39" s="5">
        <f t="shared" si="1"/>
        <v>191.88</v>
      </c>
      <c r="N39" s="5">
        <f t="shared" si="2"/>
        <v>170.56</v>
      </c>
      <c r="O39" s="5">
        <f t="shared" si="3"/>
        <v>149.23999999999998</v>
      </c>
      <c r="P39" s="5">
        <f t="shared" si="4"/>
        <v>127.91999999999999</v>
      </c>
      <c r="Q39" s="5">
        <f t="shared" si="5"/>
        <v>106.6</v>
      </c>
      <c r="R39" s="5">
        <f t="shared" si="6"/>
        <v>85.28</v>
      </c>
      <c r="S39" s="5">
        <f t="shared" si="7"/>
        <v>63.959999999999994</v>
      </c>
      <c r="T39" s="5">
        <f t="shared" si="8"/>
        <v>42.64</v>
      </c>
      <c r="U39" s="5">
        <f t="shared" si="9"/>
        <v>21.32</v>
      </c>
    </row>
    <row r="40" spans="1:21" x14ac:dyDescent="0.25">
      <c r="A40" s="5">
        <v>23645</v>
      </c>
      <c r="B40" s="9" t="s">
        <v>23</v>
      </c>
      <c r="C40" s="6">
        <v>44.464844999999997</v>
      </c>
      <c r="D40" s="6">
        <v>89.515370000000004</v>
      </c>
      <c r="F40" s="9" t="s">
        <v>42</v>
      </c>
      <c r="G40" s="4">
        <v>158.80000000000001</v>
      </c>
      <c r="H40" s="4">
        <f t="shared" si="0"/>
        <v>79.400000000000006</v>
      </c>
      <c r="I40" s="5">
        <v>90</v>
      </c>
      <c r="M40" s="5">
        <f t="shared" si="1"/>
        <v>142.92000000000002</v>
      </c>
      <c r="N40" s="5">
        <f t="shared" si="2"/>
        <v>127.04000000000002</v>
      </c>
      <c r="O40" s="5">
        <f t="shared" si="3"/>
        <v>111.16</v>
      </c>
      <c r="P40" s="5">
        <f t="shared" si="4"/>
        <v>95.28</v>
      </c>
      <c r="Q40" s="5">
        <f t="shared" si="5"/>
        <v>79.400000000000006</v>
      </c>
      <c r="R40" s="5">
        <f t="shared" si="6"/>
        <v>63.52000000000001</v>
      </c>
      <c r="S40" s="5">
        <f t="shared" si="7"/>
        <v>47.64</v>
      </c>
      <c r="T40" s="5">
        <f t="shared" si="8"/>
        <v>31.760000000000005</v>
      </c>
      <c r="U40" s="5">
        <f t="shared" si="9"/>
        <v>15.880000000000003</v>
      </c>
    </row>
    <row r="41" spans="1:21" x14ac:dyDescent="0.25">
      <c r="A41" s="5">
        <v>23646</v>
      </c>
      <c r="B41" s="9" t="s">
        <v>23</v>
      </c>
      <c r="C41" s="6">
        <v>44.460811999999997</v>
      </c>
      <c r="D41" s="6">
        <v>89.518877000000003</v>
      </c>
      <c r="E41" s="5">
        <v>1000</v>
      </c>
      <c r="F41" s="9" t="s">
        <v>42</v>
      </c>
      <c r="G41" s="4">
        <v>319.39999999999998</v>
      </c>
      <c r="H41" s="4">
        <f t="shared" si="0"/>
        <v>159.69999999999999</v>
      </c>
      <c r="I41" s="5">
        <v>90</v>
      </c>
      <c r="M41" s="5">
        <f t="shared" si="1"/>
        <v>287.45999999999998</v>
      </c>
      <c r="N41" s="5">
        <f t="shared" si="2"/>
        <v>255.51999999999998</v>
      </c>
      <c r="O41" s="5">
        <f t="shared" si="3"/>
        <v>223.57999999999998</v>
      </c>
      <c r="P41" s="5">
        <f t="shared" si="4"/>
        <v>191.64</v>
      </c>
      <c r="Q41" s="5">
        <f t="shared" si="5"/>
        <v>159.69999999999999</v>
      </c>
      <c r="R41" s="5">
        <f t="shared" si="6"/>
        <v>127.75999999999999</v>
      </c>
      <c r="S41" s="5">
        <f t="shared" si="7"/>
        <v>95.82</v>
      </c>
      <c r="T41" s="5">
        <f t="shared" si="8"/>
        <v>63.879999999999995</v>
      </c>
      <c r="U41" s="5">
        <f t="shared" si="9"/>
        <v>31.939999999999998</v>
      </c>
    </row>
    <row r="42" spans="1:21" x14ac:dyDescent="0.25">
      <c r="A42" s="5">
        <v>23648</v>
      </c>
      <c r="B42" s="9" t="s">
        <v>23</v>
      </c>
      <c r="C42" s="6">
        <v>44.569730800000002</v>
      </c>
      <c r="D42" s="6">
        <v>89.443743900000001</v>
      </c>
      <c r="E42" s="5">
        <v>65</v>
      </c>
      <c r="F42" s="9" t="s">
        <v>50</v>
      </c>
      <c r="G42" s="4">
        <v>137.80000000000001</v>
      </c>
      <c r="H42" s="4">
        <f t="shared" si="0"/>
        <v>68.900000000000006</v>
      </c>
      <c r="I42" s="5">
        <v>120</v>
      </c>
      <c r="M42" s="5">
        <f t="shared" si="1"/>
        <v>124.02000000000001</v>
      </c>
      <c r="N42" s="5">
        <f t="shared" si="2"/>
        <v>110.24000000000001</v>
      </c>
      <c r="O42" s="5">
        <f t="shared" si="3"/>
        <v>96.460000000000008</v>
      </c>
      <c r="P42" s="5">
        <f t="shared" si="4"/>
        <v>82.68</v>
      </c>
      <c r="Q42" s="5">
        <f t="shared" si="5"/>
        <v>68.900000000000006</v>
      </c>
      <c r="R42" s="5">
        <f t="shared" si="6"/>
        <v>55.120000000000005</v>
      </c>
      <c r="S42" s="5">
        <f t="shared" si="7"/>
        <v>41.34</v>
      </c>
      <c r="T42" s="5">
        <f t="shared" si="8"/>
        <v>27.560000000000002</v>
      </c>
      <c r="U42" s="5">
        <f t="shared" si="9"/>
        <v>13.780000000000001</v>
      </c>
    </row>
    <row r="43" spans="1:21" x14ac:dyDescent="0.25">
      <c r="A43" s="5">
        <v>23653</v>
      </c>
      <c r="B43" s="9" t="s">
        <v>23</v>
      </c>
      <c r="C43" s="6">
        <v>44.465116700000003</v>
      </c>
      <c r="D43" s="6">
        <v>89.498433300000002</v>
      </c>
      <c r="F43" s="9" t="s">
        <v>42</v>
      </c>
      <c r="G43" s="4">
        <v>263.60000000000002</v>
      </c>
      <c r="H43" s="4">
        <f t="shared" si="0"/>
        <v>131.80000000000001</v>
      </c>
      <c r="I43" s="5">
        <v>150</v>
      </c>
      <c r="M43" s="5">
        <f t="shared" si="1"/>
        <v>237.24000000000004</v>
      </c>
      <c r="N43" s="5">
        <f t="shared" si="2"/>
        <v>210.88000000000002</v>
      </c>
      <c r="O43" s="5">
        <f t="shared" si="3"/>
        <v>184.52</v>
      </c>
      <c r="P43" s="5">
        <f t="shared" si="4"/>
        <v>158.16</v>
      </c>
      <c r="Q43" s="5">
        <f t="shared" si="5"/>
        <v>131.80000000000001</v>
      </c>
      <c r="R43" s="5">
        <f t="shared" si="6"/>
        <v>105.44000000000001</v>
      </c>
      <c r="S43" s="5">
        <f t="shared" si="7"/>
        <v>79.08</v>
      </c>
      <c r="T43" s="5">
        <f t="shared" si="8"/>
        <v>52.720000000000006</v>
      </c>
      <c r="U43" s="5">
        <f t="shared" si="9"/>
        <v>26.360000000000003</v>
      </c>
    </row>
    <row r="44" spans="1:21" x14ac:dyDescent="0.25">
      <c r="A44" s="5">
        <v>23695</v>
      </c>
      <c r="B44" s="9" t="s">
        <v>23</v>
      </c>
      <c r="C44" s="6">
        <v>44.405270000000002</v>
      </c>
      <c r="D44" s="6">
        <v>89.48518</v>
      </c>
      <c r="E44" s="5">
        <v>1000</v>
      </c>
      <c r="F44" s="9" t="s">
        <v>42</v>
      </c>
      <c r="G44" s="4">
        <v>141.4</v>
      </c>
      <c r="H44" s="4">
        <f t="shared" si="0"/>
        <v>70.7</v>
      </c>
      <c r="I44" s="5">
        <v>90</v>
      </c>
      <c r="M44" s="5">
        <f t="shared" si="1"/>
        <v>127.26</v>
      </c>
      <c r="N44" s="5">
        <f t="shared" si="2"/>
        <v>113.12</v>
      </c>
      <c r="O44" s="5">
        <f t="shared" si="3"/>
        <v>98.98</v>
      </c>
      <c r="P44" s="5">
        <f t="shared" si="4"/>
        <v>84.84</v>
      </c>
      <c r="Q44" s="5">
        <f t="shared" si="5"/>
        <v>70.7</v>
      </c>
      <c r="R44" s="5">
        <f t="shared" si="6"/>
        <v>56.56</v>
      </c>
      <c r="S44" s="5">
        <f t="shared" si="7"/>
        <v>42.42</v>
      </c>
      <c r="T44" s="5">
        <f t="shared" si="8"/>
        <v>28.28</v>
      </c>
      <c r="U44" s="5">
        <f t="shared" si="9"/>
        <v>14.14</v>
      </c>
    </row>
    <row r="45" spans="1:21" x14ac:dyDescent="0.25">
      <c r="A45" s="5">
        <v>23697</v>
      </c>
      <c r="B45" s="9" t="s">
        <v>23</v>
      </c>
      <c r="C45" s="6">
        <v>44.463240999999996</v>
      </c>
      <c r="D45" s="6">
        <v>89.312332999999995</v>
      </c>
      <c r="E45" s="5">
        <v>1000</v>
      </c>
      <c r="F45" s="9" t="s">
        <v>42</v>
      </c>
      <c r="G45" s="4">
        <v>152</v>
      </c>
      <c r="H45" s="4">
        <f t="shared" si="0"/>
        <v>76</v>
      </c>
      <c r="I45" s="5">
        <v>120</v>
      </c>
      <c r="M45" s="5">
        <f t="shared" si="1"/>
        <v>136.80000000000001</v>
      </c>
      <c r="N45" s="5">
        <f t="shared" si="2"/>
        <v>121.60000000000001</v>
      </c>
      <c r="O45" s="5">
        <f t="shared" si="3"/>
        <v>106.39999999999999</v>
      </c>
      <c r="P45" s="5">
        <f t="shared" si="4"/>
        <v>91.2</v>
      </c>
      <c r="Q45" s="5">
        <f t="shared" si="5"/>
        <v>76</v>
      </c>
      <c r="R45" s="5">
        <f t="shared" si="6"/>
        <v>60.800000000000004</v>
      </c>
      <c r="S45" s="5">
        <f t="shared" si="7"/>
        <v>45.6</v>
      </c>
      <c r="T45" s="5">
        <f t="shared" si="8"/>
        <v>30.400000000000002</v>
      </c>
      <c r="U45" s="5">
        <f t="shared" si="9"/>
        <v>15.200000000000001</v>
      </c>
    </row>
    <row r="46" spans="1:21" x14ac:dyDescent="0.25">
      <c r="A46" s="5">
        <v>23698</v>
      </c>
      <c r="B46" s="9" t="s">
        <v>23</v>
      </c>
      <c r="C46" s="6">
        <v>44.467346999999997</v>
      </c>
      <c r="D46" s="6">
        <v>89.323425999999998</v>
      </c>
      <c r="E46" s="5">
        <v>1000</v>
      </c>
      <c r="F46" s="9" t="s">
        <v>42</v>
      </c>
      <c r="G46" s="4">
        <v>369.4</v>
      </c>
      <c r="H46" s="4">
        <f t="shared" si="0"/>
        <v>184.7</v>
      </c>
      <c r="I46" s="5">
        <v>90</v>
      </c>
      <c r="M46" s="5">
        <f t="shared" si="1"/>
        <v>332.46</v>
      </c>
      <c r="N46" s="5">
        <f t="shared" si="2"/>
        <v>295.52</v>
      </c>
      <c r="O46" s="5">
        <f t="shared" si="3"/>
        <v>258.58</v>
      </c>
      <c r="P46" s="5">
        <f t="shared" si="4"/>
        <v>221.64</v>
      </c>
      <c r="Q46" s="5">
        <f t="shared" si="5"/>
        <v>184.7</v>
      </c>
      <c r="R46" s="5">
        <f t="shared" si="6"/>
        <v>147.76</v>
      </c>
      <c r="S46" s="5">
        <f t="shared" si="7"/>
        <v>110.82</v>
      </c>
      <c r="T46" s="5">
        <f t="shared" si="8"/>
        <v>73.88</v>
      </c>
      <c r="U46" s="5">
        <f t="shared" si="9"/>
        <v>36.94</v>
      </c>
    </row>
    <row r="47" spans="1:21" x14ac:dyDescent="0.25">
      <c r="A47" s="5">
        <v>23699</v>
      </c>
      <c r="B47" s="9" t="s">
        <v>23</v>
      </c>
      <c r="C47" s="6">
        <v>44.568291000000002</v>
      </c>
      <c r="D47" s="6">
        <v>89.452978000000002</v>
      </c>
      <c r="E47" s="5">
        <v>1300</v>
      </c>
      <c r="F47" s="9" t="s">
        <v>42</v>
      </c>
      <c r="G47" s="4">
        <v>220.8</v>
      </c>
      <c r="H47" s="4">
        <f t="shared" si="0"/>
        <v>110.4</v>
      </c>
      <c r="I47" s="5">
        <v>90</v>
      </c>
      <c r="M47" s="5">
        <f t="shared" si="1"/>
        <v>198.72000000000003</v>
      </c>
      <c r="N47" s="5">
        <f t="shared" si="2"/>
        <v>176.64000000000001</v>
      </c>
      <c r="O47" s="5">
        <f t="shared" si="3"/>
        <v>154.56</v>
      </c>
      <c r="P47" s="5">
        <f t="shared" si="4"/>
        <v>132.47999999999999</v>
      </c>
      <c r="Q47" s="5">
        <f t="shared" si="5"/>
        <v>110.4</v>
      </c>
      <c r="R47" s="5">
        <f t="shared" si="6"/>
        <v>88.320000000000007</v>
      </c>
      <c r="S47" s="5">
        <f t="shared" si="7"/>
        <v>66.239999999999995</v>
      </c>
      <c r="T47" s="5">
        <f t="shared" si="8"/>
        <v>44.160000000000004</v>
      </c>
      <c r="U47" s="5">
        <f t="shared" si="9"/>
        <v>22.080000000000002</v>
      </c>
    </row>
    <row r="48" spans="1:21" x14ac:dyDescent="0.25">
      <c r="A48" s="5">
        <v>23700</v>
      </c>
      <c r="B48" s="9" t="s">
        <v>23</v>
      </c>
      <c r="C48" s="6">
        <v>44.563969999999998</v>
      </c>
      <c r="D48" s="6">
        <v>89.436189999999996</v>
      </c>
      <c r="E48" s="5">
        <v>1300</v>
      </c>
      <c r="F48" s="9" t="s">
        <v>42</v>
      </c>
      <c r="G48" s="4">
        <v>121.7</v>
      </c>
      <c r="H48" s="4">
        <f t="shared" si="0"/>
        <v>60.85</v>
      </c>
      <c r="I48" s="5">
        <v>120</v>
      </c>
      <c r="M48" s="5">
        <f t="shared" si="1"/>
        <v>109.53</v>
      </c>
      <c r="N48" s="5">
        <f t="shared" si="2"/>
        <v>97.360000000000014</v>
      </c>
      <c r="O48" s="5">
        <f t="shared" si="3"/>
        <v>85.19</v>
      </c>
      <c r="P48" s="5">
        <f t="shared" si="4"/>
        <v>73.02</v>
      </c>
      <c r="Q48" s="5">
        <f t="shared" si="5"/>
        <v>60.85</v>
      </c>
      <c r="R48" s="5">
        <f t="shared" si="6"/>
        <v>48.680000000000007</v>
      </c>
      <c r="S48" s="5">
        <f t="shared" si="7"/>
        <v>36.51</v>
      </c>
      <c r="T48" s="5">
        <f t="shared" si="8"/>
        <v>24.340000000000003</v>
      </c>
      <c r="U48" s="5">
        <f t="shared" si="9"/>
        <v>12.170000000000002</v>
      </c>
    </row>
    <row r="49" spans="1:21" x14ac:dyDescent="0.25">
      <c r="A49" s="5">
        <v>23709</v>
      </c>
      <c r="B49" s="9" t="s">
        <v>23</v>
      </c>
      <c r="C49" s="6">
        <v>44.528615299999998</v>
      </c>
      <c r="D49" s="6">
        <v>89.451146899999998</v>
      </c>
      <c r="E49" s="5">
        <v>1000</v>
      </c>
      <c r="F49" s="9" t="s">
        <v>42</v>
      </c>
      <c r="G49" s="4">
        <v>11</v>
      </c>
      <c r="H49" s="4">
        <f t="shared" si="0"/>
        <v>11</v>
      </c>
      <c r="I49" s="5">
        <v>120</v>
      </c>
      <c r="M49" s="5">
        <f t="shared" si="1"/>
        <v>11</v>
      </c>
      <c r="N49" s="5">
        <f t="shared" si="2"/>
        <v>11</v>
      </c>
      <c r="O49" s="5">
        <f t="shared" si="3"/>
        <v>11</v>
      </c>
      <c r="P49" s="5">
        <f t="shared" si="4"/>
        <v>11</v>
      </c>
      <c r="Q49" s="5">
        <f t="shared" si="5"/>
        <v>11</v>
      </c>
      <c r="R49" s="5">
        <f t="shared" si="6"/>
        <v>11</v>
      </c>
      <c r="S49" s="5">
        <f t="shared" si="7"/>
        <v>11</v>
      </c>
      <c r="T49" s="5">
        <f t="shared" si="8"/>
        <v>11</v>
      </c>
      <c r="U49" s="5">
        <f t="shared" si="9"/>
        <v>11</v>
      </c>
    </row>
    <row r="50" spans="1:21" x14ac:dyDescent="0.25">
      <c r="A50" s="5">
        <v>23710</v>
      </c>
      <c r="B50" s="9" t="s">
        <v>23</v>
      </c>
      <c r="C50" s="6">
        <v>44.394647999999997</v>
      </c>
      <c r="D50" s="6">
        <v>89.446686999999997</v>
      </c>
      <c r="E50" s="5">
        <v>1000</v>
      </c>
      <c r="F50" s="9" t="s">
        <v>42</v>
      </c>
      <c r="G50" s="4">
        <v>105.6</v>
      </c>
      <c r="H50" s="4">
        <f t="shared" si="0"/>
        <v>52.8</v>
      </c>
      <c r="I50" s="5">
        <v>120</v>
      </c>
      <c r="M50" s="5">
        <f t="shared" si="1"/>
        <v>95.039999999999992</v>
      </c>
      <c r="N50" s="5">
        <f t="shared" si="2"/>
        <v>84.48</v>
      </c>
      <c r="O50" s="5">
        <f t="shared" si="3"/>
        <v>73.919999999999987</v>
      </c>
      <c r="P50" s="5">
        <f t="shared" si="4"/>
        <v>63.359999999999992</v>
      </c>
      <c r="Q50" s="5">
        <f t="shared" si="5"/>
        <v>52.8</v>
      </c>
      <c r="R50" s="5">
        <f t="shared" si="6"/>
        <v>42.24</v>
      </c>
      <c r="S50" s="5">
        <f t="shared" si="7"/>
        <v>31.679999999999996</v>
      </c>
      <c r="T50" s="5">
        <f t="shared" si="8"/>
        <v>21.12</v>
      </c>
      <c r="U50" s="5">
        <f t="shared" si="9"/>
        <v>10.56</v>
      </c>
    </row>
    <row r="51" spans="1:21" x14ac:dyDescent="0.25">
      <c r="A51" s="5">
        <v>23715</v>
      </c>
      <c r="B51" s="9" t="s">
        <v>23</v>
      </c>
      <c r="C51" s="6">
        <v>44.535843300000003</v>
      </c>
      <c r="D51" s="6">
        <v>89.451200099999994</v>
      </c>
      <c r="E51" s="5">
        <v>1000</v>
      </c>
      <c r="F51" s="9" t="s">
        <v>42</v>
      </c>
      <c r="G51" s="4">
        <v>411.3</v>
      </c>
      <c r="H51" s="4">
        <f t="shared" si="0"/>
        <v>205.65</v>
      </c>
      <c r="I51" s="5">
        <v>90</v>
      </c>
      <c r="M51" s="5">
        <f t="shared" si="1"/>
        <v>370.17</v>
      </c>
      <c r="N51" s="5">
        <f t="shared" si="2"/>
        <v>329.04</v>
      </c>
      <c r="O51" s="5">
        <f t="shared" si="3"/>
        <v>287.90999999999997</v>
      </c>
      <c r="P51" s="5">
        <f t="shared" si="4"/>
        <v>246.78</v>
      </c>
      <c r="Q51" s="5">
        <f t="shared" si="5"/>
        <v>205.65</v>
      </c>
      <c r="R51" s="5">
        <f t="shared" si="6"/>
        <v>164.52</v>
      </c>
      <c r="S51" s="5">
        <f t="shared" si="7"/>
        <v>123.39</v>
      </c>
      <c r="T51" s="5">
        <f t="shared" si="8"/>
        <v>82.26</v>
      </c>
      <c r="U51" s="5">
        <f t="shared" si="9"/>
        <v>41.13</v>
      </c>
    </row>
    <row r="52" spans="1:21" x14ac:dyDescent="0.25">
      <c r="A52" s="5">
        <v>23716</v>
      </c>
      <c r="B52" s="9" t="s">
        <v>23</v>
      </c>
      <c r="C52" s="6">
        <v>44.537798899999999</v>
      </c>
      <c r="D52" s="6">
        <v>89.453743200000005</v>
      </c>
      <c r="E52" s="5">
        <v>750</v>
      </c>
      <c r="F52" s="9" t="s">
        <v>42</v>
      </c>
      <c r="G52" s="4">
        <v>256.10000000000002</v>
      </c>
      <c r="H52" s="4">
        <f t="shared" si="0"/>
        <v>128.05000000000001</v>
      </c>
      <c r="I52" s="5">
        <v>90</v>
      </c>
      <c r="M52" s="5">
        <f t="shared" si="1"/>
        <v>230.49000000000004</v>
      </c>
      <c r="N52" s="5">
        <f t="shared" si="2"/>
        <v>204.88000000000002</v>
      </c>
      <c r="O52" s="5">
        <f t="shared" si="3"/>
        <v>179.27</v>
      </c>
      <c r="P52" s="5">
        <f t="shared" si="4"/>
        <v>153.66</v>
      </c>
      <c r="Q52" s="5">
        <f t="shared" si="5"/>
        <v>128.05000000000001</v>
      </c>
      <c r="R52" s="5">
        <f t="shared" si="6"/>
        <v>102.44000000000001</v>
      </c>
      <c r="S52" s="5">
        <f t="shared" si="7"/>
        <v>76.83</v>
      </c>
      <c r="T52" s="5">
        <f t="shared" si="8"/>
        <v>51.220000000000006</v>
      </c>
      <c r="U52" s="5">
        <f t="shared" si="9"/>
        <v>25.610000000000003</v>
      </c>
    </row>
    <row r="53" spans="1:21" x14ac:dyDescent="0.25">
      <c r="A53" s="5">
        <v>23720</v>
      </c>
      <c r="B53" s="9" t="s">
        <v>23</v>
      </c>
      <c r="C53" s="6">
        <v>44.449566699999998</v>
      </c>
      <c r="D53" s="6">
        <v>89.538866600000006</v>
      </c>
      <c r="E53" s="5">
        <v>0</v>
      </c>
      <c r="F53" s="9" t="s">
        <v>42</v>
      </c>
      <c r="G53" s="4">
        <v>160.69999999999999</v>
      </c>
      <c r="H53" s="4">
        <f t="shared" si="0"/>
        <v>80.349999999999994</v>
      </c>
      <c r="I53" s="5">
        <v>120</v>
      </c>
      <c r="M53" s="5">
        <f t="shared" si="1"/>
        <v>144.63</v>
      </c>
      <c r="N53" s="5">
        <f t="shared" si="2"/>
        <v>128.56</v>
      </c>
      <c r="O53" s="5">
        <f t="shared" si="3"/>
        <v>112.48999999999998</v>
      </c>
      <c r="P53" s="5">
        <f t="shared" si="4"/>
        <v>96.419999999999987</v>
      </c>
      <c r="Q53" s="5">
        <f t="shared" si="5"/>
        <v>80.349999999999994</v>
      </c>
      <c r="R53" s="5">
        <f t="shared" si="6"/>
        <v>64.28</v>
      </c>
      <c r="S53" s="5">
        <f t="shared" si="7"/>
        <v>48.209999999999994</v>
      </c>
      <c r="T53" s="5">
        <f t="shared" si="8"/>
        <v>32.14</v>
      </c>
      <c r="U53" s="5">
        <f t="shared" si="9"/>
        <v>16.07</v>
      </c>
    </row>
    <row r="54" spans="1:21" x14ac:dyDescent="0.25">
      <c r="A54" s="5">
        <v>23721</v>
      </c>
      <c r="B54" s="9" t="s">
        <v>23</v>
      </c>
      <c r="C54" s="6">
        <v>44.442968999999998</v>
      </c>
      <c r="D54" s="6">
        <v>89.531509</v>
      </c>
      <c r="E54" s="5">
        <v>0</v>
      </c>
      <c r="F54" s="9" t="s">
        <v>42</v>
      </c>
      <c r="G54" s="4">
        <v>236.8</v>
      </c>
      <c r="H54" s="4">
        <f t="shared" si="0"/>
        <v>118.4</v>
      </c>
      <c r="I54" s="5">
        <v>120</v>
      </c>
      <c r="M54" s="5">
        <f t="shared" si="1"/>
        <v>213.12</v>
      </c>
      <c r="N54" s="5">
        <f t="shared" si="2"/>
        <v>189.44000000000003</v>
      </c>
      <c r="O54" s="5">
        <f t="shared" si="3"/>
        <v>165.76</v>
      </c>
      <c r="P54" s="5">
        <f t="shared" si="4"/>
        <v>142.08000000000001</v>
      </c>
      <c r="Q54" s="5">
        <f t="shared" si="5"/>
        <v>118.4</v>
      </c>
      <c r="R54" s="5">
        <f t="shared" si="6"/>
        <v>94.720000000000013</v>
      </c>
      <c r="S54" s="5">
        <f t="shared" si="7"/>
        <v>71.040000000000006</v>
      </c>
      <c r="T54" s="5">
        <f t="shared" si="8"/>
        <v>47.360000000000007</v>
      </c>
      <c r="U54" s="5">
        <f t="shared" si="9"/>
        <v>23.680000000000003</v>
      </c>
    </row>
    <row r="55" spans="1:21" x14ac:dyDescent="0.25">
      <c r="A55" s="5">
        <v>23722</v>
      </c>
      <c r="B55" s="9" t="s">
        <v>23</v>
      </c>
      <c r="C55" s="6">
        <v>44.452086000000001</v>
      </c>
      <c r="D55" s="6">
        <v>89.452045999999996</v>
      </c>
      <c r="F55" s="9" t="s">
        <v>42</v>
      </c>
      <c r="G55" s="4">
        <v>11</v>
      </c>
      <c r="H55" s="4">
        <f t="shared" si="0"/>
        <v>11</v>
      </c>
      <c r="I55" s="5">
        <v>90</v>
      </c>
      <c r="M55" s="5">
        <f t="shared" si="1"/>
        <v>11</v>
      </c>
      <c r="N55" s="5">
        <f t="shared" si="2"/>
        <v>11</v>
      </c>
      <c r="O55" s="5">
        <f t="shared" si="3"/>
        <v>11</v>
      </c>
      <c r="P55" s="5">
        <f t="shared" si="4"/>
        <v>11</v>
      </c>
      <c r="Q55" s="5">
        <f t="shared" si="5"/>
        <v>11</v>
      </c>
      <c r="R55" s="5">
        <f t="shared" si="6"/>
        <v>11</v>
      </c>
      <c r="S55" s="5">
        <f t="shared" si="7"/>
        <v>11</v>
      </c>
      <c r="T55" s="5">
        <f t="shared" si="8"/>
        <v>11</v>
      </c>
      <c r="U55" s="5">
        <f t="shared" si="9"/>
        <v>11</v>
      </c>
    </row>
    <row r="56" spans="1:21" x14ac:dyDescent="0.25">
      <c r="A56" s="5">
        <v>23723</v>
      </c>
      <c r="B56" s="9" t="s">
        <v>23</v>
      </c>
      <c r="C56" s="6">
        <v>44.431967999999998</v>
      </c>
      <c r="D56" s="6">
        <v>89.544048000000004</v>
      </c>
      <c r="F56" s="9" t="s">
        <v>42</v>
      </c>
      <c r="G56" s="4">
        <v>236.5</v>
      </c>
      <c r="H56" s="4">
        <f t="shared" si="0"/>
        <v>118.25</v>
      </c>
      <c r="I56" s="5">
        <v>150</v>
      </c>
      <c r="M56" s="5">
        <f t="shared" si="1"/>
        <v>212.85</v>
      </c>
      <c r="N56" s="5">
        <f t="shared" si="2"/>
        <v>189.20000000000002</v>
      </c>
      <c r="O56" s="5">
        <f t="shared" si="3"/>
        <v>165.54999999999998</v>
      </c>
      <c r="P56" s="5">
        <f t="shared" si="4"/>
        <v>141.9</v>
      </c>
      <c r="Q56" s="5">
        <f t="shared" si="5"/>
        <v>118.25</v>
      </c>
      <c r="R56" s="5">
        <f t="shared" si="6"/>
        <v>94.600000000000009</v>
      </c>
      <c r="S56" s="5">
        <f t="shared" si="7"/>
        <v>70.95</v>
      </c>
      <c r="T56" s="5">
        <f t="shared" si="8"/>
        <v>47.300000000000004</v>
      </c>
      <c r="U56" s="5">
        <f t="shared" si="9"/>
        <v>23.650000000000002</v>
      </c>
    </row>
    <row r="57" spans="1:21" x14ac:dyDescent="0.25">
      <c r="A57" s="5">
        <v>23726</v>
      </c>
      <c r="B57" s="9" t="s">
        <v>23</v>
      </c>
      <c r="C57" s="6">
        <v>44.403409000000003</v>
      </c>
      <c r="D57" s="6">
        <v>89.502886000000004</v>
      </c>
      <c r="E57" s="5">
        <v>1000</v>
      </c>
      <c r="F57" s="9" t="s">
        <v>42</v>
      </c>
      <c r="G57" s="4">
        <v>195.7</v>
      </c>
      <c r="H57" s="4">
        <f t="shared" si="0"/>
        <v>97.85</v>
      </c>
      <c r="I57" s="5">
        <v>90</v>
      </c>
      <c r="M57" s="5">
        <f t="shared" si="1"/>
        <v>176.13</v>
      </c>
      <c r="N57" s="5">
        <f t="shared" si="2"/>
        <v>156.56</v>
      </c>
      <c r="O57" s="5">
        <f t="shared" si="3"/>
        <v>136.98999999999998</v>
      </c>
      <c r="P57" s="5">
        <f t="shared" si="4"/>
        <v>117.41999999999999</v>
      </c>
      <c r="Q57" s="5">
        <f t="shared" si="5"/>
        <v>97.85</v>
      </c>
      <c r="R57" s="5">
        <f t="shared" si="6"/>
        <v>78.28</v>
      </c>
      <c r="S57" s="5">
        <f t="shared" si="7"/>
        <v>58.709999999999994</v>
      </c>
      <c r="T57" s="5">
        <f t="shared" si="8"/>
        <v>39.14</v>
      </c>
      <c r="U57" s="5">
        <f t="shared" si="9"/>
        <v>19.57</v>
      </c>
    </row>
    <row r="58" spans="1:21" x14ac:dyDescent="0.25">
      <c r="A58" s="5">
        <v>23727</v>
      </c>
      <c r="B58" s="9" t="s">
        <v>23</v>
      </c>
      <c r="C58" s="6">
        <v>44.407043999999999</v>
      </c>
      <c r="D58" s="6">
        <v>89.498024999999998</v>
      </c>
      <c r="F58" s="9" t="s">
        <v>42</v>
      </c>
      <c r="G58" s="4">
        <v>86</v>
      </c>
      <c r="H58" s="4">
        <f t="shared" si="0"/>
        <v>43</v>
      </c>
      <c r="I58" s="5">
        <v>90</v>
      </c>
      <c r="M58" s="5">
        <f t="shared" si="1"/>
        <v>77.400000000000006</v>
      </c>
      <c r="N58" s="5">
        <f t="shared" si="2"/>
        <v>68.8</v>
      </c>
      <c r="O58" s="5">
        <f t="shared" si="3"/>
        <v>60.199999999999996</v>
      </c>
      <c r="P58" s="5">
        <f t="shared" si="4"/>
        <v>51.6</v>
      </c>
      <c r="Q58" s="5">
        <f t="shared" si="5"/>
        <v>43</v>
      </c>
      <c r="R58" s="5">
        <f t="shared" si="6"/>
        <v>34.4</v>
      </c>
      <c r="S58" s="5">
        <f t="shared" si="7"/>
        <v>25.8</v>
      </c>
      <c r="T58" s="5">
        <f t="shared" si="8"/>
        <v>17.2</v>
      </c>
      <c r="U58" s="5">
        <f t="shared" si="9"/>
        <v>8.6</v>
      </c>
    </row>
    <row r="59" spans="1:21" x14ac:dyDescent="0.25">
      <c r="A59" s="5">
        <v>23728</v>
      </c>
      <c r="B59" s="9" t="s">
        <v>23</v>
      </c>
      <c r="C59" s="6">
        <v>44.421027000000002</v>
      </c>
      <c r="D59" s="6">
        <v>89.543655000000001</v>
      </c>
      <c r="F59" s="9" t="s">
        <v>42</v>
      </c>
      <c r="G59" s="4">
        <v>250.1</v>
      </c>
      <c r="H59" s="4">
        <f t="shared" si="0"/>
        <v>125.05</v>
      </c>
      <c r="I59" s="5">
        <v>120</v>
      </c>
      <c r="M59" s="5">
        <f t="shared" si="1"/>
        <v>225.09</v>
      </c>
      <c r="N59" s="5">
        <f t="shared" si="2"/>
        <v>200.08</v>
      </c>
      <c r="O59" s="5">
        <f t="shared" si="3"/>
        <v>175.07</v>
      </c>
      <c r="P59" s="5">
        <f t="shared" si="4"/>
        <v>150.06</v>
      </c>
      <c r="Q59" s="5">
        <f t="shared" si="5"/>
        <v>125.05</v>
      </c>
      <c r="R59" s="5">
        <f t="shared" si="6"/>
        <v>100.04</v>
      </c>
      <c r="S59" s="5">
        <f t="shared" si="7"/>
        <v>75.03</v>
      </c>
      <c r="T59" s="5">
        <f t="shared" si="8"/>
        <v>50.02</v>
      </c>
      <c r="U59" s="5">
        <f t="shared" si="9"/>
        <v>25.01</v>
      </c>
    </row>
    <row r="60" spans="1:21" x14ac:dyDescent="0.25">
      <c r="A60" s="5">
        <v>23729</v>
      </c>
      <c r="B60" s="9" t="s">
        <v>23</v>
      </c>
      <c r="C60" s="6">
        <v>44.421149999999997</v>
      </c>
      <c r="D60" s="6">
        <v>89.533616699999996</v>
      </c>
      <c r="F60" s="9" t="s">
        <v>42</v>
      </c>
      <c r="G60" s="4">
        <v>244.6</v>
      </c>
      <c r="H60" s="4">
        <f t="shared" si="0"/>
        <v>122.3</v>
      </c>
      <c r="I60" s="5">
        <v>120</v>
      </c>
      <c r="M60" s="5">
        <f t="shared" si="1"/>
        <v>220.14</v>
      </c>
      <c r="N60" s="5">
        <f t="shared" si="2"/>
        <v>195.68</v>
      </c>
      <c r="O60" s="5">
        <f t="shared" si="3"/>
        <v>171.22</v>
      </c>
      <c r="P60" s="5">
        <f t="shared" si="4"/>
        <v>146.76</v>
      </c>
      <c r="Q60" s="5">
        <f t="shared" si="5"/>
        <v>122.3</v>
      </c>
      <c r="R60" s="5">
        <f t="shared" si="6"/>
        <v>97.84</v>
      </c>
      <c r="S60" s="5">
        <f t="shared" si="7"/>
        <v>73.38</v>
      </c>
      <c r="T60" s="5">
        <f t="shared" si="8"/>
        <v>48.92</v>
      </c>
      <c r="U60" s="5">
        <f t="shared" si="9"/>
        <v>24.46</v>
      </c>
    </row>
    <row r="61" spans="1:21" x14ac:dyDescent="0.25">
      <c r="A61" s="5">
        <v>23751</v>
      </c>
      <c r="B61" s="9" t="s">
        <v>23</v>
      </c>
      <c r="C61" s="6">
        <v>44.406923599999999</v>
      </c>
      <c r="D61" s="6">
        <v>89.513088100000004</v>
      </c>
      <c r="E61" s="5">
        <v>900</v>
      </c>
      <c r="F61" s="9" t="s">
        <v>42</v>
      </c>
      <c r="G61" s="4">
        <v>214.1</v>
      </c>
      <c r="H61" s="4">
        <f t="shared" si="0"/>
        <v>107.05</v>
      </c>
      <c r="I61" s="5">
        <v>90</v>
      </c>
      <c r="M61" s="5">
        <f t="shared" si="1"/>
        <v>192.69</v>
      </c>
      <c r="N61" s="5">
        <f t="shared" si="2"/>
        <v>171.28</v>
      </c>
      <c r="O61" s="5">
        <f t="shared" si="3"/>
        <v>149.86999999999998</v>
      </c>
      <c r="P61" s="5">
        <f t="shared" si="4"/>
        <v>128.45999999999998</v>
      </c>
      <c r="Q61" s="5">
        <f t="shared" si="5"/>
        <v>107.05</v>
      </c>
      <c r="R61" s="5">
        <f t="shared" si="6"/>
        <v>85.64</v>
      </c>
      <c r="S61" s="5">
        <f t="shared" si="7"/>
        <v>64.22999999999999</v>
      </c>
      <c r="T61" s="5">
        <f t="shared" si="8"/>
        <v>42.82</v>
      </c>
      <c r="U61" s="5">
        <f t="shared" si="9"/>
        <v>21.41</v>
      </c>
    </row>
    <row r="62" spans="1:21" x14ac:dyDescent="0.25">
      <c r="A62" s="5">
        <v>23752</v>
      </c>
      <c r="B62" s="9" t="s">
        <v>23</v>
      </c>
      <c r="C62" s="6">
        <v>44.468499999999999</v>
      </c>
      <c r="D62" s="6">
        <v>89.457099999999997</v>
      </c>
      <c r="F62" s="9" t="s">
        <v>42</v>
      </c>
      <c r="G62" s="4">
        <v>296</v>
      </c>
      <c r="H62" s="4">
        <f t="shared" si="0"/>
        <v>148</v>
      </c>
      <c r="I62" s="5">
        <v>90</v>
      </c>
      <c r="M62" s="5">
        <f t="shared" si="1"/>
        <v>266.40000000000003</v>
      </c>
      <c r="N62" s="5">
        <f t="shared" si="2"/>
        <v>236.8</v>
      </c>
      <c r="O62" s="5">
        <f t="shared" si="3"/>
        <v>207.2</v>
      </c>
      <c r="P62" s="5">
        <f t="shared" si="4"/>
        <v>177.6</v>
      </c>
      <c r="Q62" s="5">
        <f t="shared" si="5"/>
        <v>148</v>
      </c>
      <c r="R62" s="5">
        <f t="shared" si="6"/>
        <v>118.4</v>
      </c>
      <c r="S62" s="5">
        <f t="shared" si="7"/>
        <v>88.8</v>
      </c>
      <c r="T62" s="5">
        <f t="shared" si="8"/>
        <v>59.2</v>
      </c>
      <c r="U62" s="5">
        <f t="shared" si="9"/>
        <v>29.6</v>
      </c>
    </row>
    <row r="63" spans="1:21" x14ac:dyDescent="0.25">
      <c r="A63" s="5">
        <v>23753</v>
      </c>
      <c r="B63" s="9" t="s">
        <v>23</v>
      </c>
      <c r="C63" s="6">
        <v>44.462600000000002</v>
      </c>
      <c r="D63" s="6">
        <v>89.441599999999994</v>
      </c>
      <c r="F63" s="9" t="s">
        <v>42</v>
      </c>
      <c r="G63" s="4">
        <v>308.2</v>
      </c>
      <c r="H63" s="4">
        <f t="shared" si="0"/>
        <v>154.1</v>
      </c>
      <c r="I63" s="5">
        <v>90</v>
      </c>
      <c r="M63" s="5">
        <f t="shared" si="1"/>
        <v>277.38</v>
      </c>
      <c r="N63" s="5">
        <f t="shared" si="2"/>
        <v>246.56</v>
      </c>
      <c r="O63" s="5">
        <f t="shared" si="3"/>
        <v>215.73999999999998</v>
      </c>
      <c r="P63" s="5">
        <f t="shared" si="4"/>
        <v>184.92</v>
      </c>
      <c r="Q63" s="5">
        <f t="shared" si="5"/>
        <v>154.1</v>
      </c>
      <c r="R63" s="5">
        <f t="shared" si="6"/>
        <v>123.28</v>
      </c>
      <c r="S63" s="5">
        <f t="shared" si="7"/>
        <v>92.46</v>
      </c>
      <c r="T63" s="5">
        <f t="shared" si="8"/>
        <v>61.64</v>
      </c>
      <c r="U63" s="5">
        <f t="shared" si="9"/>
        <v>30.82</v>
      </c>
    </row>
    <row r="64" spans="1:21" x14ac:dyDescent="0.25">
      <c r="A64" s="5">
        <v>23754</v>
      </c>
      <c r="B64" s="9" t="s">
        <v>23</v>
      </c>
      <c r="C64" s="6">
        <v>44.576777</v>
      </c>
      <c r="D64" s="6">
        <v>89.438681099999997</v>
      </c>
      <c r="E64" s="5">
        <v>1200</v>
      </c>
      <c r="F64" s="9" t="s">
        <v>42</v>
      </c>
      <c r="G64" s="4">
        <v>325</v>
      </c>
      <c r="H64" s="4">
        <f t="shared" si="0"/>
        <v>162.5</v>
      </c>
      <c r="I64" s="5">
        <v>90</v>
      </c>
      <c r="M64" s="5">
        <f t="shared" si="1"/>
        <v>292.5</v>
      </c>
      <c r="N64" s="5">
        <f t="shared" si="2"/>
        <v>260</v>
      </c>
      <c r="O64" s="5">
        <f t="shared" si="3"/>
        <v>227.49999999999997</v>
      </c>
      <c r="P64" s="5">
        <f t="shared" si="4"/>
        <v>195</v>
      </c>
      <c r="Q64" s="5">
        <f t="shared" si="5"/>
        <v>162.5</v>
      </c>
      <c r="R64" s="5">
        <f t="shared" si="6"/>
        <v>130</v>
      </c>
      <c r="S64" s="5">
        <f t="shared" si="7"/>
        <v>97.5</v>
      </c>
      <c r="T64" s="5">
        <f t="shared" si="8"/>
        <v>65</v>
      </c>
      <c r="U64" s="5">
        <f t="shared" si="9"/>
        <v>32.5</v>
      </c>
    </row>
    <row r="65" spans="1:21" x14ac:dyDescent="0.25">
      <c r="A65" s="5">
        <v>23755</v>
      </c>
      <c r="B65" s="9" t="s">
        <v>23</v>
      </c>
      <c r="C65" s="6">
        <v>44.461779</v>
      </c>
      <c r="D65" s="6">
        <v>89.484140999999994</v>
      </c>
      <c r="E65" s="5">
        <v>1000</v>
      </c>
      <c r="F65" s="9" t="s">
        <v>51</v>
      </c>
      <c r="G65" s="4">
        <v>794.6</v>
      </c>
      <c r="H65" s="4">
        <f t="shared" si="0"/>
        <v>397.3</v>
      </c>
      <c r="I65" s="5">
        <v>90</v>
      </c>
      <c r="M65" s="5">
        <f t="shared" si="1"/>
        <v>715.14</v>
      </c>
      <c r="N65" s="5">
        <f t="shared" si="2"/>
        <v>635.68000000000006</v>
      </c>
      <c r="O65" s="5">
        <f t="shared" si="3"/>
        <v>556.22</v>
      </c>
      <c r="P65" s="5">
        <f t="shared" si="4"/>
        <v>476.76</v>
      </c>
      <c r="Q65" s="5">
        <f t="shared" si="5"/>
        <v>397.3</v>
      </c>
      <c r="R65" s="5">
        <f t="shared" si="6"/>
        <v>317.84000000000003</v>
      </c>
      <c r="S65" s="5">
        <f t="shared" si="7"/>
        <v>238.38</v>
      </c>
      <c r="T65" s="5">
        <f t="shared" si="8"/>
        <v>158.92000000000002</v>
      </c>
      <c r="U65" s="5">
        <f t="shared" si="9"/>
        <v>79.460000000000008</v>
      </c>
    </row>
    <row r="66" spans="1:21" x14ac:dyDescent="0.25">
      <c r="A66" s="5">
        <v>23756</v>
      </c>
      <c r="B66" s="9" t="s">
        <v>23</v>
      </c>
      <c r="C66" s="6">
        <v>44.401546400000001</v>
      </c>
      <c r="D66" s="6">
        <v>89.510466600000001</v>
      </c>
      <c r="E66" s="5">
        <v>900</v>
      </c>
      <c r="F66" s="9" t="s">
        <v>42</v>
      </c>
      <c r="G66" s="4">
        <v>324.2</v>
      </c>
      <c r="H66" s="4">
        <f t="shared" si="0"/>
        <v>162.1</v>
      </c>
      <c r="I66" s="5">
        <v>90</v>
      </c>
      <c r="M66" s="5">
        <f t="shared" si="1"/>
        <v>291.77999999999997</v>
      </c>
      <c r="N66" s="5">
        <f t="shared" si="2"/>
        <v>259.36</v>
      </c>
      <c r="O66" s="5">
        <f t="shared" si="3"/>
        <v>226.93999999999997</v>
      </c>
      <c r="P66" s="5">
        <f t="shared" si="4"/>
        <v>194.51999999999998</v>
      </c>
      <c r="Q66" s="5">
        <f t="shared" si="5"/>
        <v>162.1</v>
      </c>
      <c r="R66" s="5">
        <f t="shared" si="6"/>
        <v>129.68</v>
      </c>
      <c r="S66" s="5">
        <f t="shared" si="7"/>
        <v>97.259999999999991</v>
      </c>
      <c r="T66" s="5">
        <f t="shared" si="8"/>
        <v>64.84</v>
      </c>
      <c r="U66" s="5">
        <f t="shared" si="9"/>
        <v>32.42</v>
      </c>
    </row>
    <row r="67" spans="1:21" x14ac:dyDescent="0.25">
      <c r="A67" s="5">
        <v>23757</v>
      </c>
      <c r="B67" s="9" t="s">
        <v>23</v>
      </c>
      <c r="C67" s="6">
        <v>44.424460000000003</v>
      </c>
      <c r="D67" s="6">
        <v>89.554220000000001</v>
      </c>
      <c r="E67" s="5">
        <v>1200</v>
      </c>
      <c r="F67" s="9" t="s">
        <v>51</v>
      </c>
      <c r="G67" s="4">
        <v>101.5</v>
      </c>
      <c r="H67" s="4">
        <f t="shared" ref="H67:H130" si="10">Q67</f>
        <v>50.75</v>
      </c>
      <c r="I67" s="5">
        <v>120</v>
      </c>
      <c r="M67" s="5">
        <f t="shared" ref="M67:M130" si="11">IF($G67&gt;=50, $G67*0.9,$G67)</f>
        <v>91.350000000000009</v>
      </c>
      <c r="N67" s="5">
        <f t="shared" ref="N67:N130" si="12">IF($G67&gt;=50, $G67*0.8,$G67)</f>
        <v>81.2</v>
      </c>
      <c r="O67" s="5">
        <f t="shared" ref="O67:O130" si="13">IF($G67&gt;=50, $G67*0.7,$G67)</f>
        <v>71.05</v>
      </c>
      <c r="P67" s="5">
        <f t="shared" ref="P67:P130" si="14">IF($G67&gt;=50, $G67*0.6,$G67)</f>
        <v>60.9</v>
      </c>
      <c r="Q67" s="5">
        <f t="shared" ref="Q67:Q130" si="15">IF($G67&gt;=50, $G67*0.5,$G67)</f>
        <v>50.75</v>
      </c>
      <c r="R67" s="5">
        <f t="shared" ref="R67:R130" si="16">IF($G67&gt;=50, $G67*0.4,$G67)</f>
        <v>40.6</v>
      </c>
      <c r="S67" s="5">
        <f t="shared" ref="S67:S130" si="17">IF($G67&gt;=50, $G67*0.3,$G67)</f>
        <v>30.45</v>
      </c>
      <c r="T67" s="5">
        <f t="shared" ref="T67:T130" si="18">IF($G67&gt;=50, $G67*0.2,$G67)</f>
        <v>20.3</v>
      </c>
      <c r="U67" s="5">
        <f t="shared" ref="U67:U130" si="19">IF($G67&gt;=50, $G67*0.1,$G67)</f>
        <v>10.15</v>
      </c>
    </row>
    <row r="68" spans="1:21" x14ac:dyDescent="0.25">
      <c r="A68" s="5">
        <v>23758</v>
      </c>
      <c r="B68" s="9" t="s">
        <v>23</v>
      </c>
      <c r="C68" s="6">
        <v>44.428199999999997</v>
      </c>
      <c r="D68" s="6">
        <v>89.548900000000003</v>
      </c>
      <c r="E68" s="5">
        <v>1200</v>
      </c>
      <c r="F68" s="9" t="s">
        <v>42</v>
      </c>
      <c r="G68" s="4">
        <v>148.4</v>
      </c>
      <c r="H68" s="4">
        <f t="shared" si="10"/>
        <v>74.2</v>
      </c>
      <c r="I68" s="5">
        <v>120</v>
      </c>
      <c r="M68" s="5">
        <f t="shared" si="11"/>
        <v>133.56</v>
      </c>
      <c r="N68" s="5">
        <f t="shared" si="12"/>
        <v>118.72000000000001</v>
      </c>
      <c r="O68" s="5">
        <f t="shared" si="13"/>
        <v>103.88</v>
      </c>
      <c r="P68" s="5">
        <f t="shared" si="14"/>
        <v>89.04</v>
      </c>
      <c r="Q68" s="5">
        <f t="shared" si="15"/>
        <v>74.2</v>
      </c>
      <c r="R68" s="5">
        <f t="shared" si="16"/>
        <v>59.360000000000007</v>
      </c>
      <c r="S68" s="5">
        <f t="shared" si="17"/>
        <v>44.52</v>
      </c>
      <c r="T68" s="5">
        <f t="shared" si="18"/>
        <v>29.680000000000003</v>
      </c>
      <c r="U68" s="5">
        <f t="shared" si="19"/>
        <v>14.840000000000002</v>
      </c>
    </row>
    <row r="69" spans="1:21" x14ac:dyDescent="0.25">
      <c r="A69" s="5">
        <v>23770</v>
      </c>
      <c r="B69" s="9" t="s">
        <v>23</v>
      </c>
      <c r="C69" s="6">
        <v>44.479506999999998</v>
      </c>
      <c r="D69" s="6">
        <v>89.503371999999999</v>
      </c>
      <c r="E69" s="5">
        <v>1000</v>
      </c>
      <c r="F69" s="9" t="s">
        <v>42</v>
      </c>
      <c r="G69" s="4">
        <v>239.9</v>
      </c>
      <c r="H69" s="4">
        <f t="shared" si="10"/>
        <v>119.95</v>
      </c>
      <c r="I69" s="5">
        <v>120</v>
      </c>
      <c r="M69" s="5">
        <f t="shared" si="11"/>
        <v>215.91</v>
      </c>
      <c r="N69" s="5">
        <f t="shared" si="12"/>
        <v>191.92000000000002</v>
      </c>
      <c r="O69" s="5">
        <f t="shared" si="13"/>
        <v>167.93</v>
      </c>
      <c r="P69" s="5">
        <f t="shared" si="14"/>
        <v>143.94</v>
      </c>
      <c r="Q69" s="5">
        <f t="shared" si="15"/>
        <v>119.95</v>
      </c>
      <c r="R69" s="5">
        <f t="shared" si="16"/>
        <v>95.960000000000008</v>
      </c>
      <c r="S69" s="5">
        <f t="shared" si="17"/>
        <v>71.97</v>
      </c>
      <c r="T69" s="5">
        <f t="shared" si="18"/>
        <v>47.980000000000004</v>
      </c>
      <c r="U69" s="5">
        <f t="shared" si="19"/>
        <v>23.990000000000002</v>
      </c>
    </row>
    <row r="70" spans="1:21" x14ac:dyDescent="0.25">
      <c r="A70" s="5">
        <v>23776</v>
      </c>
      <c r="B70" s="9" t="s">
        <v>23</v>
      </c>
      <c r="C70" s="6">
        <v>44.414283300000001</v>
      </c>
      <c r="D70" s="6">
        <v>89.483651600000002</v>
      </c>
      <c r="F70" s="9" t="s">
        <v>42</v>
      </c>
      <c r="G70" s="4">
        <v>78.400000000000006</v>
      </c>
      <c r="H70" s="4">
        <f t="shared" si="10"/>
        <v>39.200000000000003</v>
      </c>
      <c r="I70" s="5">
        <v>90</v>
      </c>
      <c r="M70" s="5">
        <f t="shared" si="11"/>
        <v>70.56</v>
      </c>
      <c r="N70" s="5">
        <f t="shared" si="12"/>
        <v>62.720000000000006</v>
      </c>
      <c r="O70" s="5">
        <f t="shared" si="13"/>
        <v>54.88</v>
      </c>
      <c r="P70" s="5">
        <f t="shared" si="14"/>
        <v>47.04</v>
      </c>
      <c r="Q70" s="5">
        <f t="shared" si="15"/>
        <v>39.200000000000003</v>
      </c>
      <c r="R70" s="5">
        <f t="shared" si="16"/>
        <v>31.360000000000003</v>
      </c>
      <c r="S70" s="5">
        <f t="shared" si="17"/>
        <v>23.52</v>
      </c>
      <c r="T70" s="5">
        <f t="shared" si="18"/>
        <v>15.680000000000001</v>
      </c>
      <c r="U70" s="5">
        <f t="shared" si="19"/>
        <v>7.8400000000000007</v>
      </c>
    </row>
    <row r="71" spans="1:21" x14ac:dyDescent="0.25">
      <c r="A71" s="5">
        <v>23778</v>
      </c>
      <c r="B71" s="9" t="s">
        <v>23</v>
      </c>
      <c r="C71" s="6">
        <v>44.414176300000001</v>
      </c>
      <c r="D71" s="6">
        <v>89.513148900000004</v>
      </c>
      <c r="E71" s="5">
        <v>900</v>
      </c>
      <c r="F71" s="9" t="s">
        <v>42</v>
      </c>
      <c r="G71" s="4">
        <v>163.6</v>
      </c>
      <c r="H71" s="4">
        <f t="shared" si="10"/>
        <v>81.8</v>
      </c>
      <c r="I71" s="5">
        <v>120</v>
      </c>
      <c r="M71" s="5">
        <f t="shared" si="11"/>
        <v>147.24</v>
      </c>
      <c r="N71" s="5">
        <f t="shared" si="12"/>
        <v>130.88</v>
      </c>
      <c r="O71" s="5">
        <f t="shared" si="13"/>
        <v>114.51999999999998</v>
      </c>
      <c r="P71" s="5">
        <f t="shared" si="14"/>
        <v>98.16</v>
      </c>
      <c r="Q71" s="5">
        <f t="shared" si="15"/>
        <v>81.8</v>
      </c>
      <c r="R71" s="5">
        <f t="shared" si="16"/>
        <v>65.44</v>
      </c>
      <c r="S71" s="5">
        <f t="shared" si="17"/>
        <v>49.08</v>
      </c>
      <c r="T71" s="5">
        <f t="shared" si="18"/>
        <v>32.72</v>
      </c>
      <c r="U71" s="5">
        <f t="shared" si="19"/>
        <v>16.36</v>
      </c>
    </row>
    <row r="72" spans="1:21" x14ac:dyDescent="0.25">
      <c r="A72" s="5">
        <v>23781</v>
      </c>
      <c r="B72" s="9" t="s">
        <v>23</v>
      </c>
      <c r="C72" s="6">
        <v>44.501820000000002</v>
      </c>
      <c r="D72" s="6">
        <v>89.483401599999993</v>
      </c>
      <c r="E72" s="5">
        <v>1000</v>
      </c>
      <c r="F72" s="9" t="s">
        <v>42</v>
      </c>
      <c r="G72" s="4">
        <v>450.6</v>
      </c>
      <c r="H72" s="4">
        <f t="shared" si="10"/>
        <v>225.3</v>
      </c>
      <c r="I72" s="5">
        <v>90</v>
      </c>
      <c r="M72" s="5">
        <f t="shared" si="11"/>
        <v>405.54</v>
      </c>
      <c r="N72" s="5">
        <f t="shared" si="12"/>
        <v>360.48</v>
      </c>
      <c r="O72" s="5">
        <f t="shared" si="13"/>
        <v>315.42</v>
      </c>
      <c r="P72" s="5">
        <f t="shared" si="14"/>
        <v>270.36</v>
      </c>
      <c r="Q72" s="5">
        <f t="shared" si="15"/>
        <v>225.3</v>
      </c>
      <c r="R72" s="5">
        <f t="shared" si="16"/>
        <v>180.24</v>
      </c>
      <c r="S72" s="5">
        <f t="shared" si="17"/>
        <v>135.18</v>
      </c>
      <c r="T72" s="5">
        <f t="shared" si="18"/>
        <v>90.12</v>
      </c>
      <c r="U72" s="5">
        <f t="shared" si="19"/>
        <v>45.06</v>
      </c>
    </row>
    <row r="73" spans="1:21" x14ac:dyDescent="0.25">
      <c r="A73" s="5">
        <v>23790</v>
      </c>
      <c r="B73" s="9" t="s">
        <v>23</v>
      </c>
      <c r="C73" s="6">
        <v>44.439050000000002</v>
      </c>
      <c r="D73" s="6">
        <v>89.559200000000004</v>
      </c>
      <c r="E73" s="5">
        <v>1000</v>
      </c>
      <c r="F73" s="9" t="s">
        <v>42</v>
      </c>
      <c r="G73" s="4">
        <v>275.8</v>
      </c>
      <c r="H73" s="4">
        <f t="shared" si="10"/>
        <v>137.9</v>
      </c>
      <c r="I73" s="5">
        <v>120</v>
      </c>
      <c r="M73" s="5">
        <f t="shared" si="11"/>
        <v>248.22000000000003</v>
      </c>
      <c r="N73" s="5">
        <f t="shared" si="12"/>
        <v>220.64000000000001</v>
      </c>
      <c r="O73" s="5">
        <f t="shared" si="13"/>
        <v>193.06</v>
      </c>
      <c r="P73" s="5">
        <f t="shared" si="14"/>
        <v>165.48</v>
      </c>
      <c r="Q73" s="5">
        <f t="shared" si="15"/>
        <v>137.9</v>
      </c>
      <c r="R73" s="5">
        <f t="shared" si="16"/>
        <v>110.32000000000001</v>
      </c>
      <c r="S73" s="5">
        <f t="shared" si="17"/>
        <v>82.74</v>
      </c>
      <c r="T73" s="5">
        <f t="shared" si="18"/>
        <v>55.160000000000004</v>
      </c>
      <c r="U73" s="5">
        <f t="shared" si="19"/>
        <v>27.580000000000002</v>
      </c>
    </row>
    <row r="74" spans="1:21" x14ac:dyDescent="0.25">
      <c r="A74" s="5">
        <v>23791</v>
      </c>
      <c r="B74" s="9" t="s">
        <v>23</v>
      </c>
      <c r="C74" s="6">
        <v>44.434483299999997</v>
      </c>
      <c r="D74" s="6">
        <v>89.564266700000005</v>
      </c>
      <c r="E74" s="5">
        <v>1200</v>
      </c>
      <c r="F74" s="9" t="s">
        <v>42</v>
      </c>
      <c r="G74" s="4">
        <v>204.9</v>
      </c>
      <c r="H74" s="4">
        <f t="shared" si="10"/>
        <v>102.45</v>
      </c>
      <c r="I74" s="5">
        <v>120</v>
      </c>
      <c r="M74" s="5">
        <f t="shared" si="11"/>
        <v>184.41</v>
      </c>
      <c r="N74" s="5">
        <f t="shared" si="12"/>
        <v>163.92000000000002</v>
      </c>
      <c r="O74" s="5">
        <f t="shared" si="13"/>
        <v>143.43</v>
      </c>
      <c r="P74" s="5">
        <f t="shared" si="14"/>
        <v>122.94</v>
      </c>
      <c r="Q74" s="5">
        <f t="shared" si="15"/>
        <v>102.45</v>
      </c>
      <c r="R74" s="5">
        <f t="shared" si="16"/>
        <v>81.960000000000008</v>
      </c>
      <c r="S74" s="5">
        <f t="shared" si="17"/>
        <v>61.47</v>
      </c>
      <c r="T74" s="5">
        <f t="shared" si="18"/>
        <v>40.980000000000004</v>
      </c>
      <c r="U74" s="5">
        <f t="shared" si="19"/>
        <v>20.490000000000002</v>
      </c>
    </row>
    <row r="75" spans="1:21" x14ac:dyDescent="0.25">
      <c r="A75" s="5">
        <v>23794</v>
      </c>
      <c r="B75" s="9" t="s">
        <v>23</v>
      </c>
      <c r="C75" s="6">
        <v>44.486714999999997</v>
      </c>
      <c r="D75" s="6">
        <v>89.503474999999995</v>
      </c>
      <c r="F75" s="9" t="s">
        <v>42</v>
      </c>
      <c r="G75" s="4">
        <v>217.3</v>
      </c>
      <c r="H75" s="4">
        <f t="shared" si="10"/>
        <v>108.65</v>
      </c>
      <c r="I75" s="5">
        <v>150</v>
      </c>
      <c r="M75" s="5">
        <f t="shared" si="11"/>
        <v>195.57000000000002</v>
      </c>
      <c r="N75" s="5">
        <f t="shared" si="12"/>
        <v>173.84000000000003</v>
      </c>
      <c r="O75" s="5">
        <f t="shared" si="13"/>
        <v>152.10999999999999</v>
      </c>
      <c r="P75" s="5">
        <f t="shared" si="14"/>
        <v>130.38</v>
      </c>
      <c r="Q75" s="5">
        <f t="shared" si="15"/>
        <v>108.65</v>
      </c>
      <c r="R75" s="5">
        <f t="shared" si="16"/>
        <v>86.920000000000016</v>
      </c>
      <c r="S75" s="5">
        <f t="shared" si="17"/>
        <v>65.19</v>
      </c>
      <c r="T75" s="5">
        <f t="shared" si="18"/>
        <v>43.460000000000008</v>
      </c>
      <c r="U75" s="5">
        <f t="shared" si="19"/>
        <v>21.730000000000004</v>
      </c>
    </row>
    <row r="76" spans="1:21" x14ac:dyDescent="0.25">
      <c r="A76" s="5">
        <v>23795</v>
      </c>
      <c r="B76" s="9" t="s">
        <v>23</v>
      </c>
      <c r="C76" s="6">
        <v>44.406151000000001</v>
      </c>
      <c r="D76" s="6">
        <v>89.493066999999996</v>
      </c>
      <c r="E76" s="5">
        <v>1000</v>
      </c>
      <c r="F76" s="9" t="s">
        <v>42</v>
      </c>
      <c r="G76" s="4">
        <v>11</v>
      </c>
      <c r="H76" s="4">
        <f t="shared" si="10"/>
        <v>11</v>
      </c>
      <c r="I76" s="5">
        <v>90</v>
      </c>
      <c r="M76" s="5">
        <f t="shared" si="11"/>
        <v>11</v>
      </c>
      <c r="N76" s="5">
        <f t="shared" si="12"/>
        <v>11</v>
      </c>
      <c r="O76" s="5">
        <f t="shared" si="13"/>
        <v>11</v>
      </c>
      <c r="P76" s="5">
        <f t="shared" si="14"/>
        <v>11</v>
      </c>
      <c r="Q76" s="5">
        <f t="shared" si="15"/>
        <v>11</v>
      </c>
      <c r="R76" s="5">
        <f t="shared" si="16"/>
        <v>11</v>
      </c>
      <c r="S76" s="5">
        <f t="shared" si="17"/>
        <v>11</v>
      </c>
      <c r="T76" s="5">
        <f t="shared" si="18"/>
        <v>11</v>
      </c>
      <c r="U76" s="5">
        <f t="shared" si="19"/>
        <v>11</v>
      </c>
    </row>
    <row r="77" spans="1:21" x14ac:dyDescent="0.25">
      <c r="A77" s="5">
        <v>23798</v>
      </c>
      <c r="B77" s="9" t="s">
        <v>23</v>
      </c>
      <c r="C77" s="6">
        <v>44.433008299999997</v>
      </c>
      <c r="D77" s="6">
        <v>89.466738300000003</v>
      </c>
      <c r="E77" s="5">
        <v>1000</v>
      </c>
      <c r="F77" s="9" t="s">
        <v>42</v>
      </c>
      <c r="G77" s="4">
        <v>169.3</v>
      </c>
      <c r="H77" s="4">
        <f t="shared" si="10"/>
        <v>84.65</v>
      </c>
      <c r="I77" s="5">
        <v>90</v>
      </c>
      <c r="M77" s="5">
        <f t="shared" si="11"/>
        <v>152.37</v>
      </c>
      <c r="N77" s="5">
        <f t="shared" si="12"/>
        <v>135.44000000000003</v>
      </c>
      <c r="O77" s="5">
        <f t="shared" si="13"/>
        <v>118.51</v>
      </c>
      <c r="P77" s="5">
        <f t="shared" si="14"/>
        <v>101.58</v>
      </c>
      <c r="Q77" s="5">
        <f t="shared" si="15"/>
        <v>84.65</v>
      </c>
      <c r="R77" s="5">
        <f t="shared" si="16"/>
        <v>67.720000000000013</v>
      </c>
      <c r="S77" s="5">
        <f t="shared" si="17"/>
        <v>50.79</v>
      </c>
      <c r="T77" s="5">
        <f t="shared" si="18"/>
        <v>33.860000000000007</v>
      </c>
      <c r="U77" s="5">
        <f t="shared" si="19"/>
        <v>16.930000000000003</v>
      </c>
    </row>
    <row r="78" spans="1:21" x14ac:dyDescent="0.25">
      <c r="A78" s="5">
        <v>23800</v>
      </c>
      <c r="B78" s="9" t="s">
        <v>23</v>
      </c>
      <c r="C78" s="6">
        <v>44.493991000000001</v>
      </c>
      <c r="D78" s="6">
        <v>89.449590700000002</v>
      </c>
      <c r="E78" s="5">
        <v>1000</v>
      </c>
      <c r="F78" s="9" t="s">
        <v>42</v>
      </c>
      <c r="G78" s="4">
        <v>364</v>
      </c>
      <c r="H78" s="4">
        <f t="shared" si="10"/>
        <v>182</v>
      </c>
      <c r="I78" s="5">
        <v>90</v>
      </c>
      <c r="M78" s="5">
        <f t="shared" si="11"/>
        <v>327.60000000000002</v>
      </c>
      <c r="N78" s="5">
        <f t="shared" si="12"/>
        <v>291.2</v>
      </c>
      <c r="O78" s="5">
        <f t="shared" si="13"/>
        <v>254.79999999999998</v>
      </c>
      <c r="P78" s="5">
        <f t="shared" si="14"/>
        <v>218.4</v>
      </c>
      <c r="Q78" s="5">
        <f t="shared" si="15"/>
        <v>182</v>
      </c>
      <c r="R78" s="5">
        <f t="shared" si="16"/>
        <v>145.6</v>
      </c>
      <c r="S78" s="5">
        <f t="shared" si="17"/>
        <v>109.2</v>
      </c>
      <c r="T78" s="5">
        <f t="shared" si="18"/>
        <v>72.8</v>
      </c>
      <c r="U78" s="5">
        <f t="shared" si="19"/>
        <v>36.4</v>
      </c>
    </row>
    <row r="79" spans="1:21" x14ac:dyDescent="0.25">
      <c r="A79" s="5">
        <v>23807</v>
      </c>
      <c r="B79" s="9" t="s">
        <v>23</v>
      </c>
      <c r="C79" s="6">
        <v>44.407593300000002</v>
      </c>
      <c r="D79" s="6">
        <v>89.454351799999998</v>
      </c>
      <c r="F79" s="9" t="s">
        <v>42</v>
      </c>
      <c r="G79" s="4">
        <v>128.5</v>
      </c>
      <c r="H79" s="4">
        <f t="shared" si="10"/>
        <v>64.25</v>
      </c>
      <c r="I79" s="5">
        <v>90</v>
      </c>
      <c r="M79" s="5">
        <f t="shared" si="11"/>
        <v>115.65</v>
      </c>
      <c r="N79" s="5">
        <f t="shared" si="12"/>
        <v>102.80000000000001</v>
      </c>
      <c r="O79" s="5">
        <f t="shared" si="13"/>
        <v>89.949999999999989</v>
      </c>
      <c r="P79" s="5">
        <f t="shared" si="14"/>
        <v>77.099999999999994</v>
      </c>
      <c r="Q79" s="5">
        <f t="shared" si="15"/>
        <v>64.25</v>
      </c>
      <c r="R79" s="5">
        <f t="shared" si="16"/>
        <v>51.400000000000006</v>
      </c>
      <c r="S79" s="5">
        <f t="shared" si="17"/>
        <v>38.549999999999997</v>
      </c>
      <c r="T79" s="5">
        <f t="shared" si="18"/>
        <v>25.700000000000003</v>
      </c>
      <c r="U79" s="5">
        <f t="shared" si="19"/>
        <v>12.850000000000001</v>
      </c>
    </row>
    <row r="80" spans="1:21" x14ac:dyDescent="0.25">
      <c r="A80" s="5">
        <v>23816</v>
      </c>
      <c r="B80" s="9" t="s">
        <v>23</v>
      </c>
      <c r="C80" s="6">
        <v>44.461266700000003</v>
      </c>
      <c r="D80" s="6">
        <v>89.503349999999998</v>
      </c>
      <c r="F80" s="9" t="s">
        <v>42</v>
      </c>
      <c r="G80" s="4">
        <v>149.4</v>
      </c>
      <c r="H80" s="4">
        <f t="shared" si="10"/>
        <v>74.7</v>
      </c>
      <c r="I80" s="5">
        <v>150</v>
      </c>
      <c r="M80" s="5">
        <f t="shared" si="11"/>
        <v>134.46</v>
      </c>
      <c r="N80" s="5">
        <f t="shared" si="12"/>
        <v>119.52000000000001</v>
      </c>
      <c r="O80" s="5">
        <f t="shared" si="13"/>
        <v>104.58</v>
      </c>
      <c r="P80" s="5">
        <f t="shared" si="14"/>
        <v>89.64</v>
      </c>
      <c r="Q80" s="5">
        <f t="shared" si="15"/>
        <v>74.7</v>
      </c>
      <c r="R80" s="5">
        <f t="shared" si="16"/>
        <v>59.760000000000005</v>
      </c>
      <c r="S80" s="5">
        <f t="shared" si="17"/>
        <v>44.82</v>
      </c>
      <c r="T80" s="5">
        <f t="shared" si="18"/>
        <v>29.880000000000003</v>
      </c>
      <c r="U80" s="5">
        <f t="shared" si="19"/>
        <v>14.940000000000001</v>
      </c>
    </row>
    <row r="81" spans="1:21" x14ac:dyDescent="0.25">
      <c r="A81" s="5">
        <v>23818</v>
      </c>
      <c r="B81" s="9" t="s">
        <v>23</v>
      </c>
      <c r="C81" s="6">
        <v>44.390599999999999</v>
      </c>
      <c r="D81" s="6">
        <v>89.441800000000001</v>
      </c>
      <c r="E81" s="5">
        <v>1200</v>
      </c>
      <c r="F81" s="9" t="s">
        <v>42</v>
      </c>
      <c r="G81" s="4">
        <v>282.60000000000002</v>
      </c>
      <c r="H81" s="4">
        <f t="shared" si="10"/>
        <v>141.30000000000001</v>
      </c>
      <c r="I81" s="5">
        <v>90</v>
      </c>
      <c r="M81" s="5">
        <f t="shared" si="11"/>
        <v>254.34000000000003</v>
      </c>
      <c r="N81" s="5">
        <f t="shared" si="12"/>
        <v>226.08000000000004</v>
      </c>
      <c r="O81" s="5">
        <f t="shared" si="13"/>
        <v>197.82</v>
      </c>
      <c r="P81" s="5">
        <f t="shared" si="14"/>
        <v>169.56</v>
      </c>
      <c r="Q81" s="5">
        <f t="shared" si="15"/>
        <v>141.30000000000001</v>
      </c>
      <c r="R81" s="5">
        <f t="shared" si="16"/>
        <v>113.04000000000002</v>
      </c>
      <c r="S81" s="5">
        <f t="shared" si="17"/>
        <v>84.78</v>
      </c>
      <c r="T81" s="5">
        <f t="shared" si="18"/>
        <v>56.52000000000001</v>
      </c>
      <c r="U81" s="5">
        <f t="shared" si="19"/>
        <v>28.260000000000005</v>
      </c>
    </row>
    <row r="82" spans="1:21" x14ac:dyDescent="0.25">
      <c r="A82" s="5">
        <v>23820</v>
      </c>
      <c r="B82" s="9" t="s">
        <v>23</v>
      </c>
      <c r="C82" s="6">
        <v>44.412088400000002</v>
      </c>
      <c r="D82" s="6">
        <v>89.525923300000002</v>
      </c>
      <c r="F82" s="9" t="s">
        <v>42</v>
      </c>
      <c r="G82" s="4">
        <v>86.9</v>
      </c>
      <c r="H82" s="4">
        <f t="shared" si="10"/>
        <v>43.45</v>
      </c>
      <c r="I82" s="5">
        <v>120</v>
      </c>
      <c r="M82" s="5">
        <f t="shared" si="11"/>
        <v>78.210000000000008</v>
      </c>
      <c r="N82" s="5">
        <f t="shared" si="12"/>
        <v>69.52000000000001</v>
      </c>
      <c r="O82" s="5">
        <f t="shared" si="13"/>
        <v>60.83</v>
      </c>
      <c r="P82" s="5">
        <f t="shared" si="14"/>
        <v>52.14</v>
      </c>
      <c r="Q82" s="5">
        <f t="shared" si="15"/>
        <v>43.45</v>
      </c>
      <c r="R82" s="5">
        <f t="shared" si="16"/>
        <v>34.760000000000005</v>
      </c>
      <c r="S82" s="5">
        <f t="shared" si="17"/>
        <v>26.07</v>
      </c>
      <c r="T82" s="5">
        <f t="shared" si="18"/>
        <v>17.380000000000003</v>
      </c>
      <c r="U82" s="5">
        <f t="shared" si="19"/>
        <v>8.6900000000000013</v>
      </c>
    </row>
    <row r="83" spans="1:21" x14ac:dyDescent="0.25">
      <c r="A83" s="5">
        <v>23823</v>
      </c>
      <c r="B83" s="9" t="s">
        <v>23</v>
      </c>
      <c r="C83" s="6">
        <v>44.431755000000003</v>
      </c>
      <c r="D83" s="6">
        <v>89.553906799999993</v>
      </c>
      <c r="E83" s="5">
        <v>1000</v>
      </c>
      <c r="F83" s="9" t="s">
        <v>42</v>
      </c>
      <c r="G83" s="4">
        <v>25.8</v>
      </c>
      <c r="H83" s="4">
        <f t="shared" si="10"/>
        <v>25.8</v>
      </c>
      <c r="I83" s="5">
        <v>120</v>
      </c>
      <c r="M83" s="5">
        <f t="shared" si="11"/>
        <v>25.8</v>
      </c>
      <c r="N83" s="5">
        <f t="shared" si="12"/>
        <v>25.8</v>
      </c>
      <c r="O83" s="5">
        <f t="shared" si="13"/>
        <v>25.8</v>
      </c>
      <c r="P83" s="5">
        <f t="shared" si="14"/>
        <v>25.8</v>
      </c>
      <c r="Q83" s="5">
        <f t="shared" si="15"/>
        <v>25.8</v>
      </c>
      <c r="R83" s="5">
        <f t="shared" si="16"/>
        <v>25.8</v>
      </c>
      <c r="S83" s="5">
        <f t="shared" si="17"/>
        <v>25.8</v>
      </c>
      <c r="T83" s="5">
        <f t="shared" si="18"/>
        <v>25.8</v>
      </c>
      <c r="U83" s="5">
        <f t="shared" si="19"/>
        <v>25.8</v>
      </c>
    </row>
    <row r="84" spans="1:21" x14ac:dyDescent="0.25">
      <c r="A84" s="5">
        <v>23836</v>
      </c>
      <c r="B84" s="9" t="s">
        <v>23</v>
      </c>
      <c r="C84" s="6">
        <v>44.4562691</v>
      </c>
      <c r="D84" s="6">
        <v>89.490739700000006</v>
      </c>
      <c r="E84" s="5">
        <v>1200</v>
      </c>
      <c r="F84" s="9" t="s">
        <v>51</v>
      </c>
      <c r="G84" s="4">
        <v>568.6</v>
      </c>
      <c r="H84" s="4">
        <f t="shared" si="10"/>
        <v>284.3</v>
      </c>
      <c r="I84" s="5">
        <v>120</v>
      </c>
      <c r="M84" s="5">
        <f t="shared" si="11"/>
        <v>511.74</v>
      </c>
      <c r="N84" s="5">
        <f t="shared" si="12"/>
        <v>454.88000000000005</v>
      </c>
      <c r="O84" s="5">
        <f t="shared" si="13"/>
        <v>398.02</v>
      </c>
      <c r="P84" s="5">
        <f t="shared" si="14"/>
        <v>341.16</v>
      </c>
      <c r="Q84" s="5">
        <f t="shared" si="15"/>
        <v>284.3</v>
      </c>
      <c r="R84" s="5">
        <f t="shared" si="16"/>
        <v>227.44000000000003</v>
      </c>
      <c r="S84" s="5">
        <f t="shared" si="17"/>
        <v>170.58</v>
      </c>
      <c r="T84" s="5">
        <f t="shared" si="18"/>
        <v>113.72000000000001</v>
      </c>
      <c r="U84" s="5">
        <f t="shared" si="19"/>
        <v>56.860000000000007</v>
      </c>
    </row>
    <row r="85" spans="1:21" x14ac:dyDescent="0.25">
      <c r="A85" s="5">
        <v>23837</v>
      </c>
      <c r="B85" s="9" t="s">
        <v>23</v>
      </c>
      <c r="C85" s="6">
        <v>44.450016699999999</v>
      </c>
      <c r="D85" s="6">
        <v>89.482133300000001</v>
      </c>
      <c r="E85" s="5">
        <v>1000</v>
      </c>
      <c r="F85" s="9" t="s">
        <v>42</v>
      </c>
      <c r="G85" s="4">
        <v>241.7</v>
      </c>
      <c r="H85" s="4">
        <f t="shared" si="10"/>
        <v>120.85</v>
      </c>
      <c r="I85" s="5">
        <v>120</v>
      </c>
      <c r="M85" s="5">
        <f t="shared" si="11"/>
        <v>217.53</v>
      </c>
      <c r="N85" s="5">
        <f t="shared" si="12"/>
        <v>193.36</v>
      </c>
      <c r="O85" s="5">
        <f t="shared" si="13"/>
        <v>169.18999999999997</v>
      </c>
      <c r="P85" s="5">
        <f t="shared" si="14"/>
        <v>145.01999999999998</v>
      </c>
      <c r="Q85" s="5">
        <f t="shared" si="15"/>
        <v>120.85</v>
      </c>
      <c r="R85" s="5">
        <f t="shared" si="16"/>
        <v>96.68</v>
      </c>
      <c r="S85" s="5">
        <f t="shared" si="17"/>
        <v>72.509999999999991</v>
      </c>
      <c r="T85" s="5">
        <f t="shared" si="18"/>
        <v>48.34</v>
      </c>
      <c r="U85" s="5">
        <f t="shared" si="19"/>
        <v>24.17</v>
      </c>
    </row>
    <row r="86" spans="1:21" x14ac:dyDescent="0.25">
      <c r="A86" s="5">
        <v>23846</v>
      </c>
      <c r="B86" s="9" t="s">
        <v>23</v>
      </c>
      <c r="C86" s="6">
        <v>44.528979999999997</v>
      </c>
      <c r="D86" s="6">
        <v>89.461181699999997</v>
      </c>
      <c r="E86" s="5">
        <v>1000</v>
      </c>
      <c r="F86" s="9" t="s">
        <v>42</v>
      </c>
      <c r="G86" s="4">
        <v>291.7</v>
      </c>
      <c r="H86" s="4">
        <f t="shared" si="10"/>
        <v>145.85</v>
      </c>
      <c r="I86" s="5">
        <v>90</v>
      </c>
      <c r="M86" s="5">
        <f t="shared" si="11"/>
        <v>262.52999999999997</v>
      </c>
      <c r="N86" s="5">
        <f t="shared" si="12"/>
        <v>233.36</v>
      </c>
      <c r="O86" s="5">
        <f t="shared" si="13"/>
        <v>204.18999999999997</v>
      </c>
      <c r="P86" s="5">
        <f t="shared" si="14"/>
        <v>175.01999999999998</v>
      </c>
      <c r="Q86" s="5">
        <f t="shared" si="15"/>
        <v>145.85</v>
      </c>
      <c r="R86" s="5">
        <f t="shared" si="16"/>
        <v>116.68</v>
      </c>
      <c r="S86" s="5">
        <f t="shared" si="17"/>
        <v>87.509999999999991</v>
      </c>
      <c r="T86" s="5">
        <f t="shared" si="18"/>
        <v>58.34</v>
      </c>
      <c r="U86" s="5">
        <f t="shared" si="19"/>
        <v>29.17</v>
      </c>
    </row>
    <row r="87" spans="1:21" x14ac:dyDescent="0.25">
      <c r="A87" s="5">
        <v>23847</v>
      </c>
      <c r="B87" s="9" t="s">
        <v>23</v>
      </c>
      <c r="C87" s="6">
        <v>44.507991699999998</v>
      </c>
      <c r="D87" s="6">
        <v>89.472304899999997</v>
      </c>
      <c r="E87" s="5">
        <v>1000</v>
      </c>
      <c r="F87" s="9" t="s">
        <v>42</v>
      </c>
      <c r="G87" s="4">
        <v>187</v>
      </c>
      <c r="H87" s="4">
        <f t="shared" si="10"/>
        <v>93.5</v>
      </c>
      <c r="I87" s="5">
        <v>120</v>
      </c>
      <c r="M87" s="5">
        <f t="shared" si="11"/>
        <v>168.3</v>
      </c>
      <c r="N87" s="5">
        <f t="shared" si="12"/>
        <v>149.6</v>
      </c>
      <c r="O87" s="5">
        <f t="shared" si="13"/>
        <v>130.9</v>
      </c>
      <c r="P87" s="5">
        <f t="shared" si="14"/>
        <v>112.2</v>
      </c>
      <c r="Q87" s="5">
        <f t="shared" si="15"/>
        <v>93.5</v>
      </c>
      <c r="R87" s="5">
        <f t="shared" si="16"/>
        <v>74.8</v>
      </c>
      <c r="S87" s="5">
        <f t="shared" si="17"/>
        <v>56.1</v>
      </c>
      <c r="T87" s="5">
        <f t="shared" si="18"/>
        <v>37.4</v>
      </c>
      <c r="U87" s="5">
        <f t="shared" si="19"/>
        <v>18.7</v>
      </c>
    </row>
    <row r="88" spans="1:21" x14ac:dyDescent="0.25">
      <c r="A88" s="5">
        <v>23848</v>
      </c>
      <c r="B88" s="9" t="s">
        <v>23</v>
      </c>
      <c r="C88" s="6">
        <v>44.5109967</v>
      </c>
      <c r="D88" s="6">
        <v>89.461978299999998</v>
      </c>
      <c r="E88" s="5">
        <v>1500</v>
      </c>
      <c r="F88" s="9" t="s">
        <v>42</v>
      </c>
      <c r="G88" s="4">
        <v>289.7</v>
      </c>
      <c r="H88" s="4">
        <f t="shared" si="10"/>
        <v>144.85</v>
      </c>
      <c r="I88" s="5">
        <v>90</v>
      </c>
      <c r="M88" s="5">
        <f t="shared" si="11"/>
        <v>260.73</v>
      </c>
      <c r="N88" s="5">
        <f t="shared" si="12"/>
        <v>231.76</v>
      </c>
      <c r="O88" s="5">
        <f t="shared" si="13"/>
        <v>202.79</v>
      </c>
      <c r="P88" s="5">
        <f t="shared" si="14"/>
        <v>173.82</v>
      </c>
      <c r="Q88" s="5">
        <f t="shared" si="15"/>
        <v>144.85</v>
      </c>
      <c r="R88" s="5">
        <f t="shared" si="16"/>
        <v>115.88</v>
      </c>
      <c r="S88" s="5">
        <f t="shared" si="17"/>
        <v>86.91</v>
      </c>
      <c r="T88" s="5">
        <f t="shared" si="18"/>
        <v>57.94</v>
      </c>
      <c r="U88" s="5">
        <f t="shared" si="19"/>
        <v>28.97</v>
      </c>
    </row>
    <row r="89" spans="1:21" x14ac:dyDescent="0.25">
      <c r="A89" s="5">
        <v>23851</v>
      </c>
      <c r="B89" s="9" t="s">
        <v>23</v>
      </c>
      <c r="C89" s="6">
        <v>44.448758499999997</v>
      </c>
      <c r="D89" s="6">
        <v>89.495876100000004</v>
      </c>
      <c r="F89" s="9" t="s">
        <v>36</v>
      </c>
      <c r="G89" s="4">
        <v>248.4</v>
      </c>
      <c r="H89" s="4">
        <f t="shared" si="10"/>
        <v>124.2</v>
      </c>
      <c r="I89" s="5">
        <v>150</v>
      </c>
      <c r="M89" s="5">
        <f t="shared" si="11"/>
        <v>223.56</v>
      </c>
      <c r="N89" s="5">
        <f t="shared" si="12"/>
        <v>198.72000000000003</v>
      </c>
      <c r="O89" s="5">
        <f t="shared" si="13"/>
        <v>173.88</v>
      </c>
      <c r="P89" s="5">
        <f t="shared" si="14"/>
        <v>149.04</v>
      </c>
      <c r="Q89" s="5">
        <f t="shared" si="15"/>
        <v>124.2</v>
      </c>
      <c r="R89" s="5">
        <f t="shared" si="16"/>
        <v>99.360000000000014</v>
      </c>
      <c r="S89" s="5">
        <f t="shared" si="17"/>
        <v>74.52</v>
      </c>
      <c r="T89" s="5">
        <f t="shared" si="18"/>
        <v>49.680000000000007</v>
      </c>
      <c r="U89" s="5">
        <f t="shared" si="19"/>
        <v>24.840000000000003</v>
      </c>
    </row>
    <row r="90" spans="1:21" x14ac:dyDescent="0.25">
      <c r="A90" s="5">
        <v>23864</v>
      </c>
      <c r="B90" s="9" t="s">
        <v>23</v>
      </c>
      <c r="C90" s="6">
        <v>44.425908</v>
      </c>
      <c r="D90" s="6">
        <v>89.446371999999997</v>
      </c>
      <c r="F90" s="9" t="s">
        <v>42</v>
      </c>
      <c r="G90" s="4">
        <v>1133.7</v>
      </c>
      <c r="H90" s="4">
        <f t="shared" si="10"/>
        <v>566.85</v>
      </c>
      <c r="I90" s="5">
        <v>90</v>
      </c>
      <c r="M90" s="5">
        <f t="shared" si="11"/>
        <v>1020.33</v>
      </c>
      <c r="N90" s="5">
        <f t="shared" si="12"/>
        <v>906.96</v>
      </c>
      <c r="O90" s="5">
        <f t="shared" si="13"/>
        <v>793.59</v>
      </c>
      <c r="P90" s="5">
        <f t="shared" si="14"/>
        <v>680.22</v>
      </c>
      <c r="Q90" s="5">
        <f t="shared" si="15"/>
        <v>566.85</v>
      </c>
      <c r="R90" s="5">
        <f t="shared" si="16"/>
        <v>453.48</v>
      </c>
      <c r="S90" s="5">
        <f t="shared" si="17"/>
        <v>340.11</v>
      </c>
      <c r="T90" s="5">
        <f t="shared" si="18"/>
        <v>226.74</v>
      </c>
      <c r="U90" s="5">
        <f t="shared" si="19"/>
        <v>113.37</v>
      </c>
    </row>
    <row r="91" spans="1:21" x14ac:dyDescent="0.25">
      <c r="A91" s="5">
        <v>23865</v>
      </c>
      <c r="B91" s="9" t="s">
        <v>23</v>
      </c>
      <c r="C91" s="6">
        <v>44.421295000000001</v>
      </c>
      <c r="D91" s="6">
        <v>89.513731000000007</v>
      </c>
      <c r="F91" s="9" t="s">
        <v>42</v>
      </c>
      <c r="G91" s="4">
        <v>267</v>
      </c>
      <c r="H91" s="4">
        <f t="shared" si="10"/>
        <v>133.5</v>
      </c>
      <c r="I91" s="5">
        <v>150</v>
      </c>
      <c r="M91" s="5">
        <f t="shared" si="11"/>
        <v>240.3</v>
      </c>
      <c r="N91" s="5">
        <f t="shared" si="12"/>
        <v>213.60000000000002</v>
      </c>
      <c r="O91" s="5">
        <f t="shared" si="13"/>
        <v>186.89999999999998</v>
      </c>
      <c r="P91" s="5">
        <f t="shared" si="14"/>
        <v>160.19999999999999</v>
      </c>
      <c r="Q91" s="5">
        <f t="shared" si="15"/>
        <v>133.5</v>
      </c>
      <c r="R91" s="5">
        <f t="shared" si="16"/>
        <v>106.80000000000001</v>
      </c>
      <c r="S91" s="5">
        <f t="shared" si="17"/>
        <v>80.099999999999994</v>
      </c>
      <c r="T91" s="5">
        <f t="shared" si="18"/>
        <v>53.400000000000006</v>
      </c>
      <c r="U91" s="5">
        <f t="shared" si="19"/>
        <v>26.700000000000003</v>
      </c>
    </row>
    <row r="92" spans="1:21" x14ac:dyDescent="0.25">
      <c r="A92" s="5">
        <v>23866</v>
      </c>
      <c r="B92" s="9" t="s">
        <v>23</v>
      </c>
      <c r="C92" s="6">
        <v>44.412714999999999</v>
      </c>
      <c r="D92" s="6">
        <v>89.446856999999994</v>
      </c>
      <c r="E92" s="5">
        <v>1200</v>
      </c>
      <c r="F92" s="9" t="s">
        <v>42</v>
      </c>
      <c r="G92" s="4">
        <v>177.7</v>
      </c>
      <c r="H92" s="4">
        <f t="shared" si="10"/>
        <v>88.85</v>
      </c>
      <c r="I92" s="5">
        <v>120</v>
      </c>
      <c r="M92" s="5">
        <f t="shared" si="11"/>
        <v>159.93</v>
      </c>
      <c r="N92" s="5">
        <f t="shared" si="12"/>
        <v>142.16</v>
      </c>
      <c r="O92" s="5">
        <f t="shared" si="13"/>
        <v>124.38999999999999</v>
      </c>
      <c r="P92" s="5">
        <f t="shared" si="14"/>
        <v>106.61999999999999</v>
      </c>
      <c r="Q92" s="5">
        <f t="shared" si="15"/>
        <v>88.85</v>
      </c>
      <c r="R92" s="5">
        <f t="shared" si="16"/>
        <v>71.08</v>
      </c>
      <c r="S92" s="5">
        <f t="shared" si="17"/>
        <v>53.309999999999995</v>
      </c>
      <c r="T92" s="5">
        <f t="shared" si="18"/>
        <v>35.54</v>
      </c>
      <c r="U92" s="5">
        <f t="shared" si="19"/>
        <v>17.77</v>
      </c>
    </row>
    <row r="93" spans="1:21" x14ac:dyDescent="0.25">
      <c r="A93" s="5">
        <v>23867</v>
      </c>
      <c r="B93" s="9" t="s">
        <v>23</v>
      </c>
      <c r="C93" s="6">
        <v>44.5628156</v>
      </c>
      <c r="D93" s="6">
        <v>89.4487697</v>
      </c>
      <c r="E93" s="5">
        <v>1000</v>
      </c>
      <c r="F93" s="9" t="s">
        <v>42</v>
      </c>
      <c r="G93" s="4">
        <v>330.2</v>
      </c>
      <c r="H93" s="4">
        <f t="shared" si="10"/>
        <v>165.1</v>
      </c>
      <c r="I93" s="5">
        <v>90</v>
      </c>
      <c r="M93" s="5">
        <f t="shared" si="11"/>
        <v>297.18</v>
      </c>
      <c r="N93" s="5">
        <f t="shared" si="12"/>
        <v>264.16000000000003</v>
      </c>
      <c r="O93" s="5">
        <f t="shared" si="13"/>
        <v>231.14</v>
      </c>
      <c r="P93" s="5">
        <f t="shared" si="14"/>
        <v>198.11999999999998</v>
      </c>
      <c r="Q93" s="5">
        <f t="shared" si="15"/>
        <v>165.1</v>
      </c>
      <c r="R93" s="5">
        <f t="shared" si="16"/>
        <v>132.08000000000001</v>
      </c>
      <c r="S93" s="5">
        <f t="shared" si="17"/>
        <v>99.059999999999988</v>
      </c>
      <c r="T93" s="5">
        <f t="shared" si="18"/>
        <v>66.040000000000006</v>
      </c>
      <c r="U93" s="5">
        <f t="shared" si="19"/>
        <v>33.020000000000003</v>
      </c>
    </row>
    <row r="94" spans="1:21" x14ac:dyDescent="0.25">
      <c r="A94" s="5">
        <v>23868</v>
      </c>
      <c r="B94" s="9" t="s">
        <v>23</v>
      </c>
      <c r="C94" s="6">
        <v>44.557575</v>
      </c>
      <c r="D94" s="6">
        <v>89.450743000000003</v>
      </c>
      <c r="E94" s="5">
        <v>1200</v>
      </c>
      <c r="F94" s="9" t="s">
        <v>42</v>
      </c>
      <c r="G94" s="4">
        <v>416.5</v>
      </c>
      <c r="H94" s="4">
        <f t="shared" si="10"/>
        <v>208.25</v>
      </c>
      <c r="I94" s="5">
        <v>90</v>
      </c>
      <c r="M94" s="5">
        <f t="shared" si="11"/>
        <v>374.85</v>
      </c>
      <c r="N94" s="5">
        <f t="shared" si="12"/>
        <v>333.20000000000005</v>
      </c>
      <c r="O94" s="5">
        <f t="shared" si="13"/>
        <v>291.54999999999995</v>
      </c>
      <c r="P94" s="5">
        <f t="shared" si="14"/>
        <v>249.89999999999998</v>
      </c>
      <c r="Q94" s="5">
        <f t="shared" si="15"/>
        <v>208.25</v>
      </c>
      <c r="R94" s="5">
        <f t="shared" si="16"/>
        <v>166.60000000000002</v>
      </c>
      <c r="S94" s="5">
        <f t="shared" si="17"/>
        <v>124.94999999999999</v>
      </c>
      <c r="T94" s="5">
        <f t="shared" si="18"/>
        <v>83.300000000000011</v>
      </c>
      <c r="U94" s="5">
        <f t="shared" si="19"/>
        <v>41.650000000000006</v>
      </c>
    </row>
    <row r="95" spans="1:21" x14ac:dyDescent="0.25">
      <c r="A95" s="5">
        <v>23869</v>
      </c>
      <c r="B95" s="9" t="s">
        <v>23</v>
      </c>
      <c r="C95" s="6">
        <v>44.559607999999997</v>
      </c>
      <c r="D95" s="6">
        <v>89.440618000000001</v>
      </c>
      <c r="E95" s="5">
        <v>1200</v>
      </c>
      <c r="F95" s="9" t="s">
        <v>42</v>
      </c>
      <c r="G95" s="4">
        <v>168.1</v>
      </c>
      <c r="H95" s="4">
        <f t="shared" si="10"/>
        <v>84.05</v>
      </c>
      <c r="I95" s="5">
        <v>90</v>
      </c>
      <c r="M95" s="5">
        <f t="shared" si="11"/>
        <v>151.29</v>
      </c>
      <c r="N95" s="5">
        <f t="shared" si="12"/>
        <v>134.47999999999999</v>
      </c>
      <c r="O95" s="5">
        <f t="shared" si="13"/>
        <v>117.66999999999999</v>
      </c>
      <c r="P95" s="5">
        <f t="shared" si="14"/>
        <v>100.86</v>
      </c>
      <c r="Q95" s="5">
        <f t="shared" si="15"/>
        <v>84.05</v>
      </c>
      <c r="R95" s="5">
        <f t="shared" si="16"/>
        <v>67.239999999999995</v>
      </c>
      <c r="S95" s="5">
        <f t="shared" si="17"/>
        <v>50.43</v>
      </c>
      <c r="T95" s="5">
        <f t="shared" si="18"/>
        <v>33.619999999999997</v>
      </c>
      <c r="U95" s="5">
        <f t="shared" si="19"/>
        <v>16.809999999999999</v>
      </c>
    </row>
    <row r="96" spans="1:21" x14ac:dyDescent="0.25">
      <c r="A96" s="5">
        <v>23870</v>
      </c>
      <c r="B96" s="9" t="s">
        <v>23</v>
      </c>
      <c r="C96" s="6">
        <v>44.556730000000002</v>
      </c>
      <c r="D96" s="6">
        <v>89.440357000000006</v>
      </c>
      <c r="E96" s="5">
        <v>1200</v>
      </c>
      <c r="F96" s="9" t="s">
        <v>42</v>
      </c>
      <c r="G96" s="4">
        <v>205</v>
      </c>
      <c r="H96" s="4">
        <f t="shared" si="10"/>
        <v>102.5</v>
      </c>
      <c r="I96" s="5">
        <v>90</v>
      </c>
      <c r="M96" s="5">
        <f t="shared" si="11"/>
        <v>184.5</v>
      </c>
      <c r="N96" s="5">
        <f t="shared" si="12"/>
        <v>164</v>
      </c>
      <c r="O96" s="5">
        <f t="shared" si="13"/>
        <v>143.5</v>
      </c>
      <c r="P96" s="5">
        <f t="shared" si="14"/>
        <v>123</v>
      </c>
      <c r="Q96" s="5">
        <f t="shared" si="15"/>
        <v>102.5</v>
      </c>
      <c r="R96" s="5">
        <f t="shared" si="16"/>
        <v>82</v>
      </c>
      <c r="S96" s="5">
        <f t="shared" si="17"/>
        <v>61.5</v>
      </c>
      <c r="T96" s="5">
        <f t="shared" si="18"/>
        <v>41</v>
      </c>
      <c r="U96" s="5">
        <f t="shared" si="19"/>
        <v>20.5</v>
      </c>
    </row>
    <row r="97" spans="1:21" x14ac:dyDescent="0.25">
      <c r="A97" s="5">
        <v>23876</v>
      </c>
      <c r="B97" s="9" t="s">
        <v>23</v>
      </c>
      <c r="C97" s="6">
        <v>44.483603000000002</v>
      </c>
      <c r="D97" s="6">
        <v>89.492086</v>
      </c>
      <c r="E97" s="5">
        <v>1000</v>
      </c>
      <c r="F97" s="9" t="s">
        <v>42</v>
      </c>
      <c r="G97" s="4">
        <v>197.6</v>
      </c>
      <c r="H97" s="4">
        <f t="shared" si="10"/>
        <v>98.8</v>
      </c>
      <c r="I97" s="5">
        <v>150</v>
      </c>
      <c r="M97" s="5">
        <f t="shared" si="11"/>
        <v>177.84</v>
      </c>
      <c r="N97" s="5">
        <f t="shared" si="12"/>
        <v>158.08000000000001</v>
      </c>
      <c r="O97" s="5">
        <f t="shared" si="13"/>
        <v>138.32</v>
      </c>
      <c r="P97" s="5">
        <f t="shared" si="14"/>
        <v>118.55999999999999</v>
      </c>
      <c r="Q97" s="5">
        <f t="shared" si="15"/>
        <v>98.8</v>
      </c>
      <c r="R97" s="5">
        <f t="shared" si="16"/>
        <v>79.040000000000006</v>
      </c>
      <c r="S97" s="5">
        <f t="shared" si="17"/>
        <v>59.279999999999994</v>
      </c>
      <c r="T97" s="5">
        <f t="shared" si="18"/>
        <v>39.520000000000003</v>
      </c>
      <c r="U97" s="5">
        <f t="shared" si="19"/>
        <v>19.760000000000002</v>
      </c>
    </row>
    <row r="98" spans="1:21" x14ac:dyDescent="0.25">
      <c r="A98" s="5">
        <v>23881</v>
      </c>
      <c r="B98" s="9" t="s">
        <v>23</v>
      </c>
      <c r="C98" s="6">
        <v>44.501106700000001</v>
      </c>
      <c r="D98" s="6">
        <v>89.509276700000001</v>
      </c>
      <c r="E98" s="5">
        <v>1200</v>
      </c>
      <c r="F98" s="9" t="s">
        <v>38</v>
      </c>
      <c r="G98" s="4">
        <v>131</v>
      </c>
      <c r="H98" s="4">
        <f t="shared" si="10"/>
        <v>65.5</v>
      </c>
      <c r="I98" s="5">
        <v>120</v>
      </c>
      <c r="M98" s="5">
        <f t="shared" si="11"/>
        <v>117.9</v>
      </c>
      <c r="N98" s="5">
        <f t="shared" si="12"/>
        <v>104.80000000000001</v>
      </c>
      <c r="O98" s="5">
        <f t="shared" si="13"/>
        <v>91.699999999999989</v>
      </c>
      <c r="P98" s="5">
        <f t="shared" si="14"/>
        <v>78.599999999999994</v>
      </c>
      <c r="Q98" s="5">
        <f t="shared" si="15"/>
        <v>65.5</v>
      </c>
      <c r="R98" s="5">
        <f t="shared" si="16"/>
        <v>52.400000000000006</v>
      </c>
      <c r="S98" s="5">
        <f t="shared" si="17"/>
        <v>39.299999999999997</v>
      </c>
      <c r="T98" s="5">
        <f t="shared" si="18"/>
        <v>26.200000000000003</v>
      </c>
      <c r="U98" s="5">
        <f t="shared" si="19"/>
        <v>13.100000000000001</v>
      </c>
    </row>
    <row r="99" spans="1:21" x14ac:dyDescent="0.25">
      <c r="A99" s="5">
        <v>23883</v>
      </c>
      <c r="B99" s="9" t="s">
        <v>23</v>
      </c>
      <c r="C99" s="6">
        <v>44.553728999999997</v>
      </c>
      <c r="D99" s="6">
        <v>89.395336999999998</v>
      </c>
      <c r="E99" s="5">
        <v>1000</v>
      </c>
      <c r="F99" s="9" t="s">
        <v>51</v>
      </c>
      <c r="G99" s="4">
        <v>589.5</v>
      </c>
      <c r="H99" s="4">
        <f t="shared" si="10"/>
        <v>294.75</v>
      </c>
      <c r="I99" s="5">
        <v>120</v>
      </c>
      <c r="M99" s="5">
        <f t="shared" si="11"/>
        <v>530.55000000000007</v>
      </c>
      <c r="N99" s="5">
        <f t="shared" si="12"/>
        <v>471.6</v>
      </c>
      <c r="O99" s="5">
        <f t="shared" si="13"/>
        <v>412.65</v>
      </c>
      <c r="P99" s="5">
        <f t="shared" si="14"/>
        <v>353.7</v>
      </c>
      <c r="Q99" s="5">
        <f t="shared" si="15"/>
        <v>294.75</v>
      </c>
      <c r="R99" s="5">
        <f t="shared" si="16"/>
        <v>235.8</v>
      </c>
      <c r="S99" s="5">
        <f t="shared" si="17"/>
        <v>176.85</v>
      </c>
      <c r="T99" s="5">
        <f t="shared" si="18"/>
        <v>117.9</v>
      </c>
      <c r="U99" s="5">
        <f t="shared" si="19"/>
        <v>58.95</v>
      </c>
    </row>
    <row r="100" spans="1:21" x14ac:dyDescent="0.25">
      <c r="A100" s="5">
        <v>23886</v>
      </c>
      <c r="B100" s="9" t="s">
        <v>23</v>
      </c>
      <c r="C100" s="6">
        <v>44.407874999999997</v>
      </c>
      <c r="D100" s="6">
        <v>89.461736700000003</v>
      </c>
      <c r="E100" s="5">
        <v>1000</v>
      </c>
      <c r="F100" s="9" t="s">
        <v>42</v>
      </c>
      <c r="G100" s="4">
        <v>215.2</v>
      </c>
      <c r="H100" s="4">
        <f t="shared" si="10"/>
        <v>107.6</v>
      </c>
      <c r="I100" s="5">
        <v>120</v>
      </c>
      <c r="M100" s="5">
        <f t="shared" si="11"/>
        <v>193.68</v>
      </c>
      <c r="N100" s="5">
        <f t="shared" si="12"/>
        <v>172.16</v>
      </c>
      <c r="O100" s="5">
        <f t="shared" si="13"/>
        <v>150.63999999999999</v>
      </c>
      <c r="P100" s="5">
        <f t="shared" si="14"/>
        <v>129.11999999999998</v>
      </c>
      <c r="Q100" s="5">
        <f t="shared" si="15"/>
        <v>107.6</v>
      </c>
      <c r="R100" s="5">
        <f t="shared" si="16"/>
        <v>86.08</v>
      </c>
      <c r="S100" s="5">
        <f t="shared" si="17"/>
        <v>64.559999999999988</v>
      </c>
      <c r="T100" s="5">
        <f t="shared" si="18"/>
        <v>43.04</v>
      </c>
      <c r="U100" s="5">
        <f t="shared" si="19"/>
        <v>21.52</v>
      </c>
    </row>
    <row r="101" spans="1:21" x14ac:dyDescent="0.25">
      <c r="A101" s="5">
        <v>23888</v>
      </c>
      <c r="B101" s="9" t="s">
        <v>23</v>
      </c>
      <c r="C101" s="6">
        <v>44.453026700000002</v>
      </c>
      <c r="D101" s="6">
        <v>89.461921700000005</v>
      </c>
      <c r="F101" s="9" t="s">
        <v>42</v>
      </c>
      <c r="G101" s="4">
        <v>237.2</v>
      </c>
      <c r="H101" s="4">
        <f t="shared" si="10"/>
        <v>118.6</v>
      </c>
      <c r="I101" s="5">
        <v>90</v>
      </c>
      <c r="M101" s="5">
        <f t="shared" si="11"/>
        <v>213.48</v>
      </c>
      <c r="N101" s="5">
        <f t="shared" si="12"/>
        <v>189.76</v>
      </c>
      <c r="O101" s="5">
        <f t="shared" si="13"/>
        <v>166.04</v>
      </c>
      <c r="P101" s="5">
        <f t="shared" si="14"/>
        <v>142.32</v>
      </c>
      <c r="Q101" s="5">
        <f t="shared" si="15"/>
        <v>118.6</v>
      </c>
      <c r="R101" s="5">
        <f t="shared" si="16"/>
        <v>94.88</v>
      </c>
      <c r="S101" s="5">
        <f t="shared" si="17"/>
        <v>71.16</v>
      </c>
      <c r="T101" s="5">
        <f t="shared" si="18"/>
        <v>47.44</v>
      </c>
      <c r="U101" s="5">
        <f t="shared" si="19"/>
        <v>23.72</v>
      </c>
    </row>
    <row r="102" spans="1:21" x14ac:dyDescent="0.25">
      <c r="A102" s="5">
        <v>23889</v>
      </c>
      <c r="B102" s="9" t="s">
        <v>23</v>
      </c>
      <c r="C102" s="6">
        <v>44.451523299999998</v>
      </c>
      <c r="D102" s="6">
        <v>89.461823199999998</v>
      </c>
      <c r="E102" s="5">
        <v>1200</v>
      </c>
      <c r="F102" s="9" t="s">
        <v>42</v>
      </c>
      <c r="G102" s="4">
        <v>459.8</v>
      </c>
      <c r="H102" s="4">
        <f t="shared" si="10"/>
        <v>229.9</v>
      </c>
      <c r="I102" s="5">
        <v>90</v>
      </c>
      <c r="M102" s="5">
        <f t="shared" si="11"/>
        <v>413.82</v>
      </c>
      <c r="N102" s="5">
        <f t="shared" si="12"/>
        <v>367.84000000000003</v>
      </c>
      <c r="O102" s="5">
        <f t="shared" si="13"/>
        <v>321.86</v>
      </c>
      <c r="P102" s="5">
        <f t="shared" si="14"/>
        <v>275.88</v>
      </c>
      <c r="Q102" s="5">
        <f t="shared" si="15"/>
        <v>229.9</v>
      </c>
      <c r="R102" s="5">
        <f t="shared" si="16"/>
        <v>183.92000000000002</v>
      </c>
      <c r="S102" s="5">
        <f t="shared" si="17"/>
        <v>137.94</v>
      </c>
      <c r="T102" s="5">
        <f t="shared" si="18"/>
        <v>91.960000000000008</v>
      </c>
      <c r="U102" s="5">
        <f t="shared" si="19"/>
        <v>45.980000000000004</v>
      </c>
    </row>
    <row r="103" spans="1:21" x14ac:dyDescent="0.25">
      <c r="A103" s="5">
        <v>23890</v>
      </c>
      <c r="B103" s="9" t="s">
        <v>23</v>
      </c>
      <c r="C103" s="6">
        <v>44.406605999999996</v>
      </c>
      <c r="D103" s="6">
        <v>89.525886</v>
      </c>
      <c r="E103" s="5">
        <v>1000</v>
      </c>
      <c r="F103" s="9" t="s">
        <v>42</v>
      </c>
      <c r="G103" s="4">
        <v>187.6</v>
      </c>
      <c r="H103" s="4">
        <f t="shared" si="10"/>
        <v>93.8</v>
      </c>
      <c r="I103" s="5">
        <v>90</v>
      </c>
      <c r="M103" s="5">
        <f t="shared" si="11"/>
        <v>168.84</v>
      </c>
      <c r="N103" s="5">
        <f t="shared" si="12"/>
        <v>150.08000000000001</v>
      </c>
      <c r="O103" s="5">
        <f t="shared" si="13"/>
        <v>131.32</v>
      </c>
      <c r="P103" s="5">
        <f t="shared" si="14"/>
        <v>112.55999999999999</v>
      </c>
      <c r="Q103" s="5">
        <f t="shared" si="15"/>
        <v>93.8</v>
      </c>
      <c r="R103" s="5">
        <f t="shared" si="16"/>
        <v>75.040000000000006</v>
      </c>
      <c r="S103" s="5">
        <f t="shared" si="17"/>
        <v>56.279999999999994</v>
      </c>
      <c r="T103" s="5">
        <f t="shared" si="18"/>
        <v>37.520000000000003</v>
      </c>
      <c r="U103" s="5">
        <f t="shared" si="19"/>
        <v>18.760000000000002</v>
      </c>
    </row>
    <row r="104" spans="1:21" x14ac:dyDescent="0.25">
      <c r="A104" s="5">
        <v>23895</v>
      </c>
      <c r="B104" s="9" t="s">
        <v>23</v>
      </c>
      <c r="C104" s="6">
        <v>44.424711000000002</v>
      </c>
      <c r="D104" s="6">
        <v>89.528503999999998</v>
      </c>
      <c r="F104" s="9" t="s">
        <v>42</v>
      </c>
      <c r="G104" s="4">
        <v>216.9</v>
      </c>
      <c r="H104" s="4">
        <f t="shared" si="10"/>
        <v>108.45</v>
      </c>
      <c r="I104" s="5">
        <v>120</v>
      </c>
      <c r="M104" s="5">
        <f t="shared" si="11"/>
        <v>195.21</v>
      </c>
      <c r="N104" s="5">
        <f t="shared" si="12"/>
        <v>173.52</v>
      </c>
      <c r="O104" s="5">
        <f t="shared" si="13"/>
        <v>151.82999999999998</v>
      </c>
      <c r="P104" s="5">
        <f t="shared" si="14"/>
        <v>130.13999999999999</v>
      </c>
      <c r="Q104" s="5">
        <f t="shared" si="15"/>
        <v>108.45</v>
      </c>
      <c r="R104" s="5">
        <f t="shared" si="16"/>
        <v>86.76</v>
      </c>
      <c r="S104" s="5">
        <f t="shared" si="17"/>
        <v>65.069999999999993</v>
      </c>
      <c r="T104" s="5">
        <f t="shared" si="18"/>
        <v>43.38</v>
      </c>
      <c r="U104" s="5">
        <f t="shared" si="19"/>
        <v>21.69</v>
      </c>
    </row>
    <row r="105" spans="1:21" x14ac:dyDescent="0.25">
      <c r="A105" s="5">
        <v>23898</v>
      </c>
      <c r="B105" s="9" t="s">
        <v>23</v>
      </c>
      <c r="C105" s="6">
        <v>44.542023999999998</v>
      </c>
      <c r="D105" s="6">
        <v>89.488904000000005</v>
      </c>
      <c r="E105" s="5">
        <v>800</v>
      </c>
      <c r="F105" s="9" t="s">
        <v>42</v>
      </c>
      <c r="G105" s="4">
        <v>29.6</v>
      </c>
      <c r="H105" s="4">
        <f t="shared" si="10"/>
        <v>29.6</v>
      </c>
      <c r="I105" s="5">
        <v>90</v>
      </c>
      <c r="M105" s="5">
        <f t="shared" si="11"/>
        <v>29.6</v>
      </c>
      <c r="N105" s="5">
        <f t="shared" si="12"/>
        <v>29.6</v>
      </c>
      <c r="O105" s="5">
        <f t="shared" si="13"/>
        <v>29.6</v>
      </c>
      <c r="P105" s="5">
        <f t="shared" si="14"/>
        <v>29.6</v>
      </c>
      <c r="Q105" s="5">
        <f t="shared" si="15"/>
        <v>29.6</v>
      </c>
      <c r="R105" s="5">
        <f t="shared" si="16"/>
        <v>29.6</v>
      </c>
      <c r="S105" s="5">
        <f t="shared" si="17"/>
        <v>29.6</v>
      </c>
      <c r="T105" s="5">
        <f t="shared" si="18"/>
        <v>29.6</v>
      </c>
      <c r="U105" s="5">
        <f t="shared" si="19"/>
        <v>29.6</v>
      </c>
    </row>
    <row r="106" spans="1:21" x14ac:dyDescent="0.25">
      <c r="A106" s="5">
        <v>23908</v>
      </c>
      <c r="B106" s="9" t="s">
        <v>23</v>
      </c>
      <c r="C106" s="6">
        <v>44.515056700000002</v>
      </c>
      <c r="D106" s="6">
        <v>89.462138300000007</v>
      </c>
      <c r="E106" s="5">
        <v>1200</v>
      </c>
      <c r="F106" s="9" t="s">
        <v>42</v>
      </c>
      <c r="G106" s="4">
        <v>365</v>
      </c>
      <c r="H106" s="4">
        <f t="shared" si="10"/>
        <v>182.5</v>
      </c>
      <c r="I106" s="5">
        <v>120</v>
      </c>
      <c r="M106" s="5">
        <f t="shared" si="11"/>
        <v>328.5</v>
      </c>
      <c r="N106" s="5">
        <f t="shared" si="12"/>
        <v>292</v>
      </c>
      <c r="O106" s="5">
        <f t="shared" si="13"/>
        <v>255.49999999999997</v>
      </c>
      <c r="P106" s="5">
        <f t="shared" si="14"/>
        <v>219</v>
      </c>
      <c r="Q106" s="5">
        <f t="shared" si="15"/>
        <v>182.5</v>
      </c>
      <c r="R106" s="5">
        <f t="shared" si="16"/>
        <v>146</v>
      </c>
      <c r="S106" s="5">
        <f t="shared" si="17"/>
        <v>109.5</v>
      </c>
      <c r="T106" s="5">
        <f t="shared" si="18"/>
        <v>73</v>
      </c>
      <c r="U106" s="5">
        <f t="shared" si="19"/>
        <v>36.5</v>
      </c>
    </row>
    <row r="107" spans="1:21" x14ac:dyDescent="0.25">
      <c r="A107" s="5">
        <v>23909</v>
      </c>
      <c r="B107" s="9" t="s">
        <v>23</v>
      </c>
      <c r="C107" s="6">
        <v>44.441788299999999</v>
      </c>
      <c r="D107" s="6">
        <v>89.461941699999997</v>
      </c>
      <c r="F107" s="9" t="s">
        <v>42</v>
      </c>
      <c r="G107" s="4">
        <v>115.6</v>
      </c>
      <c r="H107" s="4">
        <f t="shared" si="10"/>
        <v>57.8</v>
      </c>
      <c r="I107" s="5">
        <v>120</v>
      </c>
      <c r="M107" s="5">
        <f t="shared" si="11"/>
        <v>104.03999999999999</v>
      </c>
      <c r="N107" s="5">
        <f t="shared" si="12"/>
        <v>92.48</v>
      </c>
      <c r="O107" s="5">
        <f t="shared" si="13"/>
        <v>80.919999999999987</v>
      </c>
      <c r="P107" s="5">
        <f t="shared" si="14"/>
        <v>69.36</v>
      </c>
      <c r="Q107" s="5">
        <f t="shared" si="15"/>
        <v>57.8</v>
      </c>
      <c r="R107" s="5">
        <f t="shared" si="16"/>
        <v>46.24</v>
      </c>
      <c r="S107" s="5">
        <f t="shared" si="17"/>
        <v>34.68</v>
      </c>
      <c r="T107" s="5">
        <f t="shared" si="18"/>
        <v>23.12</v>
      </c>
      <c r="U107" s="5">
        <f t="shared" si="19"/>
        <v>11.56</v>
      </c>
    </row>
    <row r="108" spans="1:21" x14ac:dyDescent="0.25">
      <c r="A108" s="5">
        <v>23910</v>
      </c>
      <c r="B108" s="9" t="s">
        <v>23</v>
      </c>
      <c r="C108" s="6">
        <v>44.439990000000002</v>
      </c>
      <c r="D108" s="6">
        <v>89.570409999999995</v>
      </c>
      <c r="E108" s="5">
        <v>1200</v>
      </c>
      <c r="F108" s="9" t="s">
        <v>42</v>
      </c>
      <c r="G108" s="4">
        <v>345</v>
      </c>
      <c r="H108" s="4">
        <f t="shared" si="10"/>
        <v>172.5</v>
      </c>
      <c r="I108" s="5">
        <v>120</v>
      </c>
      <c r="M108" s="5">
        <f t="shared" si="11"/>
        <v>310.5</v>
      </c>
      <c r="N108" s="5">
        <f t="shared" si="12"/>
        <v>276</v>
      </c>
      <c r="O108" s="5">
        <f t="shared" si="13"/>
        <v>241.49999999999997</v>
      </c>
      <c r="P108" s="5">
        <f t="shared" si="14"/>
        <v>207</v>
      </c>
      <c r="Q108" s="5">
        <f t="shared" si="15"/>
        <v>172.5</v>
      </c>
      <c r="R108" s="5">
        <f t="shared" si="16"/>
        <v>138</v>
      </c>
      <c r="S108" s="5">
        <f t="shared" si="17"/>
        <v>103.5</v>
      </c>
      <c r="T108" s="5">
        <f t="shared" si="18"/>
        <v>69</v>
      </c>
      <c r="U108" s="5">
        <f t="shared" si="19"/>
        <v>34.5</v>
      </c>
    </row>
    <row r="109" spans="1:21" x14ac:dyDescent="0.25">
      <c r="A109" s="5">
        <v>23913</v>
      </c>
      <c r="B109" s="9" t="s">
        <v>23</v>
      </c>
      <c r="C109" s="6">
        <v>44.4744083</v>
      </c>
      <c r="D109" s="6">
        <v>89.310178300000004</v>
      </c>
      <c r="E109" s="5">
        <v>1000</v>
      </c>
      <c r="F109" s="9" t="s">
        <v>53</v>
      </c>
      <c r="G109" s="4">
        <v>247.2</v>
      </c>
      <c r="H109" s="4">
        <f t="shared" si="10"/>
        <v>123.6</v>
      </c>
      <c r="I109" s="5">
        <v>90</v>
      </c>
      <c r="M109" s="5">
        <f t="shared" si="11"/>
        <v>222.48</v>
      </c>
      <c r="N109" s="5">
        <f t="shared" si="12"/>
        <v>197.76</v>
      </c>
      <c r="O109" s="5">
        <f t="shared" si="13"/>
        <v>173.04</v>
      </c>
      <c r="P109" s="5">
        <f t="shared" si="14"/>
        <v>148.32</v>
      </c>
      <c r="Q109" s="5">
        <f t="shared" si="15"/>
        <v>123.6</v>
      </c>
      <c r="R109" s="5">
        <f t="shared" si="16"/>
        <v>98.88</v>
      </c>
      <c r="S109" s="5">
        <f t="shared" si="17"/>
        <v>74.16</v>
      </c>
      <c r="T109" s="5">
        <f t="shared" si="18"/>
        <v>49.44</v>
      </c>
      <c r="U109" s="5">
        <f t="shared" si="19"/>
        <v>24.72</v>
      </c>
    </row>
    <row r="110" spans="1:21" x14ac:dyDescent="0.25">
      <c r="A110" s="5">
        <v>23915</v>
      </c>
      <c r="B110" s="9" t="s">
        <v>23</v>
      </c>
      <c r="C110" s="6">
        <v>44.557203999999999</v>
      </c>
      <c r="D110" s="6">
        <v>89.390553999999995</v>
      </c>
      <c r="E110" s="5">
        <v>1000</v>
      </c>
      <c r="F110" s="9" t="s">
        <v>42</v>
      </c>
      <c r="G110" s="4">
        <v>152.5</v>
      </c>
      <c r="H110" s="4">
        <f t="shared" si="10"/>
        <v>76.25</v>
      </c>
      <c r="I110" s="5">
        <v>60</v>
      </c>
      <c r="M110" s="5">
        <f t="shared" si="11"/>
        <v>137.25</v>
      </c>
      <c r="N110" s="5">
        <f t="shared" si="12"/>
        <v>122</v>
      </c>
      <c r="O110" s="5">
        <f t="shared" si="13"/>
        <v>106.75</v>
      </c>
      <c r="P110" s="5">
        <f t="shared" si="14"/>
        <v>91.5</v>
      </c>
      <c r="Q110" s="5">
        <f t="shared" si="15"/>
        <v>76.25</v>
      </c>
      <c r="R110" s="5">
        <f t="shared" si="16"/>
        <v>61</v>
      </c>
      <c r="S110" s="5">
        <f t="shared" si="17"/>
        <v>45.75</v>
      </c>
      <c r="T110" s="5">
        <f t="shared" si="18"/>
        <v>30.5</v>
      </c>
      <c r="U110" s="5">
        <f t="shared" si="19"/>
        <v>15.25</v>
      </c>
    </row>
    <row r="111" spans="1:21" x14ac:dyDescent="0.25">
      <c r="A111" s="5">
        <v>23919</v>
      </c>
      <c r="B111" s="9" t="s">
        <v>23</v>
      </c>
      <c r="C111" s="6">
        <v>44.484903299999999</v>
      </c>
      <c r="D111" s="6">
        <v>89.520771699999997</v>
      </c>
      <c r="F111" s="9" t="s">
        <v>42</v>
      </c>
      <c r="G111" s="4">
        <v>261.3</v>
      </c>
      <c r="H111" s="4">
        <f t="shared" si="10"/>
        <v>130.65</v>
      </c>
      <c r="I111" s="5">
        <v>60</v>
      </c>
      <c r="M111" s="5">
        <f t="shared" si="11"/>
        <v>235.17000000000002</v>
      </c>
      <c r="N111" s="5">
        <f t="shared" si="12"/>
        <v>209.04000000000002</v>
      </c>
      <c r="O111" s="5">
        <f t="shared" si="13"/>
        <v>182.91</v>
      </c>
      <c r="P111" s="5">
        <f t="shared" si="14"/>
        <v>156.78</v>
      </c>
      <c r="Q111" s="5">
        <f t="shared" si="15"/>
        <v>130.65</v>
      </c>
      <c r="R111" s="5">
        <f t="shared" si="16"/>
        <v>104.52000000000001</v>
      </c>
      <c r="S111" s="5">
        <f t="shared" si="17"/>
        <v>78.39</v>
      </c>
      <c r="T111" s="5">
        <f t="shared" si="18"/>
        <v>52.260000000000005</v>
      </c>
      <c r="U111" s="5">
        <f t="shared" si="19"/>
        <v>26.130000000000003</v>
      </c>
    </row>
    <row r="112" spans="1:21" x14ac:dyDescent="0.25">
      <c r="A112" s="5">
        <v>23926</v>
      </c>
      <c r="B112" s="9" t="s">
        <v>23</v>
      </c>
      <c r="C112" s="6">
        <v>44.546149999999997</v>
      </c>
      <c r="D112" s="6">
        <v>89.441100000000006</v>
      </c>
      <c r="E112" s="5">
        <v>1200</v>
      </c>
      <c r="F112" s="9" t="s">
        <v>42</v>
      </c>
      <c r="G112" s="4">
        <v>243</v>
      </c>
      <c r="H112" s="4">
        <f t="shared" si="10"/>
        <v>121.5</v>
      </c>
      <c r="I112" s="5">
        <v>120</v>
      </c>
      <c r="M112" s="5">
        <f t="shared" si="11"/>
        <v>218.70000000000002</v>
      </c>
      <c r="N112" s="5">
        <f t="shared" si="12"/>
        <v>194.4</v>
      </c>
      <c r="O112" s="5">
        <f t="shared" si="13"/>
        <v>170.1</v>
      </c>
      <c r="P112" s="5">
        <f t="shared" si="14"/>
        <v>145.79999999999998</v>
      </c>
      <c r="Q112" s="5">
        <f t="shared" si="15"/>
        <v>121.5</v>
      </c>
      <c r="R112" s="5">
        <f t="shared" si="16"/>
        <v>97.2</v>
      </c>
      <c r="S112" s="5">
        <f t="shared" si="17"/>
        <v>72.899999999999991</v>
      </c>
      <c r="T112" s="5">
        <f t="shared" si="18"/>
        <v>48.6</v>
      </c>
      <c r="U112" s="5">
        <f t="shared" si="19"/>
        <v>24.3</v>
      </c>
    </row>
    <row r="113" spans="1:21" x14ac:dyDescent="0.25">
      <c r="A113" s="5">
        <v>23928</v>
      </c>
      <c r="B113" s="9" t="s">
        <v>23</v>
      </c>
      <c r="C113" s="6">
        <v>44.443703999999997</v>
      </c>
      <c r="D113" s="6">
        <v>89.440871000000001</v>
      </c>
      <c r="F113" s="9" t="s">
        <v>54</v>
      </c>
      <c r="G113" s="4">
        <v>293.8</v>
      </c>
      <c r="H113" s="4">
        <f t="shared" si="10"/>
        <v>146.9</v>
      </c>
      <c r="I113" s="5">
        <v>120</v>
      </c>
      <c r="M113" s="5">
        <f t="shared" si="11"/>
        <v>264.42</v>
      </c>
      <c r="N113" s="5">
        <f t="shared" si="12"/>
        <v>235.04000000000002</v>
      </c>
      <c r="O113" s="5">
        <f t="shared" si="13"/>
        <v>205.66</v>
      </c>
      <c r="P113" s="5">
        <f t="shared" si="14"/>
        <v>176.28</v>
      </c>
      <c r="Q113" s="5">
        <f t="shared" si="15"/>
        <v>146.9</v>
      </c>
      <c r="R113" s="5">
        <f t="shared" si="16"/>
        <v>117.52000000000001</v>
      </c>
      <c r="S113" s="5">
        <f t="shared" si="17"/>
        <v>88.14</v>
      </c>
      <c r="T113" s="5">
        <f t="shared" si="18"/>
        <v>58.760000000000005</v>
      </c>
      <c r="U113" s="5">
        <f t="shared" si="19"/>
        <v>29.380000000000003</v>
      </c>
    </row>
    <row r="114" spans="1:21" x14ac:dyDescent="0.25">
      <c r="A114" s="5">
        <v>23929</v>
      </c>
      <c r="B114" s="9" t="s">
        <v>23</v>
      </c>
      <c r="C114" s="6">
        <v>44.483384999999998</v>
      </c>
      <c r="D114" s="6">
        <v>89.497971000000007</v>
      </c>
      <c r="E114" s="5">
        <v>1100</v>
      </c>
      <c r="F114" s="9" t="s">
        <v>55</v>
      </c>
      <c r="G114" s="4">
        <v>11</v>
      </c>
      <c r="H114" s="4">
        <f t="shared" si="10"/>
        <v>11</v>
      </c>
      <c r="I114" s="5">
        <v>60</v>
      </c>
      <c r="M114" s="5">
        <f t="shared" si="11"/>
        <v>11</v>
      </c>
      <c r="N114" s="5">
        <f t="shared" si="12"/>
        <v>11</v>
      </c>
      <c r="O114" s="5">
        <f t="shared" si="13"/>
        <v>11</v>
      </c>
      <c r="P114" s="5">
        <f t="shared" si="14"/>
        <v>11</v>
      </c>
      <c r="Q114" s="5">
        <f t="shared" si="15"/>
        <v>11</v>
      </c>
      <c r="R114" s="5">
        <f t="shared" si="16"/>
        <v>11</v>
      </c>
      <c r="S114" s="5">
        <f t="shared" si="17"/>
        <v>11</v>
      </c>
      <c r="T114" s="5">
        <f t="shared" si="18"/>
        <v>11</v>
      </c>
      <c r="U114" s="5">
        <f t="shared" si="19"/>
        <v>11</v>
      </c>
    </row>
    <row r="115" spans="1:21" x14ac:dyDescent="0.25">
      <c r="A115" s="5">
        <v>23930</v>
      </c>
      <c r="B115" s="9" t="s">
        <v>23</v>
      </c>
      <c r="C115" s="6">
        <v>44.438668300000003</v>
      </c>
      <c r="D115" s="6">
        <v>89.4743833</v>
      </c>
      <c r="E115" s="5">
        <v>650</v>
      </c>
      <c r="F115" s="9" t="s">
        <v>42</v>
      </c>
      <c r="G115" s="4">
        <v>91.6</v>
      </c>
      <c r="H115" s="4">
        <f t="shared" si="10"/>
        <v>45.8</v>
      </c>
      <c r="I115" s="5">
        <v>90</v>
      </c>
      <c r="M115" s="5">
        <f t="shared" si="11"/>
        <v>82.44</v>
      </c>
      <c r="N115" s="5">
        <f t="shared" si="12"/>
        <v>73.28</v>
      </c>
      <c r="O115" s="5">
        <f t="shared" si="13"/>
        <v>64.11999999999999</v>
      </c>
      <c r="P115" s="5">
        <f t="shared" si="14"/>
        <v>54.959999999999994</v>
      </c>
      <c r="Q115" s="5">
        <f t="shared" si="15"/>
        <v>45.8</v>
      </c>
      <c r="R115" s="5">
        <f t="shared" si="16"/>
        <v>36.64</v>
      </c>
      <c r="S115" s="5">
        <f t="shared" si="17"/>
        <v>27.479999999999997</v>
      </c>
      <c r="T115" s="5">
        <f t="shared" si="18"/>
        <v>18.32</v>
      </c>
      <c r="U115" s="5">
        <f t="shared" si="19"/>
        <v>9.16</v>
      </c>
    </row>
    <row r="116" spans="1:21" x14ac:dyDescent="0.25">
      <c r="A116" s="5">
        <v>23934</v>
      </c>
      <c r="B116" s="9" t="s">
        <v>23</v>
      </c>
      <c r="C116" s="6">
        <v>44.486111700000002</v>
      </c>
      <c r="D116" s="6">
        <v>89.477778200000003</v>
      </c>
      <c r="F116" s="9" t="s">
        <v>42</v>
      </c>
      <c r="G116" s="4">
        <v>370.6</v>
      </c>
      <c r="H116" s="4">
        <f t="shared" si="10"/>
        <v>185.3</v>
      </c>
      <c r="I116" s="5">
        <v>120</v>
      </c>
      <c r="M116" s="5">
        <f t="shared" si="11"/>
        <v>333.54</v>
      </c>
      <c r="N116" s="5">
        <f t="shared" si="12"/>
        <v>296.48</v>
      </c>
      <c r="O116" s="5">
        <f t="shared" si="13"/>
        <v>259.42</v>
      </c>
      <c r="P116" s="5">
        <f t="shared" si="14"/>
        <v>222.36</v>
      </c>
      <c r="Q116" s="5">
        <f t="shared" si="15"/>
        <v>185.3</v>
      </c>
      <c r="R116" s="5">
        <f t="shared" si="16"/>
        <v>148.24</v>
      </c>
      <c r="S116" s="5">
        <f t="shared" si="17"/>
        <v>111.18</v>
      </c>
      <c r="T116" s="5">
        <f t="shared" si="18"/>
        <v>74.12</v>
      </c>
      <c r="U116" s="5">
        <f t="shared" si="19"/>
        <v>37.06</v>
      </c>
    </row>
    <row r="117" spans="1:21" x14ac:dyDescent="0.25">
      <c r="A117" s="5">
        <v>23936</v>
      </c>
      <c r="B117" s="9" t="s">
        <v>23</v>
      </c>
      <c r="C117" s="6">
        <v>44.500774999999997</v>
      </c>
      <c r="D117" s="6">
        <v>89.472388300000006</v>
      </c>
      <c r="E117" s="5">
        <v>1200</v>
      </c>
      <c r="F117" s="9" t="s">
        <v>42</v>
      </c>
      <c r="G117" s="4">
        <v>238.2</v>
      </c>
      <c r="H117" s="4">
        <f t="shared" si="10"/>
        <v>119.1</v>
      </c>
      <c r="I117" s="5">
        <v>120</v>
      </c>
      <c r="M117" s="5">
        <f t="shared" si="11"/>
        <v>214.38</v>
      </c>
      <c r="N117" s="5">
        <f t="shared" si="12"/>
        <v>190.56</v>
      </c>
      <c r="O117" s="5">
        <f t="shared" si="13"/>
        <v>166.73999999999998</v>
      </c>
      <c r="P117" s="5">
        <f t="shared" si="14"/>
        <v>142.91999999999999</v>
      </c>
      <c r="Q117" s="5">
        <f t="shared" si="15"/>
        <v>119.1</v>
      </c>
      <c r="R117" s="5">
        <f t="shared" si="16"/>
        <v>95.28</v>
      </c>
      <c r="S117" s="5">
        <f t="shared" si="17"/>
        <v>71.459999999999994</v>
      </c>
      <c r="T117" s="5">
        <f t="shared" si="18"/>
        <v>47.64</v>
      </c>
      <c r="U117" s="5">
        <f t="shared" si="19"/>
        <v>23.82</v>
      </c>
    </row>
    <row r="118" spans="1:21" x14ac:dyDescent="0.25">
      <c r="A118" s="5">
        <v>23937</v>
      </c>
      <c r="B118" s="9" t="s">
        <v>23</v>
      </c>
      <c r="C118" s="6">
        <v>44.439279999999997</v>
      </c>
      <c r="D118" s="6">
        <v>89.486585000000005</v>
      </c>
      <c r="E118" s="5">
        <v>1200</v>
      </c>
      <c r="F118" s="9" t="s">
        <v>42</v>
      </c>
      <c r="G118" s="4">
        <v>183.4</v>
      </c>
      <c r="H118" s="4">
        <f t="shared" si="10"/>
        <v>91.7</v>
      </c>
      <c r="I118" s="5">
        <v>120</v>
      </c>
      <c r="M118" s="5">
        <f t="shared" si="11"/>
        <v>165.06</v>
      </c>
      <c r="N118" s="5">
        <f t="shared" si="12"/>
        <v>146.72</v>
      </c>
      <c r="O118" s="5">
        <f t="shared" si="13"/>
        <v>128.38</v>
      </c>
      <c r="P118" s="5">
        <f t="shared" si="14"/>
        <v>110.04</v>
      </c>
      <c r="Q118" s="5">
        <f t="shared" si="15"/>
        <v>91.7</v>
      </c>
      <c r="R118" s="5">
        <f t="shared" si="16"/>
        <v>73.36</v>
      </c>
      <c r="S118" s="5">
        <f t="shared" si="17"/>
        <v>55.02</v>
      </c>
      <c r="T118" s="5">
        <f t="shared" si="18"/>
        <v>36.68</v>
      </c>
      <c r="U118" s="5">
        <f t="shared" si="19"/>
        <v>18.34</v>
      </c>
    </row>
    <row r="119" spans="1:21" x14ac:dyDescent="0.25">
      <c r="A119" s="5">
        <v>23939</v>
      </c>
      <c r="B119" s="9" t="s">
        <v>23</v>
      </c>
      <c r="C119" s="6">
        <v>44.484981699999999</v>
      </c>
      <c r="D119" s="6">
        <v>89.451993400000006</v>
      </c>
      <c r="E119" s="5">
        <v>1200</v>
      </c>
      <c r="F119" s="9" t="s">
        <v>42</v>
      </c>
      <c r="G119" s="4">
        <v>329.9</v>
      </c>
      <c r="H119" s="4">
        <f t="shared" si="10"/>
        <v>164.95</v>
      </c>
      <c r="I119" s="5">
        <v>150</v>
      </c>
      <c r="M119" s="5">
        <f t="shared" si="11"/>
        <v>296.90999999999997</v>
      </c>
      <c r="N119" s="5">
        <f t="shared" si="12"/>
        <v>263.92</v>
      </c>
      <c r="O119" s="5">
        <f t="shared" si="13"/>
        <v>230.92999999999998</v>
      </c>
      <c r="P119" s="5">
        <f t="shared" si="14"/>
        <v>197.93999999999997</v>
      </c>
      <c r="Q119" s="5">
        <f t="shared" si="15"/>
        <v>164.95</v>
      </c>
      <c r="R119" s="5">
        <f t="shared" si="16"/>
        <v>131.96</v>
      </c>
      <c r="S119" s="5">
        <f t="shared" si="17"/>
        <v>98.969999999999985</v>
      </c>
      <c r="T119" s="5">
        <f t="shared" si="18"/>
        <v>65.98</v>
      </c>
      <c r="U119" s="5">
        <f t="shared" si="19"/>
        <v>32.99</v>
      </c>
    </row>
    <row r="120" spans="1:21" x14ac:dyDescent="0.25">
      <c r="A120" s="5">
        <v>23942</v>
      </c>
      <c r="B120" s="9" t="s">
        <v>23</v>
      </c>
      <c r="C120" s="6">
        <v>44.450184999999998</v>
      </c>
      <c r="D120" s="6">
        <v>89.569192000000001</v>
      </c>
      <c r="E120" s="5">
        <v>1200</v>
      </c>
      <c r="F120" s="9" t="s">
        <v>42</v>
      </c>
      <c r="G120" s="4">
        <v>132.9</v>
      </c>
      <c r="H120" s="4">
        <f t="shared" si="10"/>
        <v>66.45</v>
      </c>
      <c r="I120" s="5">
        <v>60</v>
      </c>
      <c r="M120" s="5">
        <f t="shared" si="11"/>
        <v>119.61000000000001</v>
      </c>
      <c r="N120" s="5">
        <f t="shared" si="12"/>
        <v>106.32000000000001</v>
      </c>
      <c r="O120" s="5">
        <f t="shared" si="13"/>
        <v>93.03</v>
      </c>
      <c r="P120" s="5">
        <f t="shared" si="14"/>
        <v>79.739999999999995</v>
      </c>
      <c r="Q120" s="5">
        <f t="shared" si="15"/>
        <v>66.45</v>
      </c>
      <c r="R120" s="5">
        <f t="shared" si="16"/>
        <v>53.160000000000004</v>
      </c>
      <c r="S120" s="5">
        <f t="shared" si="17"/>
        <v>39.869999999999997</v>
      </c>
      <c r="T120" s="5">
        <f t="shared" si="18"/>
        <v>26.580000000000002</v>
      </c>
      <c r="U120" s="5">
        <f t="shared" si="19"/>
        <v>13.290000000000001</v>
      </c>
    </row>
    <row r="121" spans="1:21" x14ac:dyDescent="0.25">
      <c r="A121" s="5">
        <v>23944</v>
      </c>
      <c r="B121" s="9" t="s">
        <v>23</v>
      </c>
      <c r="C121" s="6">
        <v>44.4610719</v>
      </c>
      <c r="D121" s="6">
        <v>89.383177599999996</v>
      </c>
      <c r="E121" s="5">
        <v>1200</v>
      </c>
      <c r="F121" s="9" t="s">
        <v>56</v>
      </c>
      <c r="G121" s="4">
        <v>84.4</v>
      </c>
      <c r="H121" s="4">
        <f t="shared" si="10"/>
        <v>42.2</v>
      </c>
      <c r="I121" s="5">
        <v>90</v>
      </c>
      <c r="M121" s="5">
        <f t="shared" si="11"/>
        <v>75.960000000000008</v>
      </c>
      <c r="N121" s="5">
        <f t="shared" si="12"/>
        <v>67.52000000000001</v>
      </c>
      <c r="O121" s="5">
        <f t="shared" si="13"/>
        <v>59.08</v>
      </c>
      <c r="P121" s="5">
        <f t="shared" si="14"/>
        <v>50.64</v>
      </c>
      <c r="Q121" s="5">
        <f t="shared" si="15"/>
        <v>42.2</v>
      </c>
      <c r="R121" s="5">
        <f t="shared" si="16"/>
        <v>33.760000000000005</v>
      </c>
      <c r="S121" s="5">
        <f t="shared" si="17"/>
        <v>25.32</v>
      </c>
      <c r="T121" s="5">
        <f t="shared" si="18"/>
        <v>16.880000000000003</v>
      </c>
      <c r="U121" s="5">
        <f t="shared" si="19"/>
        <v>8.4400000000000013</v>
      </c>
    </row>
    <row r="122" spans="1:21" x14ac:dyDescent="0.25">
      <c r="A122" s="5">
        <v>23948</v>
      </c>
      <c r="B122" s="9" t="s">
        <v>23</v>
      </c>
      <c r="C122" s="6">
        <v>44.430905000000003</v>
      </c>
      <c r="D122" s="6">
        <v>89.459102000000001</v>
      </c>
      <c r="E122" s="5">
        <v>1200</v>
      </c>
      <c r="F122" s="9" t="s">
        <v>42</v>
      </c>
      <c r="G122" s="4">
        <v>254.6</v>
      </c>
      <c r="H122" s="4">
        <f t="shared" si="10"/>
        <v>127.3</v>
      </c>
      <c r="I122" s="5">
        <v>150</v>
      </c>
      <c r="M122" s="5">
        <f t="shared" si="11"/>
        <v>229.14</v>
      </c>
      <c r="N122" s="5">
        <f t="shared" si="12"/>
        <v>203.68</v>
      </c>
      <c r="O122" s="5">
        <f t="shared" si="13"/>
        <v>178.22</v>
      </c>
      <c r="P122" s="5">
        <f t="shared" si="14"/>
        <v>152.76</v>
      </c>
      <c r="Q122" s="5">
        <f t="shared" si="15"/>
        <v>127.3</v>
      </c>
      <c r="R122" s="5">
        <f t="shared" si="16"/>
        <v>101.84</v>
      </c>
      <c r="S122" s="5">
        <f t="shared" si="17"/>
        <v>76.38</v>
      </c>
      <c r="T122" s="5">
        <f t="shared" si="18"/>
        <v>50.92</v>
      </c>
      <c r="U122" s="5">
        <f t="shared" si="19"/>
        <v>25.46</v>
      </c>
    </row>
    <row r="123" spans="1:21" x14ac:dyDescent="0.25">
      <c r="A123" s="5">
        <v>23956</v>
      </c>
      <c r="B123" s="9" t="s">
        <v>23</v>
      </c>
      <c r="C123" s="6">
        <v>44.425741000000002</v>
      </c>
      <c r="D123" s="6">
        <v>89.431466</v>
      </c>
      <c r="F123" s="9" t="s">
        <v>42</v>
      </c>
      <c r="G123" s="4">
        <v>429</v>
      </c>
      <c r="H123" s="4">
        <f t="shared" si="10"/>
        <v>214.5</v>
      </c>
      <c r="I123" s="5">
        <v>90</v>
      </c>
      <c r="M123" s="5">
        <f t="shared" si="11"/>
        <v>386.1</v>
      </c>
      <c r="N123" s="5">
        <f t="shared" si="12"/>
        <v>343.20000000000005</v>
      </c>
      <c r="O123" s="5">
        <f t="shared" si="13"/>
        <v>300.29999999999995</v>
      </c>
      <c r="P123" s="5">
        <f t="shared" si="14"/>
        <v>257.39999999999998</v>
      </c>
      <c r="Q123" s="5">
        <f t="shared" si="15"/>
        <v>214.5</v>
      </c>
      <c r="R123" s="5">
        <f t="shared" si="16"/>
        <v>171.60000000000002</v>
      </c>
      <c r="S123" s="5">
        <f t="shared" si="17"/>
        <v>128.69999999999999</v>
      </c>
      <c r="T123" s="5">
        <f t="shared" si="18"/>
        <v>85.800000000000011</v>
      </c>
      <c r="U123" s="5">
        <f t="shared" si="19"/>
        <v>42.900000000000006</v>
      </c>
    </row>
    <row r="124" spans="1:21" x14ac:dyDescent="0.25">
      <c r="A124" s="5">
        <v>23961</v>
      </c>
      <c r="B124" s="9" t="s">
        <v>23</v>
      </c>
      <c r="C124" s="6">
        <v>44.444118000000003</v>
      </c>
      <c r="D124" s="6">
        <v>89.304670999999999</v>
      </c>
      <c r="E124" s="5">
        <v>1000</v>
      </c>
      <c r="F124" s="9" t="s">
        <v>42</v>
      </c>
      <c r="G124" s="4">
        <v>270.5</v>
      </c>
      <c r="H124" s="4">
        <f t="shared" si="10"/>
        <v>135.25</v>
      </c>
      <c r="I124" s="5">
        <v>90</v>
      </c>
      <c r="M124" s="5">
        <f t="shared" si="11"/>
        <v>243.45000000000002</v>
      </c>
      <c r="N124" s="5">
        <f t="shared" si="12"/>
        <v>216.4</v>
      </c>
      <c r="O124" s="5">
        <f t="shared" si="13"/>
        <v>189.35</v>
      </c>
      <c r="P124" s="5">
        <f t="shared" si="14"/>
        <v>162.29999999999998</v>
      </c>
      <c r="Q124" s="5">
        <f t="shared" si="15"/>
        <v>135.25</v>
      </c>
      <c r="R124" s="5">
        <f t="shared" si="16"/>
        <v>108.2</v>
      </c>
      <c r="S124" s="5">
        <f t="shared" si="17"/>
        <v>81.149999999999991</v>
      </c>
      <c r="T124" s="5">
        <f t="shared" si="18"/>
        <v>54.1</v>
      </c>
      <c r="U124" s="5">
        <f t="shared" si="19"/>
        <v>27.05</v>
      </c>
    </row>
    <row r="125" spans="1:21" x14ac:dyDescent="0.25">
      <c r="A125" s="5">
        <v>23962</v>
      </c>
      <c r="B125" s="9" t="s">
        <v>23</v>
      </c>
      <c r="C125" s="6">
        <v>44.424434900000001</v>
      </c>
      <c r="D125" s="6">
        <v>89.438981999999996</v>
      </c>
      <c r="E125" s="5">
        <v>1200</v>
      </c>
      <c r="F125" s="9" t="s">
        <v>42</v>
      </c>
      <c r="G125" s="4">
        <v>147.19999999999999</v>
      </c>
      <c r="H125" s="4">
        <f t="shared" si="10"/>
        <v>73.599999999999994</v>
      </c>
      <c r="I125" s="5">
        <v>90</v>
      </c>
      <c r="M125" s="5">
        <f t="shared" si="11"/>
        <v>132.47999999999999</v>
      </c>
      <c r="N125" s="5">
        <f t="shared" si="12"/>
        <v>117.75999999999999</v>
      </c>
      <c r="O125" s="5">
        <f t="shared" si="13"/>
        <v>103.03999999999999</v>
      </c>
      <c r="P125" s="5">
        <f t="shared" si="14"/>
        <v>88.32</v>
      </c>
      <c r="Q125" s="5">
        <f t="shared" si="15"/>
        <v>73.599999999999994</v>
      </c>
      <c r="R125" s="5">
        <f t="shared" si="16"/>
        <v>58.879999999999995</v>
      </c>
      <c r="S125" s="5">
        <f t="shared" si="17"/>
        <v>44.16</v>
      </c>
      <c r="T125" s="5">
        <f t="shared" si="18"/>
        <v>29.439999999999998</v>
      </c>
      <c r="U125" s="5">
        <f t="shared" si="19"/>
        <v>14.719999999999999</v>
      </c>
    </row>
    <row r="126" spans="1:21" x14ac:dyDescent="0.25">
      <c r="A126" s="5">
        <v>23963</v>
      </c>
      <c r="B126" s="9" t="s">
        <v>23</v>
      </c>
      <c r="C126" s="6">
        <v>44.403655200000003</v>
      </c>
      <c r="D126" s="6">
        <v>89.449217099999998</v>
      </c>
      <c r="F126" s="9" t="s">
        <v>42</v>
      </c>
      <c r="G126" s="4">
        <v>105.8</v>
      </c>
      <c r="H126" s="4">
        <f t="shared" si="10"/>
        <v>52.9</v>
      </c>
      <c r="I126" s="5">
        <v>90</v>
      </c>
      <c r="M126" s="5">
        <f t="shared" si="11"/>
        <v>95.22</v>
      </c>
      <c r="N126" s="5">
        <f t="shared" si="12"/>
        <v>84.64</v>
      </c>
      <c r="O126" s="5">
        <f t="shared" si="13"/>
        <v>74.059999999999988</v>
      </c>
      <c r="P126" s="5">
        <f t="shared" si="14"/>
        <v>63.48</v>
      </c>
      <c r="Q126" s="5">
        <f t="shared" si="15"/>
        <v>52.9</v>
      </c>
      <c r="R126" s="5">
        <f t="shared" si="16"/>
        <v>42.32</v>
      </c>
      <c r="S126" s="5">
        <f t="shared" si="17"/>
        <v>31.74</v>
      </c>
      <c r="T126" s="5">
        <f t="shared" si="18"/>
        <v>21.16</v>
      </c>
      <c r="U126" s="5">
        <f t="shared" si="19"/>
        <v>10.58</v>
      </c>
    </row>
    <row r="127" spans="1:21" x14ac:dyDescent="0.25">
      <c r="A127" s="5">
        <v>23966</v>
      </c>
      <c r="B127" s="9" t="s">
        <v>23</v>
      </c>
      <c r="C127" s="6">
        <v>44.399341</v>
      </c>
      <c r="D127" s="6">
        <v>89.446933000000001</v>
      </c>
      <c r="E127" s="5">
        <v>1200</v>
      </c>
      <c r="F127" s="9" t="s">
        <v>42</v>
      </c>
      <c r="G127" s="4">
        <v>90.8</v>
      </c>
      <c r="H127" s="4">
        <f t="shared" si="10"/>
        <v>45.4</v>
      </c>
      <c r="I127" s="5">
        <v>120</v>
      </c>
      <c r="M127" s="5">
        <f t="shared" si="11"/>
        <v>81.72</v>
      </c>
      <c r="N127" s="5">
        <f t="shared" si="12"/>
        <v>72.64</v>
      </c>
      <c r="O127" s="5">
        <f t="shared" si="13"/>
        <v>63.559999999999995</v>
      </c>
      <c r="P127" s="5">
        <f t="shared" si="14"/>
        <v>54.48</v>
      </c>
      <c r="Q127" s="5">
        <f t="shared" si="15"/>
        <v>45.4</v>
      </c>
      <c r="R127" s="5">
        <f t="shared" si="16"/>
        <v>36.32</v>
      </c>
      <c r="S127" s="5">
        <f t="shared" si="17"/>
        <v>27.24</v>
      </c>
      <c r="T127" s="5">
        <f t="shared" si="18"/>
        <v>18.16</v>
      </c>
      <c r="U127" s="5">
        <f t="shared" si="19"/>
        <v>9.08</v>
      </c>
    </row>
    <row r="128" spans="1:21" x14ac:dyDescent="0.25">
      <c r="A128" s="5">
        <v>23967</v>
      </c>
      <c r="B128" s="9" t="s">
        <v>23</v>
      </c>
      <c r="C128" s="6">
        <v>44.418688299999999</v>
      </c>
      <c r="D128" s="6">
        <v>89.459059999999994</v>
      </c>
      <c r="F128" s="9" t="s">
        <v>42</v>
      </c>
      <c r="G128" s="4">
        <v>231.5</v>
      </c>
      <c r="H128" s="4">
        <f t="shared" si="10"/>
        <v>115.75</v>
      </c>
      <c r="I128" s="5">
        <v>60</v>
      </c>
      <c r="M128" s="5">
        <f t="shared" si="11"/>
        <v>208.35</v>
      </c>
      <c r="N128" s="5">
        <f t="shared" si="12"/>
        <v>185.20000000000002</v>
      </c>
      <c r="O128" s="5">
        <f t="shared" si="13"/>
        <v>162.04999999999998</v>
      </c>
      <c r="P128" s="5">
        <f t="shared" si="14"/>
        <v>138.9</v>
      </c>
      <c r="Q128" s="5">
        <f t="shared" si="15"/>
        <v>115.75</v>
      </c>
      <c r="R128" s="5">
        <f t="shared" si="16"/>
        <v>92.600000000000009</v>
      </c>
      <c r="S128" s="5">
        <f t="shared" si="17"/>
        <v>69.45</v>
      </c>
      <c r="T128" s="5">
        <f t="shared" si="18"/>
        <v>46.300000000000004</v>
      </c>
      <c r="U128" s="5">
        <f t="shared" si="19"/>
        <v>23.150000000000002</v>
      </c>
    </row>
    <row r="129" spans="1:21" x14ac:dyDescent="0.25">
      <c r="A129" s="5">
        <v>23972</v>
      </c>
      <c r="B129" s="9" t="s">
        <v>23</v>
      </c>
      <c r="C129" s="6">
        <v>44.446410999999998</v>
      </c>
      <c r="D129" s="6">
        <v>89.574306000000007</v>
      </c>
      <c r="E129" s="5">
        <v>1200</v>
      </c>
      <c r="F129" s="9" t="s">
        <v>42</v>
      </c>
      <c r="G129" s="4">
        <v>323.10000000000002</v>
      </c>
      <c r="H129" s="4">
        <f t="shared" si="10"/>
        <v>161.55000000000001</v>
      </c>
      <c r="I129" s="5">
        <v>120</v>
      </c>
      <c r="M129" s="5">
        <f t="shared" si="11"/>
        <v>290.79000000000002</v>
      </c>
      <c r="N129" s="5">
        <f t="shared" si="12"/>
        <v>258.48</v>
      </c>
      <c r="O129" s="5">
        <f t="shared" si="13"/>
        <v>226.17</v>
      </c>
      <c r="P129" s="5">
        <f t="shared" si="14"/>
        <v>193.86</v>
      </c>
      <c r="Q129" s="5">
        <f t="shared" si="15"/>
        <v>161.55000000000001</v>
      </c>
      <c r="R129" s="5">
        <f t="shared" si="16"/>
        <v>129.24</v>
      </c>
      <c r="S129" s="5">
        <f t="shared" si="17"/>
        <v>96.93</v>
      </c>
      <c r="T129" s="5">
        <f t="shared" si="18"/>
        <v>64.62</v>
      </c>
      <c r="U129" s="5">
        <f t="shared" si="19"/>
        <v>32.31</v>
      </c>
    </row>
    <row r="130" spans="1:21" x14ac:dyDescent="0.25">
      <c r="A130" s="5">
        <v>23977</v>
      </c>
      <c r="B130" s="9" t="s">
        <v>23</v>
      </c>
      <c r="C130" s="6">
        <v>44.441501700000003</v>
      </c>
      <c r="D130" s="6">
        <v>89.456734999999995</v>
      </c>
      <c r="E130" s="5">
        <v>1000</v>
      </c>
      <c r="F130" s="9" t="s">
        <v>42</v>
      </c>
      <c r="G130" s="4">
        <v>152.5</v>
      </c>
      <c r="H130" s="4">
        <f t="shared" si="10"/>
        <v>76.25</v>
      </c>
      <c r="I130" s="5">
        <v>90</v>
      </c>
      <c r="M130" s="5">
        <f t="shared" si="11"/>
        <v>137.25</v>
      </c>
      <c r="N130" s="5">
        <f t="shared" si="12"/>
        <v>122</v>
      </c>
      <c r="O130" s="5">
        <f t="shared" si="13"/>
        <v>106.75</v>
      </c>
      <c r="P130" s="5">
        <f t="shared" si="14"/>
        <v>91.5</v>
      </c>
      <c r="Q130" s="5">
        <f t="shared" si="15"/>
        <v>76.25</v>
      </c>
      <c r="R130" s="5">
        <f t="shared" si="16"/>
        <v>61</v>
      </c>
      <c r="S130" s="5">
        <f t="shared" si="17"/>
        <v>45.75</v>
      </c>
      <c r="T130" s="5">
        <f t="shared" si="18"/>
        <v>30.5</v>
      </c>
      <c r="U130" s="5">
        <f t="shared" si="19"/>
        <v>15.25</v>
      </c>
    </row>
    <row r="131" spans="1:21" x14ac:dyDescent="0.25">
      <c r="A131" s="5">
        <v>23978</v>
      </c>
      <c r="B131" s="9" t="s">
        <v>23</v>
      </c>
      <c r="C131" s="6">
        <v>44.583046699999997</v>
      </c>
      <c r="D131" s="6">
        <v>89.451511600000003</v>
      </c>
      <c r="E131" s="5">
        <v>1000</v>
      </c>
      <c r="F131" s="9" t="s">
        <v>42</v>
      </c>
      <c r="G131" s="4">
        <v>11</v>
      </c>
      <c r="H131" s="4">
        <f t="shared" ref="H131:H194" si="20">Q131</f>
        <v>11</v>
      </c>
      <c r="I131" s="5">
        <v>90</v>
      </c>
      <c r="M131" s="5">
        <f t="shared" ref="M131:M194" si="21">IF($G131&gt;=50, $G131*0.9,$G131)</f>
        <v>11</v>
      </c>
      <c r="N131" s="5">
        <f t="shared" ref="N131:N194" si="22">IF($G131&gt;=50, $G131*0.8,$G131)</f>
        <v>11</v>
      </c>
      <c r="O131" s="5">
        <f t="shared" ref="O131:O194" si="23">IF($G131&gt;=50, $G131*0.7,$G131)</f>
        <v>11</v>
      </c>
      <c r="P131" s="5">
        <f t="shared" ref="P131:P194" si="24">IF($G131&gt;=50, $G131*0.6,$G131)</f>
        <v>11</v>
      </c>
      <c r="Q131" s="5">
        <f t="shared" ref="Q131:Q194" si="25">IF($G131&gt;=50, $G131*0.5,$G131)</f>
        <v>11</v>
      </c>
      <c r="R131" s="5">
        <f t="shared" ref="R131:R194" si="26">IF($G131&gt;=50, $G131*0.4,$G131)</f>
        <v>11</v>
      </c>
      <c r="S131" s="5">
        <f t="shared" ref="S131:S194" si="27">IF($G131&gt;=50, $G131*0.3,$G131)</f>
        <v>11</v>
      </c>
      <c r="T131" s="5">
        <f t="shared" ref="T131:T194" si="28">IF($G131&gt;=50, $G131*0.2,$G131)</f>
        <v>11</v>
      </c>
      <c r="U131" s="5">
        <f t="shared" ref="U131:U194" si="29">IF($G131&gt;=50, $G131*0.1,$G131)</f>
        <v>11</v>
      </c>
    </row>
    <row r="132" spans="1:21" x14ac:dyDescent="0.25">
      <c r="A132" s="5">
        <v>23979</v>
      </c>
      <c r="B132" s="9" t="s">
        <v>23</v>
      </c>
      <c r="C132" s="6">
        <v>44.556986000000002</v>
      </c>
      <c r="D132" s="6">
        <v>89.435924</v>
      </c>
      <c r="E132" s="5">
        <v>1000</v>
      </c>
      <c r="F132" s="9" t="s">
        <v>42</v>
      </c>
      <c r="G132" s="4">
        <v>186.4</v>
      </c>
      <c r="H132" s="4">
        <f t="shared" si="20"/>
        <v>93.2</v>
      </c>
      <c r="I132" s="5">
        <v>90</v>
      </c>
      <c r="M132" s="5">
        <f t="shared" si="21"/>
        <v>167.76000000000002</v>
      </c>
      <c r="N132" s="5">
        <f t="shared" si="22"/>
        <v>149.12</v>
      </c>
      <c r="O132" s="5">
        <f t="shared" si="23"/>
        <v>130.47999999999999</v>
      </c>
      <c r="P132" s="5">
        <f t="shared" si="24"/>
        <v>111.84</v>
      </c>
      <c r="Q132" s="5">
        <f t="shared" si="25"/>
        <v>93.2</v>
      </c>
      <c r="R132" s="5">
        <f t="shared" si="26"/>
        <v>74.56</v>
      </c>
      <c r="S132" s="5">
        <f t="shared" si="27"/>
        <v>55.92</v>
      </c>
      <c r="T132" s="5">
        <f t="shared" si="28"/>
        <v>37.28</v>
      </c>
      <c r="U132" s="5">
        <f t="shared" si="29"/>
        <v>18.64</v>
      </c>
    </row>
    <row r="133" spans="1:21" x14ac:dyDescent="0.25">
      <c r="A133" s="5">
        <v>23980</v>
      </c>
      <c r="B133" s="9" t="s">
        <v>23</v>
      </c>
      <c r="C133" s="6">
        <v>44.405113</v>
      </c>
      <c r="D133" s="6">
        <v>89.441811999999999</v>
      </c>
      <c r="E133" s="5">
        <v>1000</v>
      </c>
      <c r="F133" s="9" t="s">
        <v>42</v>
      </c>
      <c r="G133" s="4">
        <v>151.30000000000001</v>
      </c>
      <c r="H133" s="4">
        <f t="shared" si="20"/>
        <v>75.650000000000006</v>
      </c>
      <c r="I133" s="5">
        <v>120</v>
      </c>
      <c r="M133" s="5">
        <f t="shared" si="21"/>
        <v>136.17000000000002</v>
      </c>
      <c r="N133" s="5">
        <f t="shared" si="22"/>
        <v>121.04000000000002</v>
      </c>
      <c r="O133" s="5">
        <f t="shared" si="23"/>
        <v>105.91</v>
      </c>
      <c r="P133" s="5">
        <f t="shared" si="24"/>
        <v>90.78</v>
      </c>
      <c r="Q133" s="5">
        <f t="shared" si="25"/>
        <v>75.650000000000006</v>
      </c>
      <c r="R133" s="5">
        <f t="shared" si="26"/>
        <v>60.52000000000001</v>
      </c>
      <c r="S133" s="5">
        <f t="shared" si="27"/>
        <v>45.39</v>
      </c>
      <c r="T133" s="5">
        <f t="shared" si="28"/>
        <v>30.260000000000005</v>
      </c>
      <c r="U133" s="5">
        <f t="shared" si="29"/>
        <v>15.130000000000003</v>
      </c>
    </row>
    <row r="134" spans="1:21" x14ac:dyDescent="0.25">
      <c r="A134" s="5">
        <v>23981</v>
      </c>
      <c r="B134" s="9" t="s">
        <v>23</v>
      </c>
      <c r="C134" s="6">
        <v>44.445107899999996</v>
      </c>
      <c r="D134" s="6">
        <v>89.490872699999997</v>
      </c>
      <c r="E134" s="5">
        <v>1000</v>
      </c>
      <c r="F134" s="9" t="s">
        <v>45</v>
      </c>
      <c r="G134" s="4">
        <v>87.2</v>
      </c>
      <c r="H134" s="4">
        <f t="shared" si="20"/>
        <v>43.6</v>
      </c>
      <c r="I134" s="5">
        <v>120</v>
      </c>
      <c r="M134" s="5">
        <f t="shared" si="21"/>
        <v>78.48</v>
      </c>
      <c r="N134" s="5">
        <f t="shared" si="22"/>
        <v>69.760000000000005</v>
      </c>
      <c r="O134" s="5">
        <f t="shared" si="23"/>
        <v>61.04</v>
      </c>
      <c r="P134" s="5">
        <f t="shared" si="24"/>
        <v>52.32</v>
      </c>
      <c r="Q134" s="5">
        <f t="shared" si="25"/>
        <v>43.6</v>
      </c>
      <c r="R134" s="5">
        <f t="shared" si="26"/>
        <v>34.880000000000003</v>
      </c>
      <c r="S134" s="5">
        <f t="shared" si="27"/>
        <v>26.16</v>
      </c>
      <c r="T134" s="5">
        <f t="shared" si="28"/>
        <v>17.440000000000001</v>
      </c>
      <c r="U134" s="5">
        <f t="shared" si="29"/>
        <v>8.7200000000000006</v>
      </c>
    </row>
    <row r="135" spans="1:21" x14ac:dyDescent="0.25">
      <c r="A135" s="5">
        <v>23983</v>
      </c>
      <c r="B135" s="9" t="s">
        <v>23</v>
      </c>
      <c r="C135" s="6">
        <v>44.535150999999999</v>
      </c>
      <c r="D135" s="6">
        <v>89.439670000000007</v>
      </c>
      <c r="E135" s="5">
        <v>1200</v>
      </c>
      <c r="F135" s="9" t="s">
        <v>51</v>
      </c>
      <c r="G135" s="4">
        <v>806.4</v>
      </c>
      <c r="H135" s="4">
        <f t="shared" si="20"/>
        <v>403.2</v>
      </c>
      <c r="I135" s="5">
        <v>120</v>
      </c>
      <c r="M135" s="5">
        <f t="shared" si="21"/>
        <v>725.76</v>
      </c>
      <c r="N135" s="5">
        <f t="shared" si="22"/>
        <v>645.12</v>
      </c>
      <c r="O135" s="5">
        <f t="shared" si="23"/>
        <v>564.4799999999999</v>
      </c>
      <c r="P135" s="5">
        <f t="shared" si="24"/>
        <v>483.84</v>
      </c>
      <c r="Q135" s="5">
        <f t="shared" si="25"/>
        <v>403.2</v>
      </c>
      <c r="R135" s="5">
        <f t="shared" si="26"/>
        <v>322.56</v>
      </c>
      <c r="S135" s="5">
        <f t="shared" si="27"/>
        <v>241.92</v>
      </c>
      <c r="T135" s="5">
        <f t="shared" si="28"/>
        <v>161.28</v>
      </c>
      <c r="U135" s="5">
        <f t="shared" si="29"/>
        <v>80.64</v>
      </c>
    </row>
    <row r="136" spans="1:21" x14ac:dyDescent="0.25">
      <c r="A136" s="5">
        <v>23984</v>
      </c>
      <c r="B136" s="9" t="s">
        <v>23</v>
      </c>
      <c r="C136" s="6">
        <v>44.427312000000001</v>
      </c>
      <c r="D136" s="6">
        <v>89.508318000000003</v>
      </c>
      <c r="F136" s="9" t="s">
        <v>42</v>
      </c>
      <c r="G136" s="4">
        <v>278.89999999999998</v>
      </c>
      <c r="H136" s="4">
        <f t="shared" si="20"/>
        <v>139.44999999999999</v>
      </c>
      <c r="I136" s="5">
        <v>120</v>
      </c>
      <c r="M136" s="5">
        <f t="shared" si="21"/>
        <v>251.01</v>
      </c>
      <c r="N136" s="5">
        <f t="shared" si="22"/>
        <v>223.12</v>
      </c>
      <c r="O136" s="5">
        <f t="shared" si="23"/>
        <v>195.22999999999996</v>
      </c>
      <c r="P136" s="5">
        <f t="shared" si="24"/>
        <v>167.33999999999997</v>
      </c>
      <c r="Q136" s="5">
        <f t="shared" si="25"/>
        <v>139.44999999999999</v>
      </c>
      <c r="R136" s="5">
        <f t="shared" si="26"/>
        <v>111.56</v>
      </c>
      <c r="S136" s="5">
        <f t="shared" si="27"/>
        <v>83.669999999999987</v>
      </c>
      <c r="T136" s="5">
        <f t="shared" si="28"/>
        <v>55.78</v>
      </c>
      <c r="U136" s="5">
        <f t="shared" si="29"/>
        <v>27.89</v>
      </c>
    </row>
    <row r="137" spans="1:21" x14ac:dyDescent="0.25">
      <c r="A137" s="5">
        <v>23985</v>
      </c>
      <c r="B137" s="9" t="s">
        <v>23</v>
      </c>
      <c r="C137" s="6">
        <v>44.437597099999998</v>
      </c>
      <c r="D137" s="6">
        <v>89.5161351</v>
      </c>
      <c r="F137" s="9" t="s">
        <v>57</v>
      </c>
      <c r="G137" s="4">
        <v>333.6</v>
      </c>
      <c r="H137" s="4">
        <f t="shared" si="20"/>
        <v>166.8</v>
      </c>
      <c r="I137" s="5">
        <v>120</v>
      </c>
      <c r="M137" s="5">
        <f t="shared" si="21"/>
        <v>300.24</v>
      </c>
      <c r="N137" s="5">
        <f t="shared" si="22"/>
        <v>266.88000000000005</v>
      </c>
      <c r="O137" s="5">
        <f t="shared" si="23"/>
        <v>233.52</v>
      </c>
      <c r="P137" s="5">
        <f t="shared" si="24"/>
        <v>200.16</v>
      </c>
      <c r="Q137" s="5">
        <f t="shared" si="25"/>
        <v>166.8</v>
      </c>
      <c r="R137" s="5">
        <f t="shared" si="26"/>
        <v>133.44000000000003</v>
      </c>
      <c r="S137" s="5">
        <f t="shared" si="27"/>
        <v>100.08</v>
      </c>
      <c r="T137" s="5">
        <f t="shared" si="28"/>
        <v>66.720000000000013</v>
      </c>
      <c r="U137" s="5">
        <f t="shared" si="29"/>
        <v>33.360000000000007</v>
      </c>
    </row>
    <row r="138" spans="1:21" x14ac:dyDescent="0.25">
      <c r="A138" s="5">
        <v>23987</v>
      </c>
      <c r="B138" s="9" t="s">
        <v>23</v>
      </c>
      <c r="C138" s="6">
        <v>44.420663300000001</v>
      </c>
      <c r="D138" s="6">
        <v>89.464018300000006</v>
      </c>
      <c r="F138" s="9" t="s">
        <v>42</v>
      </c>
      <c r="G138" s="4">
        <v>419.8</v>
      </c>
      <c r="H138" s="4">
        <f t="shared" si="20"/>
        <v>209.9</v>
      </c>
      <c r="I138" s="5">
        <v>90</v>
      </c>
      <c r="M138" s="5">
        <f t="shared" si="21"/>
        <v>377.82</v>
      </c>
      <c r="N138" s="5">
        <f t="shared" si="22"/>
        <v>335.84000000000003</v>
      </c>
      <c r="O138" s="5">
        <f t="shared" si="23"/>
        <v>293.86</v>
      </c>
      <c r="P138" s="5">
        <f t="shared" si="24"/>
        <v>251.88</v>
      </c>
      <c r="Q138" s="5">
        <f t="shared" si="25"/>
        <v>209.9</v>
      </c>
      <c r="R138" s="5">
        <f t="shared" si="26"/>
        <v>167.92000000000002</v>
      </c>
      <c r="S138" s="5">
        <f t="shared" si="27"/>
        <v>125.94</v>
      </c>
      <c r="T138" s="5">
        <f t="shared" si="28"/>
        <v>83.960000000000008</v>
      </c>
      <c r="U138" s="5">
        <f t="shared" si="29"/>
        <v>41.980000000000004</v>
      </c>
    </row>
    <row r="139" spans="1:21" x14ac:dyDescent="0.25">
      <c r="A139" s="5">
        <v>23998</v>
      </c>
      <c r="B139" s="9" t="s">
        <v>23</v>
      </c>
      <c r="C139" s="6">
        <v>44.541550999999998</v>
      </c>
      <c r="D139" s="6">
        <v>89.499075000000005</v>
      </c>
      <c r="F139" s="9" t="s">
        <v>56</v>
      </c>
      <c r="G139" s="4">
        <v>93.4</v>
      </c>
      <c r="H139" s="4">
        <f t="shared" si="20"/>
        <v>46.7</v>
      </c>
      <c r="I139" s="5">
        <v>120</v>
      </c>
      <c r="M139" s="5">
        <f t="shared" si="21"/>
        <v>84.06</v>
      </c>
      <c r="N139" s="5">
        <f t="shared" si="22"/>
        <v>74.720000000000013</v>
      </c>
      <c r="O139" s="5">
        <f t="shared" si="23"/>
        <v>65.38</v>
      </c>
      <c r="P139" s="5">
        <f t="shared" si="24"/>
        <v>56.04</v>
      </c>
      <c r="Q139" s="5">
        <f t="shared" si="25"/>
        <v>46.7</v>
      </c>
      <c r="R139" s="5">
        <f t="shared" si="26"/>
        <v>37.360000000000007</v>
      </c>
      <c r="S139" s="5">
        <f t="shared" si="27"/>
        <v>28.02</v>
      </c>
      <c r="T139" s="5">
        <f t="shared" si="28"/>
        <v>18.680000000000003</v>
      </c>
      <c r="U139" s="5">
        <f t="shared" si="29"/>
        <v>9.3400000000000016</v>
      </c>
    </row>
    <row r="140" spans="1:21" x14ac:dyDescent="0.25">
      <c r="A140" s="5">
        <v>24003</v>
      </c>
      <c r="B140" s="9" t="s">
        <v>23</v>
      </c>
      <c r="C140" s="6">
        <v>44.428347000000002</v>
      </c>
      <c r="D140" s="6">
        <v>89.521495999999999</v>
      </c>
      <c r="E140" s="5">
        <v>1500</v>
      </c>
      <c r="F140" s="9" t="s">
        <v>42</v>
      </c>
      <c r="G140" s="4">
        <v>117.8</v>
      </c>
      <c r="H140" s="4">
        <f t="shared" si="20"/>
        <v>58.9</v>
      </c>
      <c r="I140" s="5">
        <v>180</v>
      </c>
      <c r="M140" s="5">
        <f t="shared" si="21"/>
        <v>106.02</v>
      </c>
      <c r="N140" s="5">
        <f t="shared" si="22"/>
        <v>94.240000000000009</v>
      </c>
      <c r="O140" s="5">
        <f t="shared" si="23"/>
        <v>82.46</v>
      </c>
      <c r="P140" s="5">
        <f t="shared" si="24"/>
        <v>70.679999999999993</v>
      </c>
      <c r="Q140" s="5">
        <f t="shared" si="25"/>
        <v>58.9</v>
      </c>
      <c r="R140" s="5">
        <f t="shared" si="26"/>
        <v>47.120000000000005</v>
      </c>
      <c r="S140" s="5">
        <f t="shared" si="27"/>
        <v>35.339999999999996</v>
      </c>
      <c r="T140" s="5">
        <f t="shared" si="28"/>
        <v>23.560000000000002</v>
      </c>
      <c r="U140" s="5">
        <f t="shared" si="29"/>
        <v>11.780000000000001</v>
      </c>
    </row>
    <row r="141" spans="1:21" x14ac:dyDescent="0.25">
      <c r="A141" s="5">
        <v>24005</v>
      </c>
      <c r="B141" s="9" t="s">
        <v>23</v>
      </c>
      <c r="C141" s="6">
        <v>44.433606699999999</v>
      </c>
      <c r="D141" s="6">
        <v>89.441599600000004</v>
      </c>
      <c r="E141" s="5">
        <v>1200</v>
      </c>
      <c r="F141" s="9" t="s">
        <v>42</v>
      </c>
      <c r="G141" s="4">
        <v>284</v>
      </c>
      <c r="H141" s="4">
        <f t="shared" si="20"/>
        <v>142</v>
      </c>
      <c r="I141" s="5">
        <v>150</v>
      </c>
      <c r="M141" s="5">
        <f t="shared" si="21"/>
        <v>255.6</v>
      </c>
      <c r="N141" s="5">
        <f t="shared" si="22"/>
        <v>227.20000000000002</v>
      </c>
      <c r="O141" s="5">
        <f t="shared" si="23"/>
        <v>198.79999999999998</v>
      </c>
      <c r="P141" s="5">
        <f t="shared" si="24"/>
        <v>170.4</v>
      </c>
      <c r="Q141" s="5">
        <f t="shared" si="25"/>
        <v>142</v>
      </c>
      <c r="R141" s="5">
        <f t="shared" si="26"/>
        <v>113.60000000000001</v>
      </c>
      <c r="S141" s="5">
        <f t="shared" si="27"/>
        <v>85.2</v>
      </c>
      <c r="T141" s="5">
        <f t="shared" si="28"/>
        <v>56.800000000000004</v>
      </c>
      <c r="U141" s="5">
        <f t="shared" si="29"/>
        <v>28.400000000000002</v>
      </c>
    </row>
    <row r="142" spans="1:21" x14ac:dyDescent="0.25">
      <c r="A142" s="5">
        <v>24010</v>
      </c>
      <c r="B142" s="9" t="s">
        <v>23</v>
      </c>
      <c r="C142" s="6">
        <v>44.494378599999997</v>
      </c>
      <c r="D142" s="6">
        <v>89.493642100000002</v>
      </c>
      <c r="E142" s="5">
        <v>1200</v>
      </c>
      <c r="F142" s="9" t="s">
        <v>42</v>
      </c>
      <c r="G142" s="4">
        <v>1</v>
      </c>
      <c r="H142" s="4">
        <f t="shared" si="20"/>
        <v>1</v>
      </c>
      <c r="I142" s="5">
        <v>150</v>
      </c>
      <c r="M142" s="5">
        <f t="shared" si="21"/>
        <v>1</v>
      </c>
      <c r="N142" s="5">
        <f t="shared" si="22"/>
        <v>1</v>
      </c>
      <c r="O142" s="5">
        <f t="shared" si="23"/>
        <v>1</v>
      </c>
      <c r="P142" s="5">
        <f t="shared" si="24"/>
        <v>1</v>
      </c>
      <c r="Q142" s="5">
        <f t="shared" si="25"/>
        <v>1</v>
      </c>
      <c r="R142" s="5">
        <f t="shared" si="26"/>
        <v>1</v>
      </c>
      <c r="S142" s="5">
        <f t="shared" si="27"/>
        <v>1</v>
      </c>
      <c r="T142" s="5">
        <f t="shared" si="28"/>
        <v>1</v>
      </c>
      <c r="U142" s="5">
        <f t="shared" si="29"/>
        <v>1</v>
      </c>
    </row>
    <row r="143" spans="1:21" x14ac:dyDescent="0.25">
      <c r="A143" s="5">
        <v>24011</v>
      </c>
      <c r="B143" s="9" t="s">
        <v>23</v>
      </c>
      <c r="C143" s="6">
        <v>44.491616</v>
      </c>
      <c r="D143" s="6">
        <v>89.446966000000003</v>
      </c>
      <c r="E143" s="5">
        <v>1200</v>
      </c>
      <c r="F143" s="9" t="s">
        <v>42</v>
      </c>
      <c r="G143" s="4">
        <v>257.10000000000002</v>
      </c>
      <c r="H143" s="4">
        <f t="shared" si="20"/>
        <v>128.55000000000001</v>
      </c>
      <c r="I143" s="5">
        <v>90</v>
      </c>
      <c r="M143" s="5">
        <f t="shared" si="21"/>
        <v>231.39000000000001</v>
      </c>
      <c r="N143" s="5">
        <f t="shared" si="22"/>
        <v>205.68000000000004</v>
      </c>
      <c r="O143" s="5">
        <f t="shared" si="23"/>
        <v>179.97</v>
      </c>
      <c r="P143" s="5">
        <f t="shared" si="24"/>
        <v>154.26000000000002</v>
      </c>
      <c r="Q143" s="5">
        <f t="shared" si="25"/>
        <v>128.55000000000001</v>
      </c>
      <c r="R143" s="5">
        <f t="shared" si="26"/>
        <v>102.84000000000002</v>
      </c>
      <c r="S143" s="5">
        <f t="shared" si="27"/>
        <v>77.13000000000001</v>
      </c>
      <c r="T143" s="5">
        <f t="shared" si="28"/>
        <v>51.420000000000009</v>
      </c>
      <c r="U143" s="5">
        <f t="shared" si="29"/>
        <v>25.710000000000004</v>
      </c>
    </row>
    <row r="144" spans="1:21" x14ac:dyDescent="0.25">
      <c r="A144" s="5">
        <v>24012</v>
      </c>
      <c r="B144" s="9" t="s">
        <v>23</v>
      </c>
      <c r="C144" s="6">
        <v>44.410333299999998</v>
      </c>
      <c r="D144" s="6">
        <v>89.533716699999999</v>
      </c>
      <c r="F144" s="9" t="s">
        <v>42</v>
      </c>
      <c r="G144" s="4">
        <v>188.1</v>
      </c>
      <c r="H144" s="4">
        <f t="shared" si="20"/>
        <v>94.05</v>
      </c>
      <c r="I144" s="5">
        <v>120</v>
      </c>
      <c r="M144" s="5">
        <f t="shared" si="21"/>
        <v>169.29</v>
      </c>
      <c r="N144" s="5">
        <f t="shared" si="22"/>
        <v>150.47999999999999</v>
      </c>
      <c r="O144" s="5">
        <f t="shared" si="23"/>
        <v>131.66999999999999</v>
      </c>
      <c r="P144" s="5">
        <f t="shared" si="24"/>
        <v>112.86</v>
      </c>
      <c r="Q144" s="5">
        <f t="shared" si="25"/>
        <v>94.05</v>
      </c>
      <c r="R144" s="5">
        <f t="shared" si="26"/>
        <v>75.239999999999995</v>
      </c>
      <c r="S144" s="5">
        <f t="shared" si="27"/>
        <v>56.43</v>
      </c>
      <c r="T144" s="5">
        <f t="shared" si="28"/>
        <v>37.619999999999997</v>
      </c>
      <c r="U144" s="5">
        <f t="shared" si="29"/>
        <v>18.809999999999999</v>
      </c>
    </row>
    <row r="145" spans="1:21" x14ac:dyDescent="0.25">
      <c r="A145" s="5">
        <v>24016</v>
      </c>
      <c r="B145" s="9" t="s">
        <v>23</v>
      </c>
      <c r="C145" s="6">
        <v>44.428235000000001</v>
      </c>
      <c r="D145" s="6">
        <v>89.559001699999996</v>
      </c>
      <c r="F145" s="9" t="s">
        <v>42</v>
      </c>
      <c r="G145" s="4">
        <v>249.1</v>
      </c>
      <c r="H145" s="4">
        <f t="shared" si="20"/>
        <v>124.55</v>
      </c>
      <c r="I145" s="5">
        <v>120</v>
      </c>
      <c r="M145" s="5">
        <f t="shared" si="21"/>
        <v>224.19</v>
      </c>
      <c r="N145" s="5">
        <f t="shared" si="22"/>
        <v>199.28</v>
      </c>
      <c r="O145" s="5">
        <f t="shared" si="23"/>
        <v>174.36999999999998</v>
      </c>
      <c r="P145" s="5">
        <f t="shared" si="24"/>
        <v>149.45999999999998</v>
      </c>
      <c r="Q145" s="5">
        <f t="shared" si="25"/>
        <v>124.55</v>
      </c>
      <c r="R145" s="5">
        <f t="shared" si="26"/>
        <v>99.64</v>
      </c>
      <c r="S145" s="5">
        <f t="shared" si="27"/>
        <v>74.72999999999999</v>
      </c>
      <c r="T145" s="5">
        <f t="shared" si="28"/>
        <v>49.82</v>
      </c>
      <c r="U145" s="5">
        <f t="shared" si="29"/>
        <v>24.91</v>
      </c>
    </row>
    <row r="146" spans="1:21" x14ac:dyDescent="0.25">
      <c r="A146" s="5">
        <v>24024</v>
      </c>
      <c r="B146" s="9" t="s">
        <v>23</v>
      </c>
      <c r="C146" s="6">
        <v>44.397278999999997</v>
      </c>
      <c r="D146" s="6">
        <v>89.431704999999994</v>
      </c>
      <c r="E146" s="5">
        <v>1000</v>
      </c>
      <c r="F146" s="9" t="s">
        <v>42</v>
      </c>
      <c r="G146" s="4">
        <v>161.69999999999999</v>
      </c>
      <c r="H146" s="4">
        <f t="shared" si="20"/>
        <v>80.849999999999994</v>
      </c>
      <c r="I146" s="5">
        <v>90</v>
      </c>
      <c r="M146" s="5">
        <f t="shared" si="21"/>
        <v>145.53</v>
      </c>
      <c r="N146" s="5">
        <f t="shared" si="22"/>
        <v>129.35999999999999</v>
      </c>
      <c r="O146" s="5">
        <f t="shared" si="23"/>
        <v>113.18999999999998</v>
      </c>
      <c r="P146" s="5">
        <f t="shared" si="24"/>
        <v>97.02</v>
      </c>
      <c r="Q146" s="5">
        <f t="shared" si="25"/>
        <v>80.849999999999994</v>
      </c>
      <c r="R146" s="5">
        <f t="shared" si="26"/>
        <v>64.679999999999993</v>
      </c>
      <c r="S146" s="5">
        <f t="shared" si="27"/>
        <v>48.51</v>
      </c>
      <c r="T146" s="5">
        <f t="shared" si="28"/>
        <v>32.339999999999996</v>
      </c>
      <c r="U146" s="5">
        <f t="shared" si="29"/>
        <v>16.169999999999998</v>
      </c>
    </row>
    <row r="147" spans="1:21" x14ac:dyDescent="0.25">
      <c r="A147" s="5">
        <v>24030</v>
      </c>
      <c r="B147" s="9" t="s">
        <v>23</v>
      </c>
      <c r="C147" s="6">
        <v>44.421802</v>
      </c>
      <c r="D147" s="6">
        <v>89.451528999999994</v>
      </c>
      <c r="E147" s="5">
        <v>1200</v>
      </c>
      <c r="F147" s="9" t="s">
        <v>42</v>
      </c>
      <c r="G147" s="4">
        <v>226</v>
      </c>
      <c r="H147" s="4">
        <f t="shared" si="20"/>
        <v>113</v>
      </c>
      <c r="I147" s="5">
        <v>90</v>
      </c>
      <c r="M147" s="5">
        <f t="shared" si="21"/>
        <v>203.4</v>
      </c>
      <c r="N147" s="5">
        <f t="shared" si="22"/>
        <v>180.8</v>
      </c>
      <c r="O147" s="5">
        <f t="shared" si="23"/>
        <v>158.19999999999999</v>
      </c>
      <c r="P147" s="5">
        <f t="shared" si="24"/>
        <v>135.6</v>
      </c>
      <c r="Q147" s="5">
        <f t="shared" si="25"/>
        <v>113</v>
      </c>
      <c r="R147" s="5">
        <f t="shared" si="26"/>
        <v>90.4</v>
      </c>
      <c r="S147" s="5">
        <f t="shared" si="27"/>
        <v>67.8</v>
      </c>
      <c r="T147" s="5">
        <f t="shared" si="28"/>
        <v>45.2</v>
      </c>
      <c r="U147" s="5">
        <f t="shared" si="29"/>
        <v>22.6</v>
      </c>
    </row>
    <row r="148" spans="1:21" x14ac:dyDescent="0.25">
      <c r="A148" s="5">
        <v>24033</v>
      </c>
      <c r="B148" s="9" t="s">
        <v>23</v>
      </c>
      <c r="C148" s="6">
        <v>44.413536700000002</v>
      </c>
      <c r="D148" s="6">
        <v>89.4660267</v>
      </c>
      <c r="E148" s="5">
        <v>1200</v>
      </c>
      <c r="F148" s="9" t="s">
        <v>42</v>
      </c>
      <c r="G148" s="4">
        <v>267.2</v>
      </c>
      <c r="H148" s="4">
        <f t="shared" si="20"/>
        <v>133.6</v>
      </c>
      <c r="I148" s="5">
        <v>120</v>
      </c>
      <c r="M148" s="5">
        <f t="shared" si="21"/>
        <v>240.48</v>
      </c>
      <c r="N148" s="5">
        <f t="shared" si="22"/>
        <v>213.76</v>
      </c>
      <c r="O148" s="5">
        <f t="shared" si="23"/>
        <v>187.04</v>
      </c>
      <c r="P148" s="5">
        <f t="shared" si="24"/>
        <v>160.32</v>
      </c>
      <c r="Q148" s="5">
        <f t="shared" si="25"/>
        <v>133.6</v>
      </c>
      <c r="R148" s="5">
        <f t="shared" si="26"/>
        <v>106.88</v>
      </c>
      <c r="S148" s="5">
        <f t="shared" si="27"/>
        <v>80.16</v>
      </c>
      <c r="T148" s="5">
        <f t="shared" si="28"/>
        <v>53.44</v>
      </c>
      <c r="U148" s="5">
        <f t="shared" si="29"/>
        <v>26.72</v>
      </c>
    </row>
    <row r="149" spans="1:21" x14ac:dyDescent="0.25">
      <c r="A149" s="5">
        <v>24036</v>
      </c>
      <c r="B149" s="9" t="s">
        <v>23</v>
      </c>
      <c r="C149" s="6">
        <v>44.399726000000001</v>
      </c>
      <c r="D149" s="6">
        <v>89.441773999999995</v>
      </c>
      <c r="E149" s="5">
        <v>1000</v>
      </c>
      <c r="F149" s="9" t="s">
        <v>42</v>
      </c>
      <c r="G149" s="4">
        <v>201.4</v>
      </c>
      <c r="H149" s="4">
        <f t="shared" si="20"/>
        <v>100.7</v>
      </c>
      <c r="I149" s="5">
        <v>120</v>
      </c>
      <c r="M149" s="5">
        <f t="shared" si="21"/>
        <v>181.26000000000002</v>
      </c>
      <c r="N149" s="5">
        <f t="shared" si="22"/>
        <v>161.12</v>
      </c>
      <c r="O149" s="5">
        <f t="shared" si="23"/>
        <v>140.97999999999999</v>
      </c>
      <c r="P149" s="5">
        <f t="shared" si="24"/>
        <v>120.84</v>
      </c>
      <c r="Q149" s="5">
        <f t="shared" si="25"/>
        <v>100.7</v>
      </c>
      <c r="R149" s="5">
        <f t="shared" si="26"/>
        <v>80.56</v>
      </c>
      <c r="S149" s="5">
        <f t="shared" si="27"/>
        <v>60.42</v>
      </c>
      <c r="T149" s="5">
        <f t="shared" si="28"/>
        <v>40.28</v>
      </c>
      <c r="U149" s="5">
        <f t="shared" si="29"/>
        <v>20.14</v>
      </c>
    </row>
    <row r="150" spans="1:21" x14ac:dyDescent="0.25">
      <c r="A150" s="5">
        <v>24037</v>
      </c>
      <c r="B150" s="9" t="s">
        <v>23</v>
      </c>
      <c r="C150" s="6">
        <v>44.543129999999998</v>
      </c>
      <c r="D150" s="6">
        <v>89.408928299999999</v>
      </c>
      <c r="E150" s="5">
        <v>1000</v>
      </c>
      <c r="F150" s="9" t="s">
        <v>36</v>
      </c>
      <c r="G150" s="4">
        <v>1</v>
      </c>
      <c r="H150" s="4">
        <f t="shared" si="20"/>
        <v>1</v>
      </c>
      <c r="I150" s="5">
        <v>60</v>
      </c>
      <c r="M150" s="5">
        <f t="shared" si="21"/>
        <v>1</v>
      </c>
      <c r="N150" s="5">
        <f t="shared" si="22"/>
        <v>1</v>
      </c>
      <c r="O150" s="5">
        <f t="shared" si="23"/>
        <v>1</v>
      </c>
      <c r="P150" s="5">
        <f t="shared" si="24"/>
        <v>1</v>
      </c>
      <c r="Q150" s="5">
        <f t="shared" si="25"/>
        <v>1</v>
      </c>
      <c r="R150" s="5">
        <f t="shared" si="26"/>
        <v>1</v>
      </c>
      <c r="S150" s="5">
        <f t="shared" si="27"/>
        <v>1</v>
      </c>
      <c r="T150" s="5">
        <f t="shared" si="28"/>
        <v>1</v>
      </c>
      <c r="U150" s="5">
        <f t="shared" si="29"/>
        <v>1</v>
      </c>
    </row>
    <row r="151" spans="1:21" x14ac:dyDescent="0.25">
      <c r="A151" s="5">
        <v>24042</v>
      </c>
      <c r="B151" s="9" t="s">
        <v>23</v>
      </c>
      <c r="C151" s="6">
        <v>44.425277899999998</v>
      </c>
      <c r="D151" s="6">
        <v>89.421231199999994</v>
      </c>
      <c r="F151" s="9" t="s">
        <v>36</v>
      </c>
      <c r="G151" s="4">
        <v>263.10000000000002</v>
      </c>
      <c r="H151" s="4">
        <f t="shared" si="20"/>
        <v>131.55000000000001</v>
      </c>
      <c r="I151" s="5">
        <v>90</v>
      </c>
      <c r="M151" s="5">
        <f t="shared" si="21"/>
        <v>236.79000000000002</v>
      </c>
      <c r="N151" s="5">
        <f t="shared" si="22"/>
        <v>210.48000000000002</v>
      </c>
      <c r="O151" s="5">
        <f t="shared" si="23"/>
        <v>184.17000000000002</v>
      </c>
      <c r="P151" s="5">
        <f t="shared" si="24"/>
        <v>157.86000000000001</v>
      </c>
      <c r="Q151" s="5">
        <f t="shared" si="25"/>
        <v>131.55000000000001</v>
      </c>
      <c r="R151" s="5">
        <f t="shared" si="26"/>
        <v>105.24000000000001</v>
      </c>
      <c r="S151" s="5">
        <f t="shared" si="27"/>
        <v>78.930000000000007</v>
      </c>
      <c r="T151" s="5">
        <f t="shared" si="28"/>
        <v>52.620000000000005</v>
      </c>
      <c r="U151" s="5">
        <f t="shared" si="29"/>
        <v>26.310000000000002</v>
      </c>
    </row>
    <row r="152" spans="1:21" x14ac:dyDescent="0.25">
      <c r="A152" s="5">
        <v>24043</v>
      </c>
      <c r="B152" s="9" t="s">
        <v>23</v>
      </c>
      <c r="C152" s="6">
        <v>44.390087000000001</v>
      </c>
      <c r="D152" s="6">
        <v>89.431683000000007</v>
      </c>
      <c r="E152" s="5">
        <v>1200</v>
      </c>
      <c r="F152" s="9" t="s">
        <v>42</v>
      </c>
      <c r="G152" s="4">
        <v>111.4</v>
      </c>
      <c r="H152" s="4">
        <f t="shared" si="20"/>
        <v>55.7</v>
      </c>
      <c r="I152" s="5">
        <v>120</v>
      </c>
      <c r="M152" s="5">
        <f t="shared" si="21"/>
        <v>100.26</v>
      </c>
      <c r="N152" s="5">
        <f t="shared" si="22"/>
        <v>89.12</v>
      </c>
      <c r="O152" s="5">
        <f t="shared" si="23"/>
        <v>77.98</v>
      </c>
      <c r="P152" s="5">
        <f t="shared" si="24"/>
        <v>66.84</v>
      </c>
      <c r="Q152" s="5">
        <f t="shared" si="25"/>
        <v>55.7</v>
      </c>
      <c r="R152" s="5">
        <f t="shared" si="26"/>
        <v>44.56</v>
      </c>
      <c r="S152" s="5">
        <f t="shared" si="27"/>
        <v>33.42</v>
      </c>
      <c r="T152" s="5">
        <f t="shared" si="28"/>
        <v>22.28</v>
      </c>
      <c r="U152" s="5">
        <f t="shared" si="29"/>
        <v>11.14</v>
      </c>
    </row>
    <row r="153" spans="1:21" x14ac:dyDescent="0.25">
      <c r="A153" s="5">
        <v>24045</v>
      </c>
      <c r="B153" s="9" t="s">
        <v>23</v>
      </c>
      <c r="C153" s="6">
        <v>44.451194000000001</v>
      </c>
      <c r="D153" s="6">
        <v>89.504699000000002</v>
      </c>
      <c r="F153" s="9" t="s">
        <v>42</v>
      </c>
      <c r="G153" s="4">
        <v>204.8</v>
      </c>
      <c r="H153" s="4">
        <f t="shared" si="20"/>
        <v>102.4</v>
      </c>
      <c r="I153" s="5">
        <v>150</v>
      </c>
      <c r="M153" s="5">
        <f t="shared" si="21"/>
        <v>184.32000000000002</v>
      </c>
      <c r="N153" s="5">
        <f t="shared" si="22"/>
        <v>163.84000000000003</v>
      </c>
      <c r="O153" s="5">
        <f t="shared" si="23"/>
        <v>143.35999999999999</v>
      </c>
      <c r="P153" s="5">
        <f t="shared" si="24"/>
        <v>122.88</v>
      </c>
      <c r="Q153" s="5">
        <f t="shared" si="25"/>
        <v>102.4</v>
      </c>
      <c r="R153" s="5">
        <f t="shared" si="26"/>
        <v>81.920000000000016</v>
      </c>
      <c r="S153" s="5">
        <f t="shared" si="27"/>
        <v>61.44</v>
      </c>
      <c r="T153" s="5">
        <f t="shared" si="28"/>
        <v>40.960000000000008</v>
      </c>
      <c r="U153" s="5">
        <f t="shared" si="29"/>
        <v>20.480000000000004</v>
      </c>
    </row>
    <row r="154" spans="1:21" x14ac:dyDescent="0.25">
      <c r="A154" s="5">
        <v>24047</v>
      </c>
      <c r="B154" s="9" t="s">
        <v>23</v>
      </c>
      <c r="C154" s="6">
        <v>44.480670600000003</v>
      </c>
      <c r="D154" s="6">
        <v>89.408553800000007</v>
      </c>
      <c r="E154" s="5">
        <v>1000</v>
      </c>
      <c r="F154" s="9" t="s">
        <v>42</v>
      </c>
      <c r="G154" s="4">
        <v>91.5</v>
      </c>
      <c r="H154" s="4">
        <f t="shared" si="20"/>
        <v>45.75</v>
      </c>
      <c r="I154" s="5">
        <v>90</v>
      </c>
      <c r="M154" s="5">
        <f t="shared" si="21"/>
        <v>82.350000000000009</v>
      </c>
      <c r="N154" s="5">
        <f t="shared" si="22"/>
        <v>73.2</v>
      </c>
      <c r="O154" s="5">
        <f t="shared" si="23"/>
        <v>64.05</v>
      </c>
      <c r="P154" s="5">
        <f t="shared" si="24"/>
        <v>54.9</v>
      </c>
      <c r="Q154" s="5">
        <f t="shared" si="25"/>
        <v>45.75</v>
      </c>
      <c r="R154" s="5">
        <f t="shared" si="26"/>
        <v>36.6</v>
      </c>
      <c r="S154" s="5">
        <f t="shared" si="27"/>
        <v>27.45</v>
      </c>
      <c r="T154" s="5">
        <f t="shared" si="28"/>
        <v>18.3</v>
      </c>
      <c r="U154" s="5">
        <f t="shared" si="29"/>
        <v>9.15</v>
      </c>
    </row>
    <row r="155" spans="1:21" x14ac:dyDescent="0.25">
      <c r="A155" s="5">
        <v>24049</v>
      </c>
      <c r="B155" s="9" t="s">
        <v>23</v>
      </c>
      <c r="C155" s="6">
        <v>44.441336999999997</v>
      </c>
      <c r="D155" s="6">
        <v>89.495975299999998</v>
      </c>
      <c r="F155" s="9" t="s">
        <v>20</v>
      </c>
      <c r="G155" s="4">
        <v>150</v>
      </c>
      <c r="H155" s="4">
        <f t="shared" si="20"/>
        <v>75</v>
      </c>
      <c r="I155" s="5">
        <v>90</v>
      </c>
      <c r="M155" s="5">
        <f t="shared" si="21"/>
        <v>135</v>
      </c>
      <c r="N155" s="5">
        <f t="shared" si="22"/>
        <v>120</v>
      </c>
      <c r="O155" s="5">
        <f t="shared" si="23"/>
        <v>105</v>
      </c>
      <c r="P155" s="5">
        <f t="shared" si="24"/>
        <v>90</v>
      </c>
      <c r="Q155" s="5">
        <f t="shared" si="25"/>
        <v>75</v>
      </c>
      <c r="R155" s="5">
        <f t="shared" si="26"/>
        <v>60</v>
      </c>
      <c r="S155" s="5">
        <f t="shared" si="27"/>
        <v>45</v>
      </c>
      <c r="T155" s="5">
        <f t="shared" si="28"/>
        <v>30</v>
      </c>
      <c r="U155" s="5">
        <f t="shared" si="29"/>
        <v>15</v>
      </c>
    </row>
    <row r="156" spans="1:21" x14ac:dyDescent="0.25">
      <c r="A156" s="5">
        <v>24059</v>
      </c>
      <c r="B156" s="9" t="s">
        <v>23</v>
      </c>
      <c r="C156" s="6">
        <v>44.467435000000002</v>
      </c>
      <c r="D156" s="6">
        <v>89.391921800000006</v>
      </c>
      <c r="E156" s="5">
        <v>1200</v>
      </c>
      <c r="F156" s="9" t="s">
        <v>57</v>
      </c>
      <c r="G156" s="4">
        <v>111.8</v>
      </c>
      <c r="H156" s="4">
        <f t="shared" si="20"/>
        <v>55.9</v>
      </c>
      <c r="I156" s="5">
        <v>90</v>
      </c>
      <c r="M156" s="5">
        <f t="shared" si="21"/>
        <v>100.62</v>
      </c>
      <c r="N156" s="5">
        <f t="shared" si="22"/>
        <v>89.44</v>
      </c>
      <c r="O156" s="5">
        <f t="shared" si="23"/>
        <v>78.259999999999991</v>
      </c>
      <c r="P156" s="5">
        <f t="shared" si="24"/>
        <v>67.08</v>
      </c>
      <c r="Q156" s="5">
        <f t="shared" si="25"/>
        <v>55.9</v>
      </c>
      <c r="R156" s="5">
        <f t="shared" si="26"/>
        <v>44.72</v>
      </c>
      <c r="S156" s="5">
        <f t="shared" si="27"/>
        <v>33.54</v>
      </c>
      <c r="T156" s="5">
        <f t="shared" si="28"/>
        <v>22.36</v>
      </c>
      <c r="U156" s="5">
        <f t="shared" si="29"/>
        <v>11.18</v>
      </c>
    </row>
    <row r="157" spans="1:21" x14ac:dyDescent="0.25">
      <c r="A157" s="5">
        <v>24063</v>
      </c>
      <c r="B157" s="9" t="s">
        <v>23</v>
      </c>
      <c r="C157" s="6">
        <v>44.426806999999997</v>
      </c>
      <c r="D157" s="6">
        <v>89.490747999999996</v>
      </c>
      <c r="F157" s="9" t="s">
        <v>58</v>
      </c>
      <c r="G157" s="4">
        <v>81</v>
      </c>
      <c r="H157" s="4">
        <f t="shared" si="20"/>
        <v>40.5</v>
      </c>
      <c r="I157" s="5">
        <v>90</v>
      </c>
      <c r="M157" s="5">
        <f t="shared" si="21"/>
        <v>72.900000000000006</v>
      </c>
      <c r="N157" s="5">
        <f t="shared" si="22"/>
        <v>64.8</v>
      </c>
      <c r="O157" s="5">
        <f t="shared" si="23"/>
        <v>56.699999999999996</v>
      </c>
      <c r="P157" s="5">
        <f t="shared" si="24"/>
        <v>48.6</v>
      </c>
      <c r="Q157" s="5">
        <f t="shared" si="25"/>
        <v>40.5</v>
      </c>
      <c r="R157" s="5">
        <f t="shared" si="26"/>
        <v>32.4</v>
      </c>
      <c r="S157" s="5">
        <f t="shared" si="27"/>
        <v>24.3</v>
      </c>
      <c r="T157" s="5">
        <f t="shared" si="28"/>
        <v>16.2</v>
      </c>
      <c r="U157" s="5">
        <f t="shared" si="29"/>
        <v>8.1</v>
      </c>
    </row>
    <row r="158" spans="1:21" x14ac:dyDescent="0.25">
      <c r="A158" s="5">
        <v>24066</v>
      </c>
      <c r="B158" s="9" t="s">
        <v>23</v>
      </c>
      <c r="C158" s="6">
        <v>44.553604999999997</v>
      </c>
      <c r="D158" s="6">
        <v>89.446445999999995</v>
      </c>
      <c r="E158" s="5">
        <v>1200</v>
      </c>
      <c r="F158" s="9" t="s">
        <v>42</v>
      </c>
      <c r="G158" s="4">
        <v>1</v>
      </c>
      <c r="H158" s="4">
        <f t="shared" si="20"/>
        <v>1</v>
      </c>
      <c r="I158" s="5">
        <v>120</v>
      </c>
      <c r="M158" s="5">
        <f t="shared" si="21"/>
        <v>1</v>
      </c>
      <c r="N158" s="5">
        <f t="shared" si="22"/>
        <v>1</v>
      </c>
      <c r="O158" s="5">
        <f t="shared" si="23"/>
        <v>1</v>
      </c>
      <c r="P158" s="5">
        <f t="shared" si="24"/>
        <v>1</v>
      </c>
      <c r="Q158" s="5">
        <f t="shared" si="25"/>
        <v>1</v>
      </c>
      <c r="R158" s="5">
        <f t="shared" si="26"/>
        <v>1</v>
      </c>
      <c r="S158" s="5">
        <f t="shared" si="27"/>
        <v>1</v>
      </c>
      <c r="T158" s="5">
        <f t="shared" si="28"/>
        <v>1</v>
      </c>
      <c r="U158" s="5">
        <f t="shared" si="29"/>
        <v>1</v>
      </c>
    </row>
    <row r="159" spans="1:21" x14ac:dyDescent="0.25">
      <c r="A159" s="5">
        <v>24080</v>
      </c>
      <c r="B159" s="9" t="s">
        <v>23</v>
      </c>
      <c r="C159" s="6">
        <v>44.544285000000002</v>
      </c>
      <c r="D159" s="6">
        <v>89.456558000000001</v>
      </c>
      <c r="E159" s="5">
        <v>1000</v>
      </c>
      <c r="F159" s="9" t="s">
        <v>42</v>
      </c>
      <c r="G159" s="4">
        <v>164.4</v>
      </c>
      <c r="H159" s="4">
        <f t="shared" si="20"/>
        <v>82.2</v>
      </c>
      <c r="I159" s="5">
        <v>90</v>
      </c>
      <c r="M159" s="5">
        <f t="shared" si="21"/>
        <v>147.96</v>
      </c>
      <c r="N159" s="5">
        <f t="shared" si="22"/>
        <v>131.52000000000001</v>
      </c>
      <c r="O159" s="5">
        <f t="shared" si="23"/>
        <v>115.08</v>
      </c>
      <c r="P159" s="5">
        <f t="shared" si="24"/>
        <v>98.64</v>
      </c>
      <c r="Q159" s="5">
        <f t="shared" si="25"/>
        <v>82.2</v>
      </c>
      <c r="R159" s="5">
        <f t="shared" si="26"/>
        <v>65.760000000000005</v>
      </c>
      <c r="S159" s="5">
        <f t="shared" si="27"/>
        <v>49.32</v>
      </c>
      <c r="T159" s="5">
        <f t="shared" si="28"/>
        <v>32.880000000000003</v>
      </c>
      <c r="U159" s="5">
        <f t="shared" si="29"/>
        <v>16.440000000000001</v>
      </c>
    </row>
    <row r="160" spans="1:21" x14ac:dyDescent="0.25">
      <c r="A160" s="5">
        <v>24091</v>
      </c>
      <c r="B160" s="9" t="s">
        <v>23</v>
      </c>
      <c r="C160" s="6">
        <v>44.413466700000001</v>
      </c>
      <c r="D160" s="6">
        <v>89.492519900000005</v>
      </c>
      <c r="E160" s="5">
        <v>1200</v>
      </c>
      <c r="F160" s="9" t="s">
        <v>42</v>
      </c>
      <c r="G160" s="4">
        <v>88.9</v>
      </c>
      <c r="H160" s="4">
        <f t="shared" si="20"/>
        <v>44.45</v>
      </c>
      <c r="I160" s="5">
        <v>90</v>
      </c>
      <c r="M160" s="5">
        <f t="shared" si="21"/>
        <v>80.010000000000005</v>
      </c>
      <c r="N160" s="5">
        <f t="shared" si="22"/>
        <v>71.12</v>
      </c>
      <c r="O160" s="5">
        <f t="shared" si="23"/>
        <v>62.23</v>
      </c>
      <c r="P160" s="5">
        <f t="shared" si="24"/>
        <v>53.34</v>
      </c>
      <c r="Q160" s="5">
        <f t="shared" si="25"/>
        <v>44.45</v>
      </c>
      <c r="R160" s="5">
        <f t="shared" si="26"/>
        <v>35.56</v>
      </c>
      <c r="S160" s="5">
        <f t="shared" si="27"/>
        <v>26.67</v>
      </c>
      <c r="T160" s="5">
        <f t="shared" si="28"/>
        <v>17.78</v>
      </c>
      <c r="U160" s="5">
        <f t="shared" si="29"/>
        <v>8.89</v>
      </c>
    </row>
    <row r="161" spans="1:21" x14ac:dyDescent="0.25">
      <c r="A161" s="5">
        <v>24093</v>
      </c>
      <c r="B161" s="9" t="s">
        <v>23</v>
      </c>
      <c r="C161" s="6">
        <v>44.515315999999999</v>
      </c>
      <c r="D161" s="6">
        <v>89.472053000000002</v>
      </c>
      <c r="E161" s="5">
        <v>1200</v>
      </c>
      <c r="F161" s="9" t="s">
        <v>42</v>
      </c>
      <c r="G161" s="4">
        <v>1</v>
      </c>
      <c r="H161" s="4">
        <f t="shared" si="20"/>
        <v>1</v>
      </c>
      <c r="I161" s="5">
        <v>90</v>
      </c>
      <c r="M161" s="5">
        <f t="shared" si="21"/>
        <v>1</v>
      </c>
      <c r="N161" s="5">
        <f t="shared" si="22"/>
        <v>1</v>
      </c>
      <c r="O161" s="5">
        <f t="shared" si="23"/>
        <v>1</v>
      </c>
      <c r="P161" s="5">
        <f t="shared" si="24"/>
        <v>1</v>
      </c>
      <c r="Q161" s="5">
        <f t="shared" si="25"/>
        <v>1</v>
      </c>
      <c r="R161" s="5">
        <f t="shared" si="26"/>
        <v>1</v>
      </c>
      <c r="S161" s="5">
        <f t="shared" si="27"/>
        <v>1</v>
      </c>
      <c r="T161" s="5">
        <f t="shared" si="28"/>
        <v>1</v>
      </c>
      <c r="U161" s="5">
        <f t="shared" si="29"/>
        <v>1</v>
      </c>
    </row>
    <row r="162" spans="1:21" x14ac:dyDescent="0.25">
      <c r="A162" s="5">
        <v>24110</v>
      </c>
      <c r="B162" s="9" t="s">
        <v>23</v>
      </c>
      <c r="C162" s="6">
        <v>44.522171700000001</v>
      </c>
      <c r="D162" s="6">
        <v>89.462071699999996</v>
      </c>
      <c r="E162" s="5">
        <v>1000</v>
      </c>
      <c r="F162" s="9" t="s">
        <v>42</v>
      </c>
      <c r="G162" s="4">
        <v>1</v>
      </c>
      <c r="H162" s="4">
        <f t="shared" si="20"/>
        <v>1</v>
      </c>
      <c r="I162" s="5">
        <v>90</v>
      </c>
      <c r="M162" s="5">
        <f t="shared" si="21"/>
        <v>1</v>
      </c>
      <c r="N162" s="5">
        <f t="shared" si="22"/>
        <v>1</v>
      </c>
      <c r="O162" s="5">
        <f t="shared" si="23"/>
        <v>1</v>
      </c>
      <c r="P162" s="5">
        <f t="shared" si="24"/>
        <v>1</v>
      </c>
      <c r="Q162" s="5">
        <f t="shared" si="25"/>
        <v>1</v>
      </c>
      <c r="R162" s="5">
        <f t="shared" si="26"/>
        <v>1</v>
      </c>
      <c r="S162" s="5">
        <f t="shared" si="27"/>
        <v>1</v>
      </c>
      <c r="T162" s="5">
        <f t="shared" si="28"/>
        <v>1</v>
      </c>
      <c r="U162" s="5">
        <f t="shared" si="29"/>
        <v>1</v>
      </c>
    </row>
    <row r="163" spans="1:21" x14ac:dyDescent="0.25">
      <c r="A163" s="5">
        <v>24120</v>
      </c>
      <c r="B163" s="9" t="s">
        <v>23</v>
      </c>
      <c r="C163" s="6">
        <v>44.399678299999998</v>
      </c>
      <c r="D163" s="6">
        <v>89.524000000000001</v>
      </c>
      <c r="E163" s="5">
        <v>1000</v>
      </c>
      <c r="F163" s="9" t="s">
        <v>36</v>
      </c>
      <c r="G163" s="4">
        <v>271.10000000000002</v>
      </c>
      <c r="H163" s="4">
        <f t="shared" si="20"/>
        <v>135.55000000000001</v>
      </c>
      <c r="I163" s="5">
        <v>60</v>
      </c>
      <c r="M163" s="5">
        <f t="shared" si="21"/>
        <v>243.99000000000004</v>
      </c>
      <c r="N163" s="5">
        <f t="shared" si="22"/>
        <v>216.88000000000002</v>
      </c>
      <c r="O163" s="5">
        <f t="shared" si="23"/>
        <v>189.77</v>
      </c>
      <c r="P163" s="5">
        <f t="shared" si="24"/>
        <v>162.66</v>
      </c>
      <c r="Q163" s="5">
        <f t="shared" si="25"/>
        <v>135.55000000000001</v>
      </c>
      <c r="R163" s="5">
        <f t="shared" si="26"/>
        <v>108.44000000000001</v>
      </c>
      <c r="S163" s="5">
        <f t="shared" si="27"/>
        <v>81.33</v>
      </c>
      <c r="T163" s="5">
        <f t="shared" si="28"/>
        <v>54.220000000000006</v>
      </c>
      <c r="U163" s="5">
        <f t="shared" si="29"/>
        <v>27.110000000000003</v>
      </c>
    </row>
    <row r="164" spans="1:21" x14ac:dyDescent="0.25">
      <c r="A164" s="5">
        <v>24121</v>
      </c>
      <c r="B164" s="9" t="s">
        <v>23</v>
      </c>
      <c r="C164" s="6">
        <v>44.516401999999999</v>
      </c>
      <c r="D164" s="6">
        <v>89.488750999999993</v>
      </c>
      <c r="E164" s="5">
        <v>1200</v>
      </c>
      <c r="F164" s="9" t="s">
        <v>42</v>
      </c>
      <c r="G164" s="4">
        <v>80</v>
      </c>
      <c r="H164" s="4">
        <f t="shared" si="20"/>
        <v>40</v>
      </c>
      <c r="I164" s="5">
        <v>90</v>
      </c>
      <c r="M164" s="5">
        <f t="shared" si="21"/>
        <v>72</v>
      </c>
      <c r="N164" s="5">
        <f t="shared" si="22"/>
        <v>64</v>
      </c>
      <c r="O164" s="5">
        <f t="shared" si="23"/>
        <v>56</v>
      </c>
      <c r="P164" s="5">
        <f t="shared" si="24"/>
        <v>48</v>
      </c>
      <c r="Q164" s="5">
        <f t="shared" si="25"/>
        <v>40</v>
      </c>
      <c r="R164" s="5">
        <f t="shared" si="26"/>
        <v>32</v>
      </c>
      <c r="S164" s="5">
        <f t="shared" si="27"/>
        <v>24</v>
      </c>
      <c r="T164" s="5">
        <f t="shared" si="28"/>
        <v>16</v>
      </c>
      <c r="U164" s="5">
        <f t="shared" si="29"/>
        <v>8</v>
      </c>
    </row>
    <row r="165" spans="1:21" x14ac:dyDescent="0.25">
      <c r="A165" s="5">
        <v>24125</v>
      </c>
      <c r="B165" s="9" t="s">
        <v>23</v>
      </c>
      <c r="C165" s="6">
        <v>44.441426700000001</v>
      </c>
      <c r="D165" s="6">
        <v>89.474458299999995</v>
      </c>
      <c r="E165" s="5">
        <v>800</v>
      </c>
      <c r="F165" s="9" t="s">
        <v>42</v>
      </c>
      <c r="G165" s="4">
        <v>155.69999999999999</v>
      </c>
      <c r="H165" s="4">
        <f t="shared" si="20"/>
        <v>77.849999999999994</v>
      </c>
      <c r="I165" s="5">
        <v>120</v>
      </c>
      <c r="M165" s="5">
        <f t="shared" si="21"/>
        <v>140.13</v>
      </c>
      <c r="N165" s="5">
        <f t="shared" si="22"/>
        <v>124.56</v>
      </c>
      <c r="O165" s="5">
        <f t="shared" si="23"/>
        <v>108.98999999999998</v>
      </c>
      <c r="P165" s="5">
        <f t="shared" si="24"/>
        <v>93.419999999999987</v>
      </c>
      <c r="Q165" s="5">
        <f t="shared" si="25"/>
        <v>77.849999999999994</v>
      </c>
      <c r="R165" s="5">
        <f t="shared" si="26"/>
        <v>62.28</v>
      </c>
      <c r="S165" s="5">
        <f t="shared" si="27"/>
        <v>46.709999999999994</v>
      </c>
      <c r="T165" s="5">
        <f t="shared" si="28"/>
        <v>31.14</v>
      </c>
      <c r="U165" s="5">
        <f t="shared" si="29"/>
        <v>15.57</v>
      </c>
    </row>
    <row r="166" spans="1:21" x14ac:dyDescent="0.25">
      <c r="A166" s="5">
        <v>24130</v>
      </c>
      <c r="B166" s="9" t="s">
        <v>23</v>
      </c>
      <c r="C166" s="6">
        <v>44.403329999999997</v>
      </c>
      <c r="D166" s="6">
        <v>89.517894999999996</v>
      </c>
      <c r="E166" s="5">
        <v>1000</v>
      </c>
      <c r="F166" s="9" t="s">
        <v>42</v>
      </c>
      <c r="G166" s="4">
        <v>282.3</v>
      </c>
      <c r="H166" s="4">
        <f t="shared" si="20"/>
        <v>141.15</v>
      </c>
      <c r="I166" s="5">
        <v>90</v>
      </c>
      <c r="M166" s="5">
        <f t="shared" si="21"/>
        <v>254.07000000000002</v>
      </c>
      <c r="N166" s="5">
        <f t="shared" si="22"/>
        <v>225.84000000000003</v>
      </c>
      <c r="O166" s="5">
        <f t="shared" si="23"/>
        <v>197.60999999999999</v>
      </c>
      <c r="P166" s="5">
        <f t="shared" si="24"/>
        <v>169.38</v>
      </c>
      <c r="Q166" s="5">
        <f t="shared" si="25"/>
        <v>141.15</v>
      </c>
      <c r="R166" s="5">
        <f t="shared" si="26"/>
        <v>112.92000000000002</v>
      </c>
      <c r="S166" s="5">
        <f t="shared" si="27"/>
        <v>84.69</v>
      </c>
      <c r="T166" s="5">
        <f t="shared" si="28"/>
        <v>56.460000000000008</v>
      </c>
      <c r="U166" s="5">
        <f t="shared" si="29"/>
        <v>28.230000000000004</v>
      </c>
    </row>
    <row r="167" spans="1:21" x14ac:dyDescent="0.25">
      <c r="A167" s="5">
        <v>24135</v>
      </c>
      <c r="B167" s="9" t="s">
        <v>23</v>
      </c>
      <c r="C167" s="6">
        <v>44.521525400000002</v>
      </c>
      <c r="D167" s="6">
        <v>89.531848400000001</v>
      </c>
      <c r="E167" s="5">
        <v>1000</v>
      </c>
      <c r="F167" s="9" t="s">
        <v>52</v>
      </c>
      <c r="G167" s="4">
        <v>67.599999999999994</v>
      </c>
      <c r="H167" s="4">
        <f t="shared" si="20"/>
        <v>33.799999999999997</v>
      </c>
      <c r="I167" s="5">
        <v>150</v>
      </c>
      <c r="M167" s="5">
        <f t="shared" si="21"/>
        <v>60.839999999999996</v>
      </c>
      <c r="N167" s="5">
        <f t="shared" si="22"/>
        <v>54.08</v>
      </c>
      <c r="O167" s="5">
        <f t="shared" si="23"/>
        <v>47.319999999999993</v>
      </c>
      <c r="P167" s="5">
        <f t="shared" si="24"/>
        <v>40.559999999999995</v>
      </c>
      <c r="Q167" s="5">
        <f t="shared" si="25"/>
        <v>33.799999999999997</v>
      </c>
      <c r="R167" s="5">
        <f t="shared" si="26"/>
        <v>27.04</v>
      </c>
      <c r="S167" s="5">
        <f t="shared" si="27"/>
        <v>20.279999999999998</v>
      </c>
      <c r="T167" s="5">
        <f t="shared" si="28"/>
        <v>13.52</v>
      </c>
      <c r="U167" s="5">
        <f t="shared" si="29"/>
        <v>6.76</v>
      </c>
    </row>
    <row r="168" spans="1:21" x14ac:dyDescent="0.25">
      <c r="A168" s="5">
        <v>24137</v>
      </c>
      <c r="B168" s="9" t="s">
        <v>23</v>
      </c>
      <c r="C168" s="6">
        <v>44.487171699999998</v>
      </c>
      <c r="D168" s="6">
        <v>89.508499999999998</v>
      </c>
      <c r="E168" s="5">
        <v>1200</v>
      </c>
      <c r="F168" s="9" t="s">
        <v>42</v>
      </c>
      <c r="G168" s="4">
        <v>185.1</v>
      </c>
      <c r="H168" s="4">
        <f t="shared" si="20"/>
        <v>92.55</v>
      </c>
      <c r="I168" s="5">
        <v>120</v>
      </c>
      <c r="M168" s="5">
        <f t="shared" si="21"/>
        <v>166.59</v>
      </c>
      <c r="N168" s="5">
        <f t="shared" si="22"/>
        <v>148.08000000000001</v>
      </c>
      <c r="O168" s="5">
        <f t="shared" si="23"/>
        <v>129.57</v>
      </c>
      <c r="P168" s="5">
        <f t="shared" si="24"/>
        <v>111.05999999999999</v>
      </c>
      <c r="Q168" s="5">
        <f t="shared" si="25"/>
        <v>92.55</v>
      </c>
      <c r="R168" s="5">
        <f t="shared" si="26"/>
        <v>74.040000000000006</v>
      </c>
      <c r="S168" s="5">
        <f t="shared" si="27"/>
        <v>55.529999999999994</v>
      </c>
      <c r="T168" s="5">
        <f t="shared" si="28"/>
        <v>37.020000000000003</v>
      </c>
      <c r="U168" s="5">
        <f t="shared" si="29"/>
        <v>18.510000000000002</v>
      </c>
    </row>
    <row r="169" spans="1:21" x14ac:dyDescent="0.25">
      <c r="A169" s="5">
        <v>24165</v>
      </c>
      <c r="B169" s="9" t="s">
        <v>23</v>
      </c>
      <c r="C169" s="6">
        <v>44.428246999999999</v>
      </c>
      <c r="D169" s="6">
        <v>89.528813</v>
      </c>
      <c r="E169" s="5">
        <v>900</v>
      </c>
      <c r="F169" s="9" t="s">
        <v>20</v>
      </c>
      <c r="G169" s="4">
        <v>115.2</v>
      </c>
      <c r="H169" s="4">
        <f t="shared" si="20"/>
        <v>57.6</v>
      </c>
      <c r="I169" s="5">
        <v>150</v>
      </c>
      <c r="M169" s="5">
        <f t="shared" si="21"/>
        <v>103.68</v>
      </c>
      <c r="N169" s="5">
        <f t="shared" si="22"/>
        <v>92.160000000000011</v>
      </c>
      <c r="O169" s="5">
        <f t="shared" si="23"/>
        <v>80.64</v>
      </c>
      <c r="P169" s="5">
        <f t="shared" si="24"/>
        <v>69.12</v>
      </c>
      <c r="Q169" s="5">
        <f t="shared" si="25"/>
        <v>57.6</v>
      </c>
      <c r="R169" s="5">
        <f t="shared" si="26"/>
        <v>46.080000000000005</v>
      </c>
      <c r="S169" s="5">
        <f t="shared" si="27"/>
        <v>34.56</v>
      </c>
      <c r="T169" s="5">
        <f t="shared" si="28"/>
        <v>23.040000000000003</v>
      </c>
      <c r="U169" s="5">
        <f t="shared" si="29"/>
        <v>11.520000000000001</v>
      </c>
    </row>
    <row r="170" spans="1:21" x14ac:dyDescent="0.25">
      <c r="A170" s="5">
        <v>24166</v>
      </c>
      <c r="B170" s="9" t="s">
        <v>23</v>
      </c>
      <c r="C170" s="6">
        <v>44.428355000000003</v>
      </c>
      <c r="D170" s="6">
        <v>89.533693299999996</v>
      </c>
      <c r="E170" s="5">
        <v>900</v>
      </c>
      <c r="F170" s="9" t="s">
        <v>20</v>
      </c>
      <c r="G170" s="4">
        <v>115.3</v>
      </c>
      <c r="H170" s="4">
        <f t="shared" si="20"/>
        <v>57.65</v>
      </c>
      <c r="I170" s="5">
        <v>120</v>
      </c>
      <c r="M170" s="5">
        <f t="shared" si="21"/>
        <v>103.77</v>
      </c>
      <c r="N170" s="5">
        <f t="shared" si="22"/>
        <v>92.240000000000009</v>
      </c>
      <c r="O170" s="5">
        <f t="shared" si="23"/>
        <v>80.709999999999994</v>
      </c>
      <c r="P170" s="5">
        <f t="shared" si="24"/>
        <v>69.179999999999993</v>
      </c>
      <c r="Q170" s="5">
        <f t="shared" si="25"/>
        <v>57.65</v>
      </c>
      <c r="R170" s="5">
        <f t="shared" si="26"/>
        <v>46.120000000000005</v>
      </c>
      <c r="S170" s="5">
        <f t="shared" si="27"/>
        <v>34.589999999999996</v>
      </c>
      <c r="T170" s="5">
        <f t="shared" si="28"/>
        <v>23.060000000000002</v>
      </c>
      <c r="U170" s="5">
        <f t="shared" si="29"/>
        <v>11.530000000000001</v>
      </c>
    </row>
    <row r="171" spans="1:21" x14ac:dyDescent="0.25">
      <c r="A171" s="5">
        <v>24169</v>
      </c>
      <c r="B171" s="9" t="s">
        <v>23</v>
      </c>
      <c r="C171" s="6">
        <v>44.565916000000001</v>
      </c>
      <c r="D171" s="6">
        <v>89.412993</v>
      </c>
      <c r="E171" s="5">
        <v>850</v>
      </c>
      <c r="F171" s="9" t="s">
        <v>42</v>
      </c>
      <c r="G171" s="4">
        <v>147.6</v>
      </c>
      <c r="H171" s="4">
        <f t="shared" si="20"/>
        <v>73.8</v>
      </c>
      <c r="I171" s="5">
        <v>90</v>
      </c>
      <c r="M171" s="5">
        <f t="shared" si="21"/>
        <v>132.84</v>
      </c>
      <c r="N171" s="5">
        <f t="shared" si="22"/>
        <v>118.08</v>
      </c>
      <c r="O171" s="5">
        <f t="shared" si="23"/>
        <v>103.32</v>
      </c>
      <c r="P171" s="5">
        <f t="shared" si="24"/>
        <v>88.559999999999988</v>
      </c>
      <c r="Q171" s="5">
        <f t="shared" si="25"/>
        <v>73.8</v>
      </c>
      <c r="R171" s="5">
        <f t="shared" si="26"/>
        <v>59.04</v>
      </c>
      <c r="S171" s="5">
        <f t="shared" si="27"/>
        <v>44.279999999999994</v>
      </c>
      <c r="T171" s="5">
        <f t="shared" si="28"/>
        <v>29.52</v>
      </c>
      <c r="U171" s="5">
        <f t="shared" si="29"/>
        <v>14.76</v>
      </c>
    </row>
    <row r="172" spans="1:21" x14ac:dyDescent="0.25">
      <c r="A172" s="5">
        <v>24172</v>
      </c>
      <c r="B172" s="9" t="s">
        <v>23</v>
      </c>
      <c r="C172" s="6">
        <v>44.429115000000003</v>
      </c>
      <c r="D172" s="6">
        <v>89.485053399999998</v>
      </c>
      <c r="E172" s="5">
        <v>600</v>
      </c>
      <c r="F172" s="9" t="s">
        <v>59</v>
      </c>
      <c r="G172" s="4">
        <v>71.900000000000006</v>
      </c>
      <c r="H172" s="4">
        <f t="shared" si="20"/>
        <v>35.950000000000003</v>
      </c>
      <c r="I172" s="5">
        <v>90</v>
      </c>
      <c r="M172" s="5">
        <f t="shared" si="21"/>
        <v>64.710000000000008</v>
      </c>
      <c r="N172" s="5">
        <f t="shared" si="22"/>
        <v>57.52000000000001</v>
      </c>
      <c r="O172" s="5">
        <f t="shared" si="23"/>
        <v>50.33</v>
      </c>
      <c r="P172" s="5">
        <f t="shared" si="24"/>
        <v>43.14</v>
      </c>
      <c r="Q172" s="5">
        <f t="shared" si="25"/>
        <v>35.950000000000003</v>
      </c>
      <c r="R172" s="5">
        <f t="shared" si="26"/>
        <v>28.760000000000005</v>
      </c>
      <c r="S172" s="5">
        <f t="shared" si="27"/>
        <v>21.57</v>
      </c>
      <c r="T172" s="5">
        <f t="shared" si="28"/>
        <v>14.380000000000003</v>
      </c>
      <c r="U172" s="5">
        <f t="shared" si="29"/>
        <v>7.1900000000000013</v>
      </c>
    </row>
    <row r="173" spans="1:21" x14ac:dyDescent="0.25">
      <c r="A173" s="5">
        <v>24195</v>
      </c>
      <c r="B173" s="9" t="s">
        <v>23</v>
      </c>
      <c r="C173" s="6">
        <v>44.528599</v>
      </c>
      <c r="D173" s="6">
        <v>89.412283000000002</v>
      </c>
      <c r="E173" s="5">
        <v>800</v>
      </c>
      <c r="F173" s="9" t="s">
        <v>42</v>
      </c>
      <c r="G173" s="4">
        <v>1.6</v>
      </c>
      <c r="H173" s="4">
        <f t="shared" si="20"/>
        <v>1.6</v>
      </c>
      <c r="I173" s="5">
        <v>30</v>
      </c>
      <c r="M173" s="5">
        <f t="shared" si="21"/>
        <v>1.6</v>
      </c>
      <c r="N173" s="5">
        <f t="shared" si="22"/>
        <v>1.6</v>
      </c>
      <c r="O173" s="5">
        <f t="shared" si="23"/>
        <v>1.6</v>
      </c>
      <c r="P173" s="5">
        <f t="shared" si="24"/>
        <v>1.6</v>
      </c>
      <c r="Q173" s="5">
        <f t="shared" si="25"/>
        <v>1.6</v>
      </c>
      <c r="R173" s="5">
        <f t="shared" si="26"/>
        <v>1.6</v>
      </c>
      <c r="S173" s="5">
        <f t="shared" si="27"/>
        <v>1.6</v>
      </c>
      <c r="T173" s="5">
        <f t="shared" si="28"/>
        <v>1.6</v>
      </c>
      <c r="U173" s="5">
        <f t="shared" si="29"/>
        <v>1.6</v>
      </c>
    </row>
    <row r="174" spans="1:21" x14ac:dyDescent="0.25">
      <c r="A174" s="5">
        <v>24197</v>
      </c>
      <c r="B174" s="9" t="s">
        <v>23</v>
      </c>
      <c r="C174" s="6">
        <v>44.4773</v>
      </c>
      <c r="D174" s="6">
        <v>89.445138999999998</v>
      </c>
      <c r="E174" s="5">
        <v>1200</v>
      </c>
      <c r="F174" s="9" t="s">
        <v>42</v>
      </c>
      <c r="G174" s="4">
        <v>249.1</v>
      </c>
      <c r="H174" s="4">
        <f t="shared" si="20"/>
        <v>124.55</v>
      </c>
      <c r="I174" s="5">
        <v>90</v>
      </c>
      <c r="M174" s="5">
        <f t="shared" si="21"/>
        <v>224.19</v>
      </c>
      <c r="N174" s="5">
        <f t="shared" si="22"/>
        <v>199.28</v>
      </c>
      <c r="O174" s="5">
        <f t="shared" si="23"/>
        <v>174.36999999999998</v>
      </c>
      <c r="P174" s="5">
        <f t="shared" si="24"/>
        <v>149.45999999999998</v>
      </c>
      <c r="Q174" s="5">
        <f t="shared" si="25"/>
        <v>124.55</v>
      </c>
      <c r="R174" s="5">
        <f t="shared" si="26"/>
        <v>99.64</v>
      </c>
      <c r="S174" s="5">
        <f t="shared" si="27"/>
        <v>74.72999999999999</v>
      </c>
      <c r="T174" s="5">
        <f t="shared" si="28"/>
        <v>49.82</v>
      </c>
      <c r="U174" s="5">
        <f t="shared" si="29"/>
        <v>24.91</v>
      </c>
    </row>
    <row r="175" spans="1:21" x14ac:dyDescent="0.25">
      <c r="A175" s="5">
        <v>24203</v>
      </c>
      <c r="B175" s="9" t="s">
        <v>23</v>
      </c>
      <c r="C175" s="6">
        <v>44.494378599999997</v>
      </c>
      <c r="D175" s="6">
        <v>89.493642100000002</v>
      </c>
      <c r="E175" s="5">
        <v>1200</v>
      </c>
      <c r="F175" s="9" t="s">
        <v>42</v>
      </c>
      <c r="G175" s="4">
        <v>257.89999999999998</v>
      </c>
      <c r="H175" s="4">
        <f t="shared" si="20"/>
        <v>128.94999999999999</v>
      </c>
      <c r="I175" s="5">
        <v>120</v>
      </c>
      <c r="M175" s="5">
        <f t="shared" si="21"/>
        <v>232.10999999999999</v>
      </c>
      <c r="N175" s="5">
        <f t="shared" si="22"/>
        <v>206.32</v>
      </c>
      <c r="O175" s="5">
        <f t="shared" si="23"/>
        <v>180.52999999999997</v>
      </c>
      <c r="P175" s="5">
        <f t="shared" si="24"/>
        <v>154.73999999999998</v>
      </c>
      <c r="Q175" s="5">
        <f t="shared" si="25"/>
        <v>128.94999999999999</v>
      </c>
      <c r="R175" s="5">
        <f t="shared" si="26"/>
        <v>103.16</v>
      </c>
      <c r="S175" s="5">
        <f t="shared" si="27"/>
        <v>77.36999999999999</v>
      </c>
      <c r="T175" s="5">
        <f t="shared" si="28"/>
        <v>51.58</v>
      </c>
      <c r="U175" s="5">
        <f t="shared" si="29"/>
        <v>25.79</v>
      </c>
    </row>
    <row r="176" spans="1:21" x14ac:dyDescent="0.25">
      <c r="A176" s="5">
        <v>24216</v>
      </c>
      <c r="B176" s="9" t="s">
        <v>23</v>
      </c>
      <c r="C176" s="6">
        <v>44.565013</v>
      </c>
      <c r="D176" s="6">
        <v>89.459284999999994</v>
      </c>
      <c r="E176" s="5">
        <v>1300</v>
      </c>
      <c r="F176" s="9" t="s">
        <v>42</v>
      </c>
      <c r="G176" s="4">
        <v>156.19999999999999</v>
      </c>
      <c r="H176" s="4">
        <f t="shared" si="20"/>
        <v>78.099999999999994</v>
      </c>
      <c r="I176" s="5">
        <v>90</v>
      </c>
      <c r="M176" s="5">
        <f t="shared" si="21"/>
        <v>140.57999999999998</v>
      </c>
      <c r="N176" s="5">
        <f t="shared" si="22"/>
        <v>124.96</v>
      </c>
      <c r="O176" s="5">
        <f t="shared" si="23"/>
        <v>109.33999999999999</v>
      </c>
      <c r="P176" s="5">
        <f t="shared" si="24"/>
        <v>93.719999999999985</v>
      </c>
      <c r="Q176" s="5">
        <f t="shared" si="25"/>
        <v>78.099999999999994</v>
      </c>
      <c r="R176" s="5">
        <f t="shared" si="26"/>
        <v>62.48</v>
      </c>
      <c r="S176" s="5">
        <f t="shared" si="27"/>
        <v>46.859999999999992</v>
      </c>
      <c r="T176" s="5">
        <f t="shared" si="28"/>
        <v>31.24</v>
      </c>
      <c r="U176" s="5">
        <f t="shared" si="29"/>
        <v>15.62</v>
      </c>
    </row>
    <row r="177" spans="1:21" x14ac:dyDescent="0.25">
      <c r="A177" s="5">
        <v>24225</v>
      </c>
      <c r="B177" s="9" t="s">
        <v>23</v>
      </c>
      <c r="C177" s="6">
        <v>44.439441700000003</v>
      </c>
      <c r="D177" s="6">
        <v>89.449303400000005</v>
      </c>
      <c r="E177" s="5">
        <v>1000</v>
      </c>
      <c r="F177" s="9" t="s">
        <v>42</v>
      </c>
      <c r="G177" s="4">
        <v>109.4</v>
      </c>
      <c r="H177" s="4">
        <f t="shared" si="20"/>
        <v>54.7</v>
      </c>
      <c r="I177" s="5">
        <v>120</v>
      </c>
      <c r="M177" s="5">
        <f t="shared" si="21"/>
        <v>98.460000000000008</v>
      </c>
      <c r="N177" s="5">
        <f t="shared" si="22"/>
        <v>87.52000000000001</v>
      </c>
      <c r="O177" s="5">
        <f t="shared" si="23"/>
        <v>76.58</v>
      </c>
      <c r="P177" s="5">
        <f t="shared" si="24"/>
        <v>65.64</v>
      </c>
      <c r="Q177" s="5">
        <f t="shared" si="25"/>
        <v>54.7</v>
      </c>
      <c r="R177" s="5">
        <f t="shared" si="26"/>
        <v>43.760000000000005</v>
      </c>
      <c r="S177" s="5">
        <f t="shared" si="27"/>
        <v>32.82</v>
      </c>
      <c r="T177" s="5">
        <f t="shared" si="28"/>
        <v>21.880000000000003</v>
      </c>
      <c r="U177" s="5">
        <f t="shared" si="29"/>
        <v>10.940000000000001</v>
      </c>
    </row>
    <row r="178" spans="1:21" x14ac:dyDescent="0.25">
      <c r="A178" s="5">
        <v>24226</v>
      </c>
      <c r="B178" s="9" t="s">
        <v>23</v>
      </c>
      <c r="C178" s="6">
        <v>44.512276700000001</v>
      </c>
      <c r="D178" s="6">
        <v>89.494091699999998</v>
      </c>
      <c r="E178" s="5">
        <v>1000</v>
      </c>
      <c r="F178" s="9" t="s">
        <v>45</v>
      </c>
      <c r="G178" s="4">
        <v>2.1</v>
      </c>
      <c r="H178" s="4">
        <f t="shared" si="20"/>
        <v>2.1</v>
      </c>
      <c r="I178" s="5">
        <v>60</v>
      </c>
      <c r="M178" s="5">
        <f t="shared" si="21"/>
        <v>2.1</v>
      </c>
      <c r="N178" s="5">
        <f t="shared" si="22"/>
        <v>2.1</v>
      </c>
      <c r="O178" s="5">
        <f t="shared" si="23"/>
        <v>2.1</v>
      </c>
      <c r="P178" s="5">
        <f t="shared" si="24"/>
        <v>2.1</v>
      </c>
      <c r="Q178" s="5">
        <f t="shared" si="25"/>
        <v>2.1</v>
      </c>
      <c r="R178" s="5">
        <f t="shared" si="26"/>
        <v>2.1</v>
      </c>
      <c r="S178" s="5">
        <f t="shared" si="27"/>
        <v>2.1</v>
      </c>
      <c r="T178" s="5">
        <f t="shared" si="28"/>
        <v>2.1</v>
      </c>
      <c r="U178" s="5">
        <f t="shared" si="29"/>
        <v>2.1</v>
      </c>
    </row>
    <row r="179" spans="1:21" x14ac:dyDescent="0.25">
      <c r="A179" s="5">
        <v>24227</v>
      </c>
      <c r="B179" s="9" t="s">
        <v>23</v>
      </c>
      <c r="C179" s="6">
        <v>44.430534999999999</v>
      </c>
      <c r="D179" s="6">
        <v>89.471761700000002</v>
      </c>
      <c r="E179" s="5">
        <v>1000</v>
      </c>
      <c r="F179" s="9" t="s">
        <v>36</v>
      </c>
      <c r="G179" s="4">
        <v>122.6</v>
      </c>
      <c r="H179" s="4">
        <f t="shared" si="20"/>
        <v>61.3</v>
      </c>
      <c r="I179" s="5">
        <v>120</v>
      </c>
      <c r="M179" s="5">
        <f t="shared" si="21"/>
        <v>110.34</v>
      </c>
      <c r="N179" s="5">
        <f t="shared" si="22"/>
        <v>98.08</v>
      </c>
      <c r="O179" s="5">
        <f t="shared" si="23"/>
        <v>85.82</v>
      </c>
      <c r="P179" s="5">
        <f t="shared" si="24"/>
        <v>73.559999999999988</v>
      </c>
      <c r="Q179" s="5">
        <f t="shared" si="25"/>
        <v>61.3</v>
      </c>
      <c r="R179" s="5">
        <f t="shared" si="26"/>
        <v>49.04</v>
      </c>
      <c r="S179" s="5">
        <f t="shared" si="27"/>
        <v>36.779999999999994</v>
      </c>
      <c r="T179" s="5">
        <f t="shared" si="28"/>
        <v>24.52</v>
      </c>
      <c r="U179" s="5">
        <f t="shared" si="29"/>
        <v>12.26</v>
      </c>
    </row>
    <row r="180" spans="1:21" x14ac:dyDescent="0.25">
      <c r="A180" s="5">
        <v>24239</v>
      </c>
      <c r="B180" s="9" t="s">
        <v>23</v>
      </c>
      <c r="C180" s="6">
        <v>44.476295</v>
      </c>
      <c r="D180" s="6">
        <v>89.498097000000001</v>
      </c>
      <c r="E180" s="5">
        <v>1200</v>
      </c>
      <c r="F180" s="9" t="s">
        <v>42</v>
      </c>
      <c r="G180" s="4">
        <v>271.5</v>
      </c>
      <c r="H180" s="4">
        <f t="shared" si="20"/>
        <v>135.75</v>
      </c>
      <c r="I180" s="5">
        <v>120</v>
      </c>
      <c r="M180" s="5">
        <f t="shared" si="21"/>
        <v>244.35</v>
      </c>
      <c r="N180" s="5">
        <f t="shared" si="22"/>
        <v>217.20000000000002</v>
      </c>
      <c r="O180" s="5">
        <f t="shared" si="23"/>
        <v>190.04999999999998</v>
      </c>
      <c r="P180" s="5">
        <f t="shared" si="24"/>
        <v>162.9</v>
      </c>
      <c r="Q180" s="5">
        <f t="shared" si="25"/>
        <v>135.75</v>
      </c>
      <c r="R180" s="5">
        <f t="shared" si="26"/>
        <v>108.60000000000001</v>
      </c>
      <c r="S180" s="5">
        <f t="shared" si="27"/>
        <v>81.45</v>
      </c>
      <c r="T180" s="5">
        <f t="shared" si="28"/>
        <v>54.300000000000004</v>
      </c>
      <c r="U180" s="5">
        <f t="shared" si="29"/>
        <v>27.150000000000002</v>
      </c>
    </row>
    <row r="181" spans="1:21" x14ac:dyDescent="0.25">
      <c r="A181" s="5">
        <v>24240</v>
      </c>
      <c r="B181" s="9" t="s">
        <v>23</v>
      </c>
      <c r="C181" s="6">
        <v>44.441782600000003</v>
      </c>
      <c r="D181" s="6">
        <v>89.423746399999999</v>
      </c>
      <c r="E181" s="5">
        <v>1200</v>
      </c>
      <c r="F181" s="9" t="s">
        <v>60</v>
      </c>
      <c r="G181" s="4">
        <v>1</v>
      </c>
      <c r="H181" s="4">
        <f t="shared" si="20"/>
        <v>1</v>
      </c>
      <c r="I181" s="5">
        <v>180</v>
      </c>
      <c r="M181" s="5">
        <f t="shared" si="21"/>
        <v>1</v>
      </c>
      <c r="N181" s="5">
        <f t="shared" si="22"/>
        <v>1</v>
      </c>
      <c r="O181" s="5">
        <f t="shared" si="23"/>
        <v>1</v>
      </c>
      <c r="P181" s="5">
        <f t="shared" si="24"/>
        <v>1</v>
      </c>
      <c r="Q181" s="5">
        <f t="shared" si="25"/>
        <v>1</v>
      </c>
      <c r="R181" s="5">
        <f t="shared" si="26"/>
        <v>1</v>
      </c>
      <c r="S181" s="5">
        <f t="shared" si="27"/>
        <v>1</v>
      </c>
      <c r="T181" s="5">
        <f t="shared" si="28"/>
        <v>1</v>
      </c>
      <c r="U181" s="5">
        <f t="shared" si="29"/>
        <v>1</v>
      </c>
    </row>
    <row r="182" spans="1:21" x14ac:dyDescent="0.25">
      <c r="A182" s="5">
        <v>24247</v>
      </c>
      <c r="B182" s="9" t="s">
        <v>23</v>
      </c>
      <c r="C182" s="6">
        <v>44.409390000000002</v>
      </c>
      <c r="D182" s="6">
        <v>89.477232000000001</v>
      </c>
      <c r="E182" s="5">
        <v>1000</v>
      </c>
      <c r="F182" s="9" t="s">
        <v>42</v>
      </c>
      <c r="G182" s="4">
        <v>65.5</v>
      </c>
      <c r="H182" s="4">
        <f t="shared" si="20"/>
        <v>32.75</v>
      </c>
      <c r="I182" s="5">
        <v>90</v>
      </c>
      <c r="M182" s="5">
        <f t="shared" si="21"/>
        <v>58.95</v>
      </c>
      <c r="N182" s="5">
        <f t="shared" si="22"/>
        <v>52.400000000000006</v>
      </c>
      <c r="O182" s="5">
        <f t="shared" si="23"/>
        <v>45.849999999999994</v>
      </c>
      <c r="P182" s="5">
        <f t="shared" si="24"/>
        <v>39.299999999999997</v>
      </c>
      <c r="Q182" s="5">
        <f t="shared" si="25"/>
        <v>32.75</v>
      </c>
      <c r="R182" s="5">
        <f t="shared" si="26"/>
        <v>26.200000000000003</v>
      </c>
      <c r="S182" s="5">
        <f t="shared" si="27"/>
        <v>19.649999999999999</v>
      </c>
      <c r="T182" s="5">
        <f t="shared" si="28"/>
        <v>13.100000000000001</v>
      </c>
      <c r="U182" s="5">
        <f t="shared" si="29"/>
        <v>6.5500000000000007</v>
      </c>
    </row>
    <row r="183" spans="1:21" x14ac:dyDescent="0.25">
      <c r="A183" s="5">
        <v>24249</v>
      </c>
      <c r="B183" s="9" t="s">
        <v>23</v>
      </c>
      <c r="C183" s="6">
        <v>44.418798000000002</v>
      </c>
      <c r="D183" s="6">
        <v>89.431666000000007</v>
      </c>
      <c r="E183" s="5">
        <v>1000</v>
      </c>
      <c r="F183" s="9" t="s">
        <v>42</v>
      </c>
      <c r="G183" s="4">
        <v>27.7</v>
      </c>
      <c r="H183" s="4">
        <f t="shared" si="20"/>
        <v>27.7</v>
      </c>
      <c r="I183" s="5">
        <v>90</v>
      </c>
      <c r="M183" s="5">
        <f t="shared" si="21"/>
        <v>27.7</v>
      </c>
      <c r="N183" s="5">
        <f t="shared" si="22"/>
        <v>27.7</v>
      </c>
      <c r="O183" s="5">
        <f t="shared" si="23"/>
        <v>27.7</v>
      </c>
      <c r="P183" s="5">
        <f t="shared" si="24"/>
        <v>27.7</v>
      </c>
      <c r="Q183" s="5">
        <f t="shared" si="25"/>
        <v>27.7</v>
      </c>
      <c r="R183" s="5">
        <f t="shared" si="26"/>
        <v>27.7</v>
      </c>
      <c r="S183" s="5">
        <f t="shared" si="27"/>
        <v>27.7</v>
      </c>
      <c r="T183" s="5">
        <f t="shared" si="28"/>
        <v>27.7</v>
      </c>
      <c r="U183" s="5">
        <f t="shared" si="29"/>
        <v>27.7</v>
      </c>
    </row>
    <row r="184" spans="1:21" x14ac:dyDescent="0.25">
      <c r="A184" s="5">
        <v>24252</v>
      </c>
      <c r="B184" s="9" t="s">
        <v>23</v>
      </c>
      <c r="C184" s="6">
        <v>44.432000000000002</v>
      </c>
      <c r="D184" s="6">
        <v>89.538666699999993</v>
      </c>
      <c r="E184" s="5">
        <v>1000</v>
      </c>
      <c r="F184" s="9" t="s">
        <v>42</v>
      </c>
      <c r="G184" s="4">
        <v>11</v>
      </c>
      <c r="H184" s="4">
        <f t="shared" si="20"/>
        <v>11</v>
      </c>
      <c r="I184" s="5">
        <v>120</v>
      </c>
      <c r="M184" s="5">
        <f t="shared" si="21"/>
        <v>11</v>
      </c>
      <c r="N184" s="5">
        <f t="shared" si="22"/>
        <v>11</v>
      </c>
      <c r="O184" s="5">
        <f t="shared" si="23"/>
        <v>11</v>
      </c>
      <c r="P184" s="5">
        <f t="shared" si="24"/>
        <v>11</v>
      </c>
      <c r="Q184" s="5">
        <f t="shared" si="25"/>
        <v>11</v>
      </c>
      <c r="R184" s="5">
        <f t="shared" si="26"/>
        <v>11</v>
      </c>
      <c r="S184" s="5">
        <f t="shared" si="27"/>
        <v>11</v>
      </c>
      <c r="T184" s="5">
        <f t="shared" si="28"/>
        <v>11</v>
      </c>
      <c r="U184" s="5">
        <f t="shared" si="29"/>
        <v>11</v>
      </c>
    </row>
    <row r="185" spans="1:21" x14ac:dyDescent="0.25">
      <c r="A185" s="5">
        <v>24253</v>
      </c>
      <c r="B185" s="9" t="s">
        <v>23</v>
      </c>
      <c r="C185" s="6">
        <v>44.413781999999998</v>
      </c>
      <c r="D185" s="6">
        <v>89.433199999999999</v>
      </c>
      <c r="E185" s="5">
        <v>1000</v>
      </c>
      <c r="F185" s="9" t="s">
        <v>45</v>
      </c>
      <c r="G185" s="4">
        <v>132.80000000000001</v>
      </c>
      <c r="H185" s="4">
        <f t="shared" si="20"/>
        <v>66.400000000000006</v>
      </c>
      <c r="I185" s="5">
        <v>60</v>
      </c>
      <c r="M185" s="5">
        <f t="shared" si="21"/>
        <v>119.52000000000001</v>
      </c>
      <c r="N185" s="5">
        <f t="shared" si="22"/>
        <v>106.24000000000001</v>
      </c>
      <c r="O185" s="5">
        <f t="shared" si="23"/>
        <v>92.960000000000008</v>
      </c>
      <c r="P185" s="5">
        <f t="shared" si="24"/>
        <v>79.680000000000007</v>
      </c>
      <c r="Q185" s="5">
        <f t="shared" si="25"/>
        <v>66.400000000000006</v>
      </c>
      <c r="R185" s="5">
        <f t="shared" si="26"/>
        <v>53.120000000000005</v>
      </c>
      <c r="S185" s="5">
        <f t="shared" si="27"/>
        <v>39.840000000000003</v>
      </c>
      <c r="T185" s="5">
        <f t="shared" si="28"/>
        <v>26.560000000000002</v>
      </c>
      <c r="U185" s="5">
        <f t="shared" si="29"/>
        <v>13.280000000000001</v>
      </c>
    </row>
    <row r="186" spans="1:21" x14ac:dyDescent="0.25">
      <c r="A186" s="5">
        <v>24256</v>
      </c>
      <c r="B186" s="9" t="s">
        <v>23</v>
      </c>
      <c r="C186" s="6">
        <v>44.408860500000003</v>
      </c>
      <c r="D186" s="6">
        <v>89.505525500000005</v>
      </c>
      <c r="E186" s="5">
        <v>500</v>
      </c>
      <c r="F186" s="9" t="s">
        <v>20</v>
      </c>
      <c r="G186" s="4">
        <v>63.1</v>
      </c>
      <c r="H186" s="4">
        <f t="shared" si="20"/>
        <v>31.55</v>
      </c>
      <c r="I186" s="5">
        <v>120</v>
      </c>
      <c r="M186" s="5">
        <f t="shared" si="21"/>
        <v>56.79</v>
      </c>
      <c r="N186" s="5">
        <f t="shared" si="22"/>
        <v>50.480000000000004</v>
      </c>
      <c r="O186" s="5">
        <f t="shared" si="23"/>
        <v>44.17</v>
      </c>
      <c r="P186" s="5">
        <f t="shared" si="24"/>
        <v>37.86</v>
      </c>
      <c r="Q186" s="5">
        <f t="shared" si="25"/>
        <v>31.55</v>
      </c>
      <c r="R186" s="5">
        <f t="shared" si="26"/>
        <v>25.240000000000002</v>
      </c>
      <c r="S186" s="5">
        <f t="shared" si="27"/>
        <v>18.93</v>
      </c>
      <c r="T186" s="5">
        <f t="shared" si="28"/>
        <v>12.620000000000001</v>
      </c>
      <c r="U186" s="5">
        <f t="shared" si="29"/>
        <v>6.3100000000000005</v>
      </c>
    </row>
    <row r="187" spans="1:21" x14ac:dyDescent="0.25">
      <c r="A187" s="5">
        <v>24265</v>
      </c>
      <c r="B187" s="9" t="s">
        <v>23</v>
      </c>
      <c r="C187" s="6">
        <v>44.512245</v>
      </c>
      <c r="D187" s="6">
        <v>89.485166699999994</v>
      </c>
      <c r="E187" s="5">
        <v>800</v>
      </c>
      <c r="F187" s="9" t="s">
        <v>42</v>
      </c>
      <c r="G187" s="4">
        <v>1</v>
      </c>
      <c r="H187" s="4">
        <f t="shared" si="20"/>
        <v>1</v>
      </c>
      <c r="I187" s="5">
        <v>90</v>
      </c>
      <c r="M187" s="5">
        <f t="shared" si="21"/>
        <v>1</v>
      </c>
      <c r="N187" s="5">
        <f t="shared" si="22"/>
        <v>1</v>
      </c>
      <c r="O187" s="5">
        <f t="shared" si="23"/>
        <v>1</v>
      </c>
      <c r="P187" s="5">
        <f t="shared" si="24"/>
        <v>1</v>
      </c>
      <c r="Q187" s="5">
        <f t="shared" si="25"/>
        <v>1</v>
      </c>
      <c r="R187" s="5">
        <f t="shared" si="26"/>
        <v>1</v>
      </c>
      <c r="S187" s="5">
        <f t="shared" si="27"/>
        <v>1</v>
      </c>
      <c r="T187" s="5">
        <f t="shared" si="28"/>
        <v>1</v>
      </c>
      <c r="U187" s="5">
        <f t="shared" si="29"/>
        <v>1</v>
      </c>
    </row>
    <row r="188" spans="1:21" x14ac:dyDescent="0.25">
      <c r="A188" s="5">
        <v>24266</v>
      </c>
      <c r="B188" s="9" t="s">
        <v>23</v>
      </c>
      <c r="C188" s="6">
        <v>44.433945600000001</v>
      </c>
      <c r="D188" s="6">
        <v>89.521137699999997</v>
      </c>
      <c r="E188" s="5">
        <v>700</v>
      </c>
      <c r="F188" s="9" t="s">
        <v>36</v>
      </c>
      <c r="G188" s="4">
        <v>42.9</v>
      </c>
      <c r="H188" s="4">
        <f t="shared" si="20"/>
        <v>42.9</v>
      </c>
      <c r="I188" s="5">
        <v>120</v>
      </c>
      <c r="M188" s="5">
        <f t="shared" si="21"/>
        <v>42.9</v>
      </c>
      <c r="N188" s="5">
        <f t="shared" si="22"/>
        <v>42.9</v>
      </c>
      <c r="O188" s="5">
        <f t="shared" si="23"/>
        <v>42.9</v>
      </c>
      <c r="P188" s="5">
        <f t="shared" si="24"/>
        <v>42.9</v>
      </c>
      <c r="Q188" s="5">
        <f t="shared" si="25"/>
        <v>42.9</v>
      </c>
      <c r="R188" s="5">
        <f t="shared" si="26"/>
        <v>42.9</v>
      </c>
      <c r="S188" s="5">
        <f t="shared" si="27"/>
        <v>42.9</v>
      </c>
      <c r="T188" s="5">
        <f t="shared" si="28"/>
        <v>42.9</v>
      </c>
      <c r="U188" s="5">
        <f t="shared" si="29"/>
        <v>42.9</v>
      </c>
    </row>
    <row r="189" spans="1:21" x14ac:dyDescent="0.25">
      <c r="A189" s="5">
        <v>24274</v>
      </c>
      <c r="B189" s="9" t="s">
        <v>23</v>
      </c>
      <c r="C189" s="6">
        <v>44.481263300000002</v>
      </c>
      <c r="D189" s="6">
        <v>89.456903299999993</v>
      </c>
      <c r="E189" s="5">
        <v>1000</v>
      </c>
      <c r="F189" s="9" t="s">
        <v>42</v>
      </c>
      <c r="G189" s="4">
        <v>82.2</v>
      </c>
      <c r="H189" s="4">
        <f t="shared" si="20"/>
        <v>41.1</v>
      </c>
      <c r="I189" s="5">
        <v>90</v>
      </c>
      <c r="M189" s="5">
        <f t="shared" si="21"/>
        <v>73.98</v>
      </c>
      <c r="N189" s="5">
        <f t="shared" si="22"/>
        <v>65.760000000000005</v>
      </c>
      <c r="O189" s="5">
        <f t="shared" si="23"/>
        <v>57.54</v>
      </c>
      <c r="P189" s="5">
        <f t="shared" si="24"/>
        <v>49.32</v>
      </c>
      <c r="Q189" s="5">
        <f t="shared" si="25"/>
        <v>41.1</v>
      </c>
      <c r="R189" s="5">
        <f t="shared" si="26"/>
        <v>32.880000000000003</v>
      </c>
      <c r="S189" s="5">
        <f t="shared" si="27"/>
        <v>24.66</v>
      </c>
      <c r="T189" s="5">
        <f t="shared" si="28"/>
        <v>16.440000000000001</v>
      </c>
      <c r="U189" s="5">
        <f t="shared" si="29"/>
        <v>8.2200000000000006</v>
      </c>
    </row>
    <row r="190" spans="1:21" x14ac:dyDescent="0.25">
      <c r="A190" s="5">
        <v>24279</v>
      </c>
      <c r="B190" s="9" t="s">
        <v>23</v>
      </c>
      <c r="C190" s="6">
        <v>44.513500000000001</v>
      </c>
      <c r="D190" s="6">
        <v>89.498000000000005</v>
      </c>
      <c r="E190" s="5">
        <v>750</v>
      </c>
      <c r="F190" s="9" t="s">
        <v>42</v>
      </c>
      <c r="G190" s="4">
        <v>102.3</v>
      </c>
      <c r="H190" s="4">
        <f t="shared" si="20"/>
        <v>51.15</v>
      </c>
      <c r="I190" s="5">
        <v>90</v>
      </c>
      <c r="M190" s="5">
        <f t="shared" si="21"/>
        <v>92.07</v>
      </c>
      <c r="N190" s="5">
        <f t="shared" si="22"/>
        <v>81.84</v>
      </c>
      <c r="O190" s="5">
        <f t="shared" si="23"/>
        <v>71.61</v>
      </c>
      <c r="P190" s="5">
        <f t="shared" si="24"/>
        <v>61.379999999999995</v>
      </c>
      <c r="Q190" s="5">
        <f t="shared" si="25"/>
        <v>51.15</v>
      </c>
      <c r="R190" s="5">
        <f t="shared" si="26"/>
        <v>40.92</v>
      </c>
      <c r="S190" s="5">
        <f t="shared" si="27"/>
        <v>30.689999999999998</v>
      </c>
      <c r="T190" s="5">
        <f t="shared" si="28"/>
        <v>20.46</v>
      </c>
      <c r="U190" s="5">
        <f t="shared" si="29"/>
        <v>10.23</v>
      </c>
    </row>
    <row r="191" spans="1:21" x14ac:dyDescent="0.25">
      <c r="A191" s="5">
        <v>24283</v>
      </c>
      <c r="B191" s="9" t="s">
        <v>23</v>
      </c>
      <c r="C191" s="6">
        <v>44.514242400000001</v>
      </c>
      <c r="D191" s="6">
        <v>89.526894299999995</v>
      </c>
      <c r="E191" s="5">
        <v>600</v>
      </c>
      <c r="F191" s="9" t="s">
        <v>61</v>
      </c>
      <c r="G191" s="4">
        <v>405.4</v>
      </c>
      <c r="H191" s="4">
        <f t="shared" si="20"/>
        <v>202.7</v>
      </c>
      <c r="I191" s="5">
        <v>150</v>
      </c>
      <c r="M191" s="5">
        <f t="shared" si="21"/>
        <v>364.86</v>
      </c>
      <c r="N191" s="5">
        <f t="shared" si="22"/>
        <v>324.32</v>
      </c>
      <c r="O191" s="5">
        <f t="shared" si="23"/>
        <v>283.77999999999997</v>
      </c>
      <c r="P191" s="5">
        <f t="shared" si="24"/>
        <v>243.23999999999998</v>
      </c>
      <c r="Q191" s="5">
        <f t="shared" si="25"/>
        <v>202.7</v>
      </c>
      <c r="R191" s="5">
        <f t="shared" si="26"/>
        <v>162.16</v>
      </c>
      <c r="S191" s="5">
        <f t="shared" si="27"/>
        <v>121.61999999999999</v>
      </c>
      <c r="T191" s="5">
        <f t="shared" si="28"/>
        <v>81.08</v>
      </c>
      <c r="U191" s="5">
        <f t="shared" si="29"/>
        <v>40.54</v>
      </c>
    </row>
    <row r="192" spans="1:21" x14ac:dyDescent="0.25">
      <c r="A192" s="5">
        <v>24285</v>
      </c>
      <c r="B192" s="9" t="s">
        <v>23</v>
      </c>
      <c r="C192" s="6">
        <v>44.578036699999998</v>
      </c>
      <c r="D192" s="6">
        <v>89.459564999999998</v>
      </c>
      <c r="E192" s="5">
        <v>600</v>
      </c>
      <c r="F192" s="9" t="s">
        <v>42</v>
      </c>
      <c r="G192" s="4">
        <v>172.8</v>
      </c>
      <c r="H192" s="4">
        <f t="shared" si="20"/>
        <v>86.4</v>
      </c>
      <c r="I192" s="5">
        <v>120</v>
      </c>
      <c r="M192" s="5">
        <f t="shared" si="21"/>
        <v>155.52000000000001</v>
      </c>
      <c r="N192" s="5">
        <f t="shared" si="22"/>
        <v>138.24</v>
      </c>
      <c r="O192" s="5">
        <f t="shared" si="23"/>
        <v>120.96</v>
      </c>
      <c r="P192" s="5">
        <f t="shared" si="24"/>
        <v>103.68</v>
      </c>
      <c r="Q192" s="5">
        <f t="shared" si="25"/>
        <v>86.4</v>
      </c>
      <c r="R192" s="5">
        <f t="shared" si="26"/>
        <v>69.12</v>
      </c>
      <c r="S192" s="5">
        <f t="shared" si="27"/>
        <v>51.84</v>
      </c>
      <c r="T192" s="5">
        <f t="shared" si="28"/>
        <v>34.56</v>
      </c>
      <c r="U192" s="5">
        <f t="shared" si="29"/>
        <v>17.28</v>
      </c>
    </row>
    <row r="193" spans="1:21" x14ac:dyDescent="0.25">
      <c r="A193" s="5">
        <v>24286</v>
      </c>
      <c r="B193" s="9" t="s">
        <v>23</v>
      </c>
      <c r="C193" s="6">
        <v>44.574606000000003</v>
      </c>
      <c r="D193" s="6">
        <v>89.455222000000006</v>
      </c>
      <c r="E193" s="5">
        <v>1000</v>
      </c>
      <c r="F193" s="9" t="s">
        <v>42</v>
      </c>
      <c r="G193" s="4">
        <v>134</v>
      </c>
      <c r="H193" s="4">
        <f t="shared" si="20"/>
        <v>67</v>
      </c>
      <c r="I193" s="5">
        <v>90</v>
      </c>
      <c r="M193" s="5">
        <f t="shared" si="21"/>
        <v>120.60000000000001</v>
      </c>
      <c r="N193" s="5">
        <f t="shared" si="22"/>
        <v>107.2</v>
      </c>
      <c r="O193" s="5">
        <f t="shared" si="23"/>
        <v>93.8</v>
      </c>
      <c r="P193" s="5">
        <f t="shared" si="24"/>
        <v>80.399999999999991</v>
      </c>
      <c r="Q193" s="5">
        <f t="shared" si="25"/>
        <v>67</v>
      </c>
      <c r="R193" s="5">
        <f t="shared" si="26"/>
        <v>53.6</v>
      </c>
      <c r="S193" s="5">
        <f t="shared" si="27"/>
        <v>40.199999999999996</v>
      </c>
      <c r="T193" s="5">
        <f t="shared" si="28"/>
        <v>26.8</v>
      </c>
      <c r="U193" s="5">
        <f t="shared" si="29"/>
        <v>13.4</v>
      </c>
    </row>
    <row r="194" spans="1:21" x14ac:dyDescent="0.25">
      <c r="A194" s="5">
        <v>24291</v>
      </c>
      <c r="B194" s="9" t="s">
        <v>23</v>
      </c>
      <c r="C194" s="6">
        <v>44.442050000000002</v>
      </c>
      <c r="D194" s="6">
        <v>89.466930000000005</v>
      </c>
      <c r="E194" s="5">
        <v>1200</v>
      </c>
      <c r="F194" s="9" t="s">
        <v>36</v>
      </c>
      <c r="G194" s="4">
        <v>95.4</v>
      </c>
      <c r="H194" s="4">
        <f t="shared" si="20"/>
        <v>47.7</v>
      </c>
      <c r="I194" s="5">
        <v>120</v>
      </c>
      <c r="M194" s="5">
        <f t="shared" si="21"/>
        <v>85.860000000000014</v>
      </c>
      <c r="N194" s="5">
        <f t="shared" si="22"/>
        <v>76.320000000000007</v>
      </c>
      <c r="O194" s="5">
        <f t="shared" si="23"/>
        <v>66.78</v>
      </c>
      <c r="P194" s="5">
        <f t="shared" si="24"/>
        <v>57.24</v>
      </c>
      <c r="Q194" s="5">
        <f t="shared" si="25"/>
        <v>47.7</v>
      </c>
      <c r="R194" s="5">
        <f t="shared" si="26"/>
        <v>38.160000000000004</v>
      </c>
      <c r="S194" s="5">
        <f t="shared" si="27"/>
        <v>28.62</v>
      </c>
      <c r="T194" s="5">
        <f t="shared" si="28"/>
        <v>19.080000000000002</v>
      </c>
      <c r="U194" s="5">
        <f t="shared" si="29"/>
        <v>9.5400000000000009</v>
      </c>
    </row>
    <row r="195" spans="1:21" x14ac:dyDescent="0.25">
      <c r="A195" s="5">
        <v>24293</v>
      </c>
      <c r="B195" s="9" t="s">
        <v>23</v>
      </c>
      <c r="C195" s="6">
        <v>44.434177400000003</v>
      </c>
      <c r="D195" s="6">
        <v>89.490886000000003</v>
      </c>
      <c r="E195" s="5">
        <v>600</v>
      </c>
      <c r="F195" s="9" t="s">
        <v>20</v>
      </c>
      <c r="G195" s="4">
        <v>68.3</v>
      </c>
      <c r="H195" s="4">
        <f t="shared" ref="H195:H258" si="30">Q195</f>
        <v>34.15</v>
      </c>
      <c r="I195" s="5">
        <v>90</v>
      </c>
      <c r="M195" s="5">
        <f t="shared" ref="M195:M258" si="31">IF($G195&gt;=50, $G195*0.9,$G195)</f>
        <v>61.47</v>
      </c>
      <c r="N195" s="5">
        <f t="shared" ref="N195:N258" si="32">IF($G195&gt;=50, $G195*0.8,$G195)</f>
        <v>54.64</v>
      </c>
      <c r="O195" s="5">
        <f t="shared" ref="O195:O258" si="33">IF($G195&gt;=50, $G195*0.7,$G195)</f>
        <v>47.809999999999995</v>
      </c>
      <c r="P195" s="5">
        <f t="shared" ref="P195:P258" si="34">IF($G195&gt;=50, $G195*0.6,$G195)</f>
        <v>40.98</v>
      </c>
      <c r="Q195" s="5">
        <f t="shared" ref="Q195:Q258" si="35">IF($G195&gt;=50, $G195*0.5,$G195)</f>
        <v>34.15</v>
      </c>
      <c r="R195" s="5">
        <f t="shared" ref="R195:R258" si="36">IF($G195&gt;=50, $G195*0.4,$G195)</f>
        <v>27.32</v>
      </c>
      <c r="S195" s="5">
        <f t="shared" ref="S195:S258" si="37">IF($G195&gt;=50, $G195*0.3,$G195)</f>
        <v>20.49</v>
      </c>
      <c r="T195" s="5">
        <f t="shared" ref="T195:T258" si="38">IF($G195&gt;=50, $G195*0.2,$G195)</f>
        <v>13.66</v>
      </c>
      <c r="U195" s="5">
        <f t="shared" ref="U195:U258" si="39">IF($G195&gt;=50, $G195*0.1,$G195)</f>
        <v>6.83</v>
      </c>
    </row>
    <row r="196" spans="1:21" x14ac:dyDescent="0.25">
      <c r="A196" s="5">
        <v>24294</v>
      </c>
      <c r="B196" s="9" t="s">
        <v>23</v>
      </c>
      <c r="C196" s="6">
        <v>44.574536700000003</v>
      </c>
      <c r="D196" s="6">
        <v>89.445183299999997</v>
      </c>
      <c r="F196" s="9" t="s">
        <v>62</v>
      </c>
      <c r="G196" s="4">
        <v>108.4</v>
      </c>
      <c r="H196" s="4">
        <f t="shared" si="30"/>
        <v>54.2</v>
      </c>
      <c r="I196" s="5">
        <v>120</v>
      </c>
      <c r="M196" s="5">
        <f t="shared" si="31"/>
        <v>97.56</v>
      </c>
      <c r="N196" s="5">
        <f t="shared" si="32"/>
        <v>86.720000000000013</v>
      </c>
      <c r="O196" s="5">
        <f t="shared" si="33"/>
        <v>75.88</v>
      </c>
      <c r="P196" s="5">
        <f t="shared" si="34"/>
        <v>65.040000000000006</v>
      </c>
      <c r="Q196" s="5">
        <f t="shared" si="35"/>
        <v>54.2</v>
      </c>
      <c r="R196" s="5">
        <f t="shared" si="36"/>
        <v>43.360000000000007</v>
      </c>
      <c r="S196" s="5">
        <f t="shared" si="37"/>
        <v>32.520000000000003</v>
      </c>
      <c r="T196" s="5">
        <f t="shared" si="38"/>
        <v>21.680000000000003</v>
      </c>
      <c r="U196" s="5">
        <f t="shared" si="39"/>
        <v>10.840000000000002</v>
      </c>
    </row>
    <row r="197" spans="1:21" x14ac:dyDescent="0.25">
      <c r="A197" s="5">
        <v>24302</v>
      </c>
      <c r="B197" s="9" t="s">
        <v>23</v>
      </c>
      <c r="C197" s="6">
        <v>44.594999999999999</v>
      </c>
      <c r="D197" s="6">
        <v>89.451666700000004</v>
      </c>
      <c r="E197" s="5">
        <v>800</v>
      </c>
      <c r="F197" s="9" t="s">
        <v>42</v>
      </c>
      <c r="G197" s="4">
        <v>155.19999999999999</v>
      </c>
      <c r="H197" s="4">
        <f t="shared" si="30"/>
        <v>77.599999999999994</v>
      </c>
      <c r="I197" s="5">
        <v>60</v>
      </c>
      <c r="M197" s="5">
        <f t="shared" si="31"/>
        <v>139.68</v>
      </c>
      <c r="N197" s="5">
        <f t="shared" si="32"/>
        <v>124.16</v>
      </c>
      <c r="O197" s="5">
        <f t="shared" si="33"/>
        <v>108.63999999999999</v>
      </c>
      <c r="P197" s="5">
        <f t="shared" si="34"/>
        <v>93.11999999999999</v>
      </c>
      <c r="Q197" s="5">
        <f t="shared" si="35"/>
        <v>77.599999999999994</v>
      </c>
      <c r="R197" s="5">
        <f t="shared" si="36"/>
        <v>62.08</v>
      </c>
      <c r="S197" s="5">
        <f t="shared" si="37"/>
        <v>46.559999999999995</v>
      </c>
      <c r="T197" s="5">
        <f t="shared" si="38"/>
        <v>31.04</v>
      </c>
      <c r="U197" s="5">
        <f t="shared" si="39"/>
        <v>15.52</v>
      </c>
    </row>
    <row r="198" spans="1:21" x14ac:dyDescent="0.25">
      <c r="A198" s="5">
        <v>24305</v>
      </c>
      <c r="B198" s="9" t="s">
        <v>23</v>
      </c>
      <c r="C198" s="6">
        <v>44.594486699999997</v>
      </c>
      <c r="D198" s="6">
        <v>89.392146800000006</v>
      </c>
      <c r="E198" s="5">
        <v>800</v>
      </c>
      <c r="F198" s="9" t="s">
        <v>63</v>
      </c>
      <c r="G198" s="4">
        <v>0.8</v>
      </c>
      <c r="H198" s="4">
        <f t="shared" si="30"/>
        <v>0.8</v>
      </c>
      <c r="I198" s="5">
        <v>60</v>
      </c>
      <c r="M198" s="5">
        <f t="shared" si="31"/>
        <v>0.8</v>
      </c>
      <c r="N198" s="5">
        <f t="shared" si="32"/>
        <v>0.8</v>
      </c>
      <c r="O198" s="5">
        <f t="shared" si="33"/>
        <v>0.8</v>
      </c>
      <c r="P198" s="5">
        <f t="shared" si="34"/>
        <v>0.8</v>
      </c>
      <c r="Q198" s="5">
        <f t="shared" si="35"/>
        <v>0.8</v>
      </c>
      <c r="R198" s="5">
        <f t="shared" si="36"/>
        <v>0.8</v>
      </c>
      <c r="S198" s="5">
        <f t="shared" si="37"/>
        <v>0.8</v>
      </c>
      <c r="T198" s="5">
        <f t="shared" si="38"/>
        <v>0.8</v>
      </c>
      <c r="U198" s="5">
        <f t="shared" si="39"/>
        <v>0.8</v>
      </c>
    </row>
    <row r="199" spans="1:21" x14ac:dyDescent="0.25">
      <c r="A199" s="5">
        <v>24307</v>
      </c>
      <c r="B199" s="9" t="s">
        <v>23</v>
      </c>
      <c r="C199" s="6">
        <v>44.438902300000002</v>
      </c>
      <c r="D199" s="6">
        <v>89.439069000000003</v>
      </c>
      <c r="E199" s="5">
        <v>1000</v>
      </c>
      <c r="F199" s="9" t="s">
        <v>56</v>
      </c>
      <c r="G199" s="4">
        <v>108.6</v>
      </c>
      <c r="H199" s="4">
        <f t="shared" si="30"/>
        <v>54.3</v>
      </c>
      <c r="I199" s="5">
        <v>90</v>
      </c>
      <c r="M199" s="5">
        <f t="shared" si="31"/>
        <v>97.74</v>
      </c>
      <c r="N199" s="5">
        <f t="shared" si="32"/>
        <v>86.88</v>
      </c>
      <c r="O199" s="5">
        <f t="shared" si="33"/>
        <v>76.02</v>
      </c>
      <c r="P199" s="5">
        <f t="shared" si="34"/>
        <v>65.16</v>
      </c>
      <c r="Q199" s="5">
        <f t="shared" si="35"/>
        <v>54.3</v>
      </c>
      <c r="R199" s="5">
        <f t="shared" si="36"/>
        <v>43.44</v>
      </c>
      <c r="S199" s="5">
        <f t="shared" si="37"/>
        <v>32.58</v>
      </c>
      <c r="T199" s="5">
        <f t="shared" si="38"/>
        <v>21.72</v>
      </c>
      <c r="U199" s="5">
        <f t="shared" si="39"/>
        <v>10.86</v>
      </c>
    </row>
    <row r="200" spans="1:21" x14ac:dyDescent="0.25">
      <c r="A200" s="5">
        <v>24311</v>
      </c>
      <c r="B200" s="9" t="s">
        <v>23</v>
      </c>
      <c r="C200" s="6">
        <v>44.427022000000001</v>
      </c>
      <c r="D200" s="6">
        <v>89.503321999999997</v>
      </c>
      <c r="E200" s="5">
        <v>1200</v>
      </c>
      <c r="F200" s="9" t="s">
        <v>36</v>
      </c>
      <c r="G200" s="4">
        <v>248</v>
      </c>
      <c r="H200" s="4">
        <f t="shared" si="30"/>
        <v>124</v>
      </c>
      <c r="I200" s="5">
        <v>90</v>
      </c>
      <c r="M200" s="5">
        <f t="shared" si="31"/>
        <v>223.20000000000002</v>
      </c>
      <c r="N200" s="5">
        <f t="shared" si="32"/>
        <v>198.4</v>
      </c>
      <c r="O200" s="5">
        <f t="shared" si="33"/>
        <v>173.6</v>
      </c>
      <c r="P200" s="5">
        <f t="shared" si="34"/>
        <v>148.79999999999998</v>
      </c>
      <c r="Q200" s="5">
        <f t="shared" si="35"/>
        <v>124</v>
      </c>
      <c r="R200" s="5">
        <f t="shared" si="36"/>
        <v>99.2</v>
      </c>
      <c r="S200" s="5">
        <f t="shared" si="37"/>
        <v>74.399999999999991</v>
      </c>
      <c r="T200" s="5">
        <f t="shared" si="38"/>
        <v>49.6</v>
      </c>
      <c r="U200" s="5">
        <f t="shared" si="39"/>
        <v>24.8</v>
      </c>
    </row>
    <row r="201" spans="1:21" x14ac:dyDescent="0.25">
      <c r="A201" s="5">
        <v>24317</v>
      </c>
      <c r="B201" s="9" t="s">
        <v>23</v>
      </c>
      <c r="C201" s="6">
        <v>44.517865499999999</v>
      </c>
      <c r="D201" s="6">
        <v>89.531895000000006</v>
      </c>
      <c r="E201" s="5">
        <v>1000</v>
      </c>
      <c r="F201" s="9" t="s">
        <v>64</v>
      </c>
      <c r="G201" s="4">
        <v>59.5</v>
      </c>
      <c r="H201" s="4">
        <f t="shared" si="30"/>
        <v>29.75</v>
      </c>
      <c r="I201" s="5">
        <v>150</v>
      </c>
      <c r="M201" s="5">
        <f t="shared" si="31"/>
        <v>53.550000000000004</v>
      </c>
      <c r="N201" s="5">
        <f t="shared" si="32"/>
        <v>47.6</v>
      </c>
      <c r="O201" s="5">
        <f t="shared" si="33"/>
        <v>41.65</v>
      </c>
      <c r="P201" s="5">
        <f t="shared" si="34"/>
        <v>35.699999999999996</v>
      </c>
      <c r="Q201" s="5">
        <f t="shared" si="35"/>
        <v>29.75</v>
      </c>
      <c r="R201" s="5">
        <f t="shared" si="36"/>
        <v>23.8</v>
      </c>
      <c r="S201" s="5">
        <f t="shared" si="37"/>
        <v>17.849999999999998</v>
      </c>
      <c r="T201" s="5">
        <f t="shared" si="38"/>
        <v>11.9</v>
      </c>
      <c r="U201" s="5">
        <f t="shared" si="39"/>
        <v>5.95</v>
      </c>
    </row>
    <row r="202" spans="1:21" x14ac:dyDescent="0.25">
      <c r="A202" s="5">
        <v>24323</v>
      </c>
      <c r="B202" s="9" t="s">
        <v>23</v>
      </c>
      <c r="C202" s="6">
        <v>44.464950000000002</v>
      </c>
      <c r="D202" s="6">
        <v>89.503299999999996</v>
      </c>
      <c r="E202" s="5">
        <v>1200</v>
      </c>
      <c r="F202" s="9" t="s">
        <v>20</v>
      </c>
      <c r="G202" s="4">
        <v>206.4</v>
      </c>
      <c r="H202" s="4">
        <f t="shared" si="30"/>
        <v>103.2</v>
      </c>
      <c r="I202" s="5">
        <v>90</v>
      </c>
      <c r="M202" s="5">
        <f t="shared" si="31"/>
        <v>185.76000000000002</v>
      </c>
      <c r="N202" s="5">
        <f t="shared" si="32"/>
        <v>165.12</v>
      </c>
      <c r="O202" s="5">
        <f t="shared" si="33"/>
        <v>144.47999999999999</v>
      </c>
      <c r="P202" s="5">
        <f t="shared" si="34"/>
        <v>123.84</v>
      </c>
      <c r="Q202" s="5">
        <f t="shared" si="35"/>
        <v>103.2</v>
      </c>
      <c r="R202" s="5">
        <f t="shared" si="36"/>
        <v>82.56</v>
      </c>
      <c r="S202" s="5">
        <f t="shared" si="37"/>
        <v>61.92</v>
      </c>
      <c r="T202" s="5">
        <f t="shared" si="38"/>
        <v>41.28</v>
      </c>
      <c r="U202" s="5">
        <f t="shared" si="39"/>
        <v>20.64</v>
      </c>
    </row>
    <row r="203" spans="1:21" x14ac:dyDescent="0.25">
      <c r="A203" s="5">
        <v>58403</v>
      </c>
      <c r="B203" s="9" t="s">
        <v>23</v>
      </c>
      <c r="C203" s="6">
        <v>44.503300000000003</v>
      </c>
      <c r="D203" s="6">
        <v>89.411900000000003</v>
      </c>
      <c r="E203" s="5">
        <v>1000</v>
      </c>
      <c r="F203" s="9" t="s">
        <v>65</v>
      </c>
      <c r="G203" s="4">
        <v>139.19999999999999</v>
      </c>
      <c r="H203" s="4">
        <f t="shared" si="30"/>
        <v>69.599999999999994</v>
      </c>
      <c r="I203" s="5">
        <v>240</v>
      </c>
      <c r="M203" s="5">
        <f t="shared" si="31"/>
        <v>125.27999999999999</v>
      </c>
      <c r="N203" s="5">
        <f t="shared" si="32"/>
        <v>111.36</v>
      </c>
      <c r="O203" s="5">
        <f t="shared" si="33"/>
        <v>97.439999999999984</v>
      </c>
      <c r="P203" s="5">
        <f t="shared" si="34"/>
        <v>83.52</v>
      </c>
      <c r="Q203" s="5">
        <f t="shared" si="35"/>
        <v>69.599999999999994</v>
      </c>
      <c r="R203" s="5">
        <f t="shared" si="36"/>
        <v>55.68</v>
      </c>
      <c r="S203" s="5">
        <f t="shared" si="37"/>
        <v>41.76</v>
      </c>
      <c r="T203" s="5">
        <f t="shared" si="38"/>
        <v>27.84</v>
      </c>
      <c r="U203" s="5">
        <f t="shared" si="39"/>
        <v>13.92</v>
      </c>
    </row>
    <row r="204" spans="1:21" x14ac:dyDescent="0.25">
      <c r="A204" s="5">
        <v>58405</v>
      </c>
      <c r="B204" s="9" t="s">
        <v>23</v>
      </c>
      <c r="C204" s="6">
        <v>44.456663499999998</v>
      </c>
      <c r="D204" s="6">
        <v>89.516627400000004</v>
      </c>
      <c r="F204" s="9" t="s">
        <v>66</v>
      </c>
      <c r="G204" s="4">
        <v>418</v>
      </c>
      <c r="H204" s="4">
        <f t="shared" si="30"/>
        <v>209</v>
      </c>
      <c r="I204" s="5">
        <v>365</v>
      </c>
      <c r="M204" s="5">
        <f t="shared" si="31"/>
        <v>376.2</v>
      </c>
      <c r="N204" s="5">
        <f t="shared" si="32"/>
        <v>334.40000000000003</v>
      </c>
      <c r="O204" s="5">
        <f t="shared" si="33"/>
        <v>292.59999999999997</v>
      </c>
      <c r="P204" s="5">
        <f t="shared" si="34"/>
        <v>250.79999999999998</v>
      </c>
      <c r="Q204" s="5">
        <f t="shared" si="35"/>
        <v>209</v>
      </c>
      <c r="R204" s="5">
        <f t="shared" si="36"/>
        <v>167.20000000000002</v>
      </c>
      <c r="S204" s="5">
        <f t="shared" si="37"/>
        <v>125.39999999999999</v>
      </c>
      <c r="T204" s="5">
        <f t="shared" si="38"/>
        <v>83.600000000000009</v>
      </c>
      <c r="U204" s="5">
        <f t="shared" si="39"/>
        <v>41.800000000000004</v>
      </c>
    </row>
    <row r="205" spans="1:21" x14ac:dyDescent="0.25">
      <c r="A205" s="5">
        <v>58406</v>
      </c>
      <c r="B205" s="9" t="s">
        <v>23</v>
      </c>
      <c r="C205" s="6">
        <v>44.459032000000001</v>
      </c>
      <c r="D205" s="6">
        <v>89.559850999999995</v>
      </c>
      <c r="E205" s="5">
        <v>450</v>
      </c>
      <c r="F205" s="9" t="s">
        <v>67</v>
      </c>
      <c r="G205" s="4">
        <v>416.4</v>
      </c>
      <c r="H205" s="4">
        <f t="shared" si="30"/>
        <v>208.2</v>
      </c>
      <c r="I205" s="5">
        <v>365</v>
      </c>
      <c r="M205" s="5">
        <f t="shared" si="31"/>
        <v>374.76</v>
      </c>
      <c r="N205" s="5">
        <f t="shared" si="32"/>
        <v>333.12</v>
      </c>
      <c r="O205" s="5">
        <f t="shared" si="33"/>
        <v>291.47999999999996</v>
      </c>
      <c r="P205" s="5">
        <f t="shared" si="34"/>
        <v>249.83999999999997</v>
      </c>
      <c r="Q205" s="5">
        <f t="shared" si="35"/>
        <v>208.2</v>
      </c>
      <c r="R205" s="5">
        <f t="shared" si="36"/>
        <v>166.56</v>
      </c>
      <c r="S205" s="5">
        <f t="shared" si="37"/>
        <v>124.91999999999999</v>
      </c>
      <c r="T205" s="5">
        <f t="shared" si="38"/>
        <v>83.28</v>
      </c>
      <c r="U205" s="5">
        <f t="shared" si="39"/>
        <v>41.64</v>
      </c>
    </row>
    <row r="206" spans="1:21" x14ac:dyDescent="0.25">
      <c r="A206" s="5">
        <v>58407</v>
      </c>
      <c r="B206" s="9" t="s">
        <v>23</v>
      </c>
      <c r="C206" s="6">
        <v>44.457296599999999</v>
      </c>
      <c r="D206" s="6">
        <v>89.559376799999995</v>
      </c>
      <c r="E206" s="5">
        <v>700</v>
      </c>
      <c r="F206" s="9" t="s">
        <v>67</v>
      </c>
      <c r="G206" s="4">
        <v>406.4</v>
      </c>
      <c r="H206" s="4">
        <f t="shared" si="30"/>
        <v>203.2</v>
      </c>
      <c r="I206" s="5">
        <v>365</v>
      </c>
      <c r="M206" s="5">
        <f t="shared" si="31"/>
        <v>365.76</v>
      </c>
      <c r="N206" s="5">
        <f t="shared" si="32"/>
        <v>325.12</v>
      </c>
      <c r="O206" s="5">
        <f t="shared" si="33"/>
        <v>284.47999999999996</v>
      </c>
      <c r="P206" s="5">
        <f t="shared" si="34"/>
        <v>243.83999999999997</v>
      </c>
      <c r="Q206" s="5">
        <f t="shared" si="35"/>
        <v>203.2</v>
      </c>
      <c r="R206" s="5">
        <f t="shared" si="36"/>
        <v>162.56</v>
      </c>
      <c r="S206" s="5">
        <f t="shared" si="37"/>
        <v>121.91999999999999</v>
      </c>
      <c r="T206" s="5">
        <f t="shared" si="38"/>
        <v>81.28</v>
      </c>
      <c r="U206" s="5">
        <f t="shared" si="39"/>
        <v>40.64</v>
      </c>
    </row>
    <row r="207" spans="1:21" x14ac:dyDescent="0.25">
      <c r="A207" s="5">
        <v>58410</v>
      </c>
      <c r="B207" s="9" t="s">
        <v>23</v>
      </c>
      <c r="C207" s="6">
        <v>44.442032599999997</v>
      </c>
      <c r="D207" s="6">
        <v>89.428828800000005</v>
      </c>
      <c r="E207" s="5">
        <v>1500</v>
      </c>
      <c r="F207" s="9" t="s">
        <v>68</v>
      </c>
      <c r="G207" s="4">
        <v>215.3</v>
      </c>
      <c r="H207" s="4">
        <f t="shared" si="30"/>
        <v>107.65</v>
      </c>
      <c r="I207" s="5">
        <v>240</v>
      </c>
      <c r="M207" s="5">
        <f t="shared" si="31"/>
        <v>193.77</v>
      </c>
      <c r="N207" s="5">
        <f t="shared" si="32"/>
        <v>172.24</v>
      </c>
      <c r="O207" s="5">
        <f t="shared" si="33"/>
        <v>150.71</v>
      </c>
      <c r="P207" s="5">
        <f t="shared" si="34"/>
        <v>129.18</v>
      </c>
      <c r="Q207" s="5">
        <f t="shared" si="35"/>
        <v>107.65</v>
      </c>
      <c r="R207" s="5">
        <f t="shared" si="36"/>
        <v>86.12</v>
      </c>
      <c r="S207" s="5">
        <f t="shared" si="37"/>
        <v>64.59</v>
      </c>
      <c r="T207" s="5">
        <f t="shared" si="38"/>
        <v>43.06</v>
      </c>
      <c r="U207" s="5">
        <f t="shared" si="39"/>
        <v>21.53</v>
      </c>
    </row>
    <row r="208" spans="1:21" x14ac:dyDescent="0.25">
      <c r="A208" s="5">
        <v>58411</v>
      </c>
      <c r="B208" s="9" t="s">
        <v>23</v>
      </c>
      <c r="C208" s="6">
        <v>44.434780099999998</v>
      </c>
      <c r="D208" s="6">
        <v>89.428835699999993</v>
      </c>
      <c r="E208" s="5">
        <v>625</v>
      </c>
      <c r="F208" s="9" t="s">
        <v>69</v>
      </c>
      <c r="G208" s="4">
        <v>69.400000000000006</v>
      </c>
      <c r="H208" s="4">
        <f t="shared" si="30"/>
        <v>34.700000000000003</v>
      </c>
      <c r="I208" s="5">
        <v>210</v>
      </c>
      <c r="M208" s="5">
        <f t="shared" si="31"/>
        <v>62.460000000000008</v>
      </c>
      <c r="N208" s="5">
        <f t="shared" si="32"/>
        <v>55.52000000000001</v>
      </c>
      <c r="O208" s="5">
        <f t="shared" si="33"/>
        <v>48.58</v>
      </c>
      <c r="P208" s="5">
        <f t="shared" si="34"/>
        <v>41.64</v>
      </c>
      <c r="Q208" s="5">
        <f t="shared" si="35"/>
        <v>34.700000000000003</v>
      </c>
      <c r="R208" s="5">
        <f t="shared" si="36"/>
        <v>27.760000000000005</v>
      </c>
      <c r="S208" s="5">
        <f t="shared" si="37"/>
        <v>20.82</v>
      </c>
      <c r="T208" s="5">
        <f t="shared" si="38"/>
        <v>13.880000000000003</v>
      </c>
      <c r="U208" s="5">
        <f t="shared" si="39"/>
        <v>6.9400000000000013</v>
      </c>
    </row>
    <row r="209" spans="1:21" x14ac:dyDescent="0.25">
      <c r="A209" s="5">
        <v>58414</v>
      </c>
      <c r="B209" s="9" t="s">
        <v>23</v>
      </c>
      <c r="C209" s="6">
        <v>44.499699999999997</v>
      </c>
      <c r="D209" s="6">
        <v>89.410970000000006</v>
      </c>
      <c r="E209" s="5">
        <v>500</v>
      </c>
      <c r="F209" s="9" t="s">
        <v>70</v>
      </c>
      <c r="G209" s="4">
        <v>18.2</v>
      </c>
      <c r="H209" s="4">
        <f t="shared" si="30"/>
        <v>18.2</v>
      </c>
      <c r="I209" s="5">
        <v>150</v>
      </c>
      <c r="M209" s="5">
        <f t="shared" si="31"/>
        <v>18.2</v>
      </c>
      <c r="N209" s="5">
        <f t="shared" si="32"/>
        <v>18.2</v>
      </c>
      <c r="O209" s="5">
        <f t="shared" si="33"/>
        <v>18.2</v>
      </c>
      <c r="P209" s="5">
        <f t="shared" si="34"/>
        <v>18.2</v>
      </c>
      <c r="Q209" s="5">
        <f t="shared" si="35"/>
        <v>18.2</v>
      </c>
      <c r="R209" s="5">
        <f t="shared" si="36"/>
        <v>18.2</v>
      </c>
      <c r="S209" s="5">
        <f t="shared" si="37"/>
        <v>18.2</v>
      </c>
      <c r="T209" s="5">
        <f t="shared" si="38"/>
        <v>18.2</v>
      </c>
      <c r="U209" s="5">
        <f t="shared" si="39"/>
        <v>18.2</v>
      </c>
    </row>
    <row r="210" spans="1:21" x14ac:dyDescent="0.25">
      <c r="A210" s="5">
        <v>58416</v>
      </c>
      <c r="B210" s="9" t="s">
        <v>23</v>
      </c>
      <c r="C210" s="6">
        <v>44.504100000000001</v>
      </c>
      <c r="D210" s="6">
        <v>89.413300000000007</v>
      </c>
      <c r="E210" s="5">
        <v>20</v>
      </c>
      <c r="F210" s="9" t="s">
        <v>71</v>
      </c>
      <c r="G210" s="4">
        <v>2.9</v>
      </c>
      <c r="H210" s="4">
        <f t="shared" si="30"/>
        <v>2.9</v>
      </c>
      <c r="I210" s="5">
        <v>300</v>
      </c>
      <c r="M210" s="5">
        <f t="shared" si="31"/>
        <v>2.9</v>
      </c>
      <c r="N210" s="5">
        <f t="shared" si="32"/>
        <v>2.9</v>
      </c>
      <c r="O210" s="5">
        <f t="shared" si="33"/>
        <v>2.9</v>
      </c>
      <c r="P210" s="5">
        <f t="shared" si="34"/>
        <v>2.9</v>
      </c>
      <c r="Q210" s="5">
        <f t="shared" si="35"/>
        <v>2.9</v>
      </c>
      <c r="R210" s="5">
        <f t="shared" si="36"/>
        <v>2.9</v>
      </c>
      <c r="S210" s="5">
        <f t="shared" si="37"/>
        <v>2.9</v>
      </c>
      <c r="T210" s="5">
        <f t="shared" si="38"/>
        <v>2.9</v>
      </c>
      <c r="U210" s="5">
        <f t="shared" si="39"/>
        <v>2.9</v>
      </c>
    </row>
    <row r="211" spans="1:21" x14ac:dyDescent="0.25">
      <c r="A211" s="5">
        <v>58424</v>
      </c>
      <c r="B211" s="9" t="s">
        <v>23</v>
      </c>
      <c r="C211" s="6">
        <v>44.412376700000003</v>
      </c>
      <c r="D211" s="6">
        <v>89.441631700000002</v>
      </c>
      <c r="E211" s="5">
        <v>1200</v>
      </c>
      <c r="F211" s="9" t="s">
        <v>69</v>
      </c>
      <c r="G211" s="4">
        <v>121.1</v>
      </c>
      <c r="H211" s="4">
        <f t="shared" si="30"/>
        <v>60.55</v>
      </c>
      <c r="I211" s="5">
        <v>210</v>
      </c>
      <c r="M211" s="5">
        <f t="shared" si="31"/>
        <v>108.99</v>
      </c>
      <c r="N211" s="5">
        <f t="shared" si="32"/>
        <v>96.88</v>
      </c>
      <c r="O211" s="5">
        <f t="shared" si="33"/>
        <v>84.77</v>
      </c>
      <c r="P211" s="5">
        <f t="shared" si="34"/>
        <v>72.66</v>
      </c>
      <c r="Q211" s="5">
        <f t="shared" si="35"/>
        <v>60.55</v>
      </c>
      <c r="R211" s="5">
        <f t="shared" si="36"/>
        <v>48.44</v>
      </c>
      <c r="S211" s="5">
        <f t="shared" si="37"/>
        <v>36.33</v>
      </c>
      <c r="T211" s="5">
        <f t="shared" si="38"/>
        <v>24.22</v>
      </c>
      <c r="U211" s="5">
        <f t="shared" si="39"/>
        <v>12.11</v>
      </c>
    </row>
    <row r="212" spans="1:21" x14ac:dyDescent="0.25">
      <c r="A212" s="5">
        <v>58433</v>
      </c>
      <c r="B212" s="9" t="s">
        <v>23</v>
      </c>
      <c r="C212" s="6">
        <v>44.445405399999999</v>
      </c>
      <c r="D212" s="6">
        <v>89.423738400000005</v>
      </c>
      <c r="E212" s="5">
        <v>1500</v>
      </c>
      <c r="F212" s="9" t="s">
        <v>65</v>
      </c>
      <c r="G212" s="4">
        <v>300.39999999999998</v>
      </c>
      <c r="H212" s="4">
        <f t="shared" si="30"/>
        <v>150.19999999999999</v>
      </c>
      <c r="I212" s="5">
        <v>270</v>
      </c>
      <c r="M212" s="5">
        <f t="shared" si="31"/>
        <v>270.36</v>
      </c>
      <c r="N212" s="5">
        <f t="shared" si="32"/>
        <v>240.32</v>
      </c>
      <c r="O212" s="5">
        <f t="shared" si="33"/>
        <v>210.27999999999997</v>
      </c>
      <c r="P212" s="5">
        <f t="shared" si="34"/>
        <v>180.23999999999998</v>
      </c>
      <c r="Q212" s="5">
        <f t="shared" si="35"/>
        <v>150.19999999999999</v>
      </c>
      <c r="R212" s="5">
        <f t="shared" si="36"/>
        <v>120.16</v>
      </c>
      <c r="S212" s="5">
        <f t="shared" si="37"/>
        <v>90.11999999999999</v>
      </c>
      <c r="T212" s="5">
        <f t="shared" si="38"/>
        <v>60.08</v>
      </c>
      <c r="U212" s="5">
        <f t="shared" si="39"/>
        <v>30.04</v>
      </c>
    </row>
    <row r="213" spans="1:21" x14ac:dyDescent="0.25">
      <c r="A213" s="5">
        <v>58434</v>
      </c>
      <c r="B213" s="9" t="s">
        <v>23</v>
      </c>
      <c r="C213" s="6">
        <v>44.417631700000001</v>
      </c>
      <c r="D213" s="6">
        <v>89.496809999999996</v>
      </c>
      <c r="E213" s="5">
        <v>300</v>
      </c>
      <c r="F213" s="9" t="s">
        <v>47</v>
      </c>
      <c r="G213" s="4">
        <v>0.2</v>
      </c>
      <c r="H213" s="4">
        <f t="shared" si="30"/>
        <v>0.2</v>
      </c>
      <c r="I213" s="5">
        <v>60</v>
      </c>
      <c r="M213" s="5">
        <f t="shared" si="31"/>
        <v>0.2</v>
      </c>
      <c r="N213" s="5">
        <f t="shared" si="32"/>
        <v>0.2</v>
      </c>
      <c r="O213" s="5">
        <f t="shared" si="33"/>
        <v>0.2</v>
      </c>
      <c r="P213" s="5">
        <f t="shared" si="34"/>
        <v>0.2</v>
      </c>
      <c r="Q213" s="5">
        <f t="shared" si="35"/>
        <v>0.2</v>
      </c>
      <c r="R213" s="5">
        <f t="shared" si="36"/>
        <v>0.2</v>
      </c>
      <c r="S213" s="5">
        <f t="shared" si="37"/>
        <v>0.2</v>
      </c>
      <c r="T213" s="5">
        <f t="shared" si="38"/>
        <v>0.2</v>
      </c>
      <c r="U213" s="5">
        <f t="shared" si="39"/>
        <v>0.2</v>
      </c>
    </row>
    <row r="214" spans="1:21" x14ac:dyDescent="0.25">
      <c r="A214" s="5">
        <v>67673</v>
      </c>
      <c r="B214" s="9" t="s">
        <v>23</v>
      </c>
      <c r="C214" s="6">
        <v>44.416276699999997</v>
      </c>
      <c r="D214" s="6">
        <v>89.484960000000001</v>
      </c>
      <c r="E214" s="5">
        <v>1000</v>
      </c>
      <c r="F214" s="9" t="s">
        <v>36</v>
      </c>
      <c r="G214" s="4">
        <v>177.7</v>
      </c>
      <c r="H214" s="4">
        <f t="shared" si="30"/>
        <v>88.85</v>
      </c>
      <c r="I214" s="5">
        <v>120</v>
      </c>
      <c r="M214" s="5">
        <f t="shared" si="31"/>
        <v>159.93</v>
      </c>
      <c r="N214" s="5">
        <f t="shared" si="32"/>
        <v>142.16</v>
      </c>
      <c r="O214" s="5">
        <f t="shared" si="33"/>
        <v>124.38999999999999</v>
      </c>
      <c r="P214" s="5">
        <f t="shared" si="34"/>
        <v>106.61999999999999</v>
      </c>
      <c r="Q214" s="5">
        <f t="shared" si="35"/>
        <v>88.85</v>
      </c>
      <c r="R214" s="5">
        <f t="shared" si="36"/>
        <v>71.08</v>
      </c>
      <c r="S214" s="5">
        <f t="shared" si="37"/>
        <v>53.309999999999995</v>
      </c>
      <c r="T214" s="5">
        <f t="shared" si="38"/>
        <v>35.54</v>
      </c>
      <c r="U214" s="5">
        <f t="shared" si="39"/>
        <v>17.77</v>
      </c>
    </row>
    <row r="215" spans="1:21" x14ac:dyDescent="0.25">
      <c r="A215" s="5">
        <v>67895</v>
      </c>
      <c r="B215" s="9" t="s">
        <v>23</v>
      </c>
      <c r="C215" s="6">
        <v>44.397233300000003</v>
      </c>
      <c r="D215" s="6">
        <v>89.462200100000004</v>
      </c>
      <c r="E215" s="5">
        <v>150</v>
      </c>
      <c r="F215" s="9" t="s">
        <v>51</v>
      </c>
      <c r="G215" s="4">
        <v>0.1</v>
      </c>
      <c r="H215" s="4">
        <f t="shared" si="30"/>
        <v>0.1</v>
      </c>
      <c r="I215" s="5">
        <v>60</v>
      </c>
      <c r="M215" s="5">
        <f t="shared" si="31"/>
        <v>0.1</v>
      </c>
      <c r="N215" s="5">
        <f t="shared" si="32"/>
        <v>0.1</v>
      </c>
      <c r="O215" s="5">
        <f t="shared" si="33"/>
        <v>0.1</v>
      </c>
      <c r="P215" s="5">
        <f t="shared" si="34"/>
        <v>0.1</v>
      </c>
      <c r="Q215" s="5">
        <f t="shared" si="35"/>
        <v>0.1</v>
      </c>
      <c r="R215" s="5">
        <f t="shared" si="36"/>
        <v>0.1</v>
      </c>
      <c r="S215" s="5">
        <f t="shared" si="37"/>
        <v>0.1</v>
      </c>
      <c r="T215" s="5">
        <f t="shared" si="38"/>
        <v>0.1</v>
      </c>
      <c r="U215" s="5">
        <f t="shared" si="39"/>
        <v>0.1</v>
      </c>
    </row>
    <row r="216" spans="1:21" x14ac:dyDescent="0.25">
      <c r="A216" s="5">
        <v>68008</v>
      </c>
      <c r="B216" s="9" t="s">
        <v>23</v>
      </c>
      <c r="C216" s="6">
        <v>44.453628299999998</v>
      </c>
      <c r="D216" s="6">
        <v>89.522203300000001</v>
      </c>
      <c r="E216" s="5">
        <v>98</v>
      </c>
      <c r="F216" s="9" t="s">
        <v>73</v>
      </c>
      <c r="G216" s="4">
        <v>1.6</v>
      </c>
      <c r="H216" s="4">
        <f t="shared" si="30"/>
        <v>1.6</v>
      </c>
      <c r="I216" s="5">
        <v>365</v>
      </c>
      <c r="M216" s="5">
        <f t="shared" si="31"/>
        <v>1.6</v>
      </c>
      <c r="N216" s="5">
        <f t="shared" si="32"/>
        <v>1.6</v>
      </c>
      <c r="O216" s="5">
        <f t="shared" si="33"/>
        <v>1.6</v>
      </c>
      <c r="P216" s="5">
        <f t="shared" si="34"/>
        <v>1.6</v>
      </c>
      <c r="Q216" s="5">
        <f t="shared" si="35"/>
        <v>1.6</v>
      </c>
      <c r="R216" s="5">
        <f t="shared" si="36"/>
        <v>1.6</v>
      </c>
      <c r="S216" s="5">
        <f t="shared" si="37"/>
        <v>1.6</v>
      </c>
      <c r="T216" s="5">
        <f t="shared" si="38"/>
        <v>1.6</v>
      </c>
      <c r="U216" s="5">
        <f t="shared" si="39"/>
        <v>1.6</v>
      </c>
    </row>
    <row r="217" spans="1:21" x14ac:dyDescent="0.25">
      <c r="A217" s="5">
        <v>68216</v>
      </c>
      <c r="B217" s="9" t="s">
        <v>23</v>
      </c>
      <c r="C217" s="6">
        <v>44.471753300000003</v>
      </c>
      <c r="D217" s="6">
        <v>89.331358300000005</v>
      </c>
      <c r="E217" s="5">
        <v>50</v>
      </c>
      <c r="F217" s="9" t="s">
        <v>28</v>
      </c>
      <c r="G217" s="4">
        <v>0.1</v>
      </c>
      <c r="H217" s="4">
        <f t="shared" si="30"/>
        <v>0.1</v>
      </c>
      <c r="I217" s="5">
        <v>180</v>
      </c>
      <c r="M217" s="5">
        <f t="shared" si="31"/>
        <v>0.1</v>
      </c>
      <c r="N217" s="5">
        <f t="shared" si="32"/>
        <v>0.1</v>
      </c>
      <c r="O217" s="5">
        <f t="shared" si="33"/>
        <v>0.1</v>
      </c>
      <c r="P217" s="5">
        <f t="shared" si="34"/>
        <v>0.1</v>
      </c>
      <c r="Q217" s="5">
        <f t="shared" si="35"/>
        <v>0.1</v>
      </c>
      <c r="R217" s="5">
        <f t="shared" si="36"/>
        <v>0.1</v>
      </c>
      <c r="S217" s="5">
        <f t="shared" si="37"/>
        <v>0.1</v>
      </c>
      <c r="T217" s="5">
        <f t="shared" si="38"/>
        <v>0.1</v>
      </c>
      <c r="U217" s="5">
        <f t="shared" si="39"/>
        <v>0.1</v>
      </c>
    </row>
    <row r="218" spans="1:21" x14ac:dyDescent="0.25">
      <c r="A218" s="5">
        <v>68218</v>
      </c>
      <c r="B218" s="9" t="s">
        <v>23</v>
      </c>
      <c r="C218" s="6">
        <v>44.471448299999999</v>
      </c>
      <c r="D218" s="6">
        <v>89.325429999999997</v>
      </c>
      <c r="E218" s="5">
        <v>20</v>
      </c>
      <c r="F218" s="9" t="s">
        <v>28</v>
      </c>
      <c r="G218" s="4">
        <v>0.1</v>
      </c>
      <c r="H218" s="4">
        <f t="shared" si="30"/>
        <v>0.1</v>
      </c>
      <c r="I218" s="5">
        <v>180</v>
      </c>
      <c r="M218" s="5">
        <f t="shared" si="31"/>
        <v>0.1</v>
      </c>
      <c r="N218" s="5">
        <f t="shared" si="32"/>
        <v>0.1</v>
      </c>
      <c r="O218" s="5">
        <f t="shared" si="33"/>
        <v>0.1</v>
      </c>
      <c r="P218" s="5">
        <f t="shared" si="34"/>
        <v>0.1</v>
      </c>
      <c r="Q218" s="5">
        <f t="shared" si="35"/>
        <v>0.1</v>
      </c>
      <c r="R218" s="5">
        <f t="shared" si="36"/>
        <v>0.1</v>
      </c>
      <c r="S218" s="5">
        <f t="shared" si="37"/>
        <v>0.1</v>
      </c>
      <c r="T218" s="5">
        <f t="shared" si="38"/>
        <v>0.1</v>
      </c>
      <c r="U218" s="5">
        <f t="shared" si="39"/>
        <v>0.1</v>
      </c>
    </row>
    <row r="219" spans="1:21" x14ac:dyDescent="0.25">
      <c r="A219" s="5">
        <v>68219</v>
      </c>
      <c r="B219" s="9" t="s">
        <v>23</v>
      </c>
      <c r="C219" s="6">
        <v>44.471125000000001</v>
      </c>
      <c r="D219" s="6">
        <v>89.330473400000002</v>
      </c>
      <c r="E219" s="5">
        <v>20</v>
      </c>
      <c r="F219" s="9" t="s">
        <v>74</v>
      </c>
      <c r="G219" s="4">
        <v>0.2</v>
      </c>
      <c r="H219" s="4">
        <f t="shared" si="30"/>
        <v>0.2</v>
      </c>
      <c r="I219" s="5">
        <v>240</v>
      </c>
      <c r="M219" s="5">
        <f t="shared" si="31"/>
        <v>0.2</v>
      </c>
      <c r="N219" s="5">
        <f t="shared" si="32"/>
        <v>0.2</v>
      </c>
      <c r="O219" s="5">
        <f t="shared" si="33"/>
        <v>0.2</v>
      </c>
      <c r="P219" s="5">
        <f t="shared" si="34"/>
        <v>0.2</v>
      </c>
      <c r="Q219" s="5">
        <f t="shared" si="35"/>
        <v>0.2</v>
      </c>
      <c r="R219" s="5">
        <f t="shared" si="36"/>
        <v>0.2</v>
      </c>
      <c r="S219" s="5">
        <f t="shared" si="37"/>
        <v>0.2</v>
      </c>
      <c r="T219" s="5">
        <f t="shared" si="38"/>
        <v>0.2</v>
      </c>
      <c r="U219" s="5">
        <f t="shared" si="39"/>
        <v>0.2</v>
      </c>
    </row>
    <row r="220" spans="1:21" x14ac:dyDescent="0.25">
      <c r="A220" s="5">
        <v>68220</v>
      </c>
      <c r="B220" s="9" t="s">
        <v>23</v>
      </c>
      <c r="C220" s="6">
        <v>44.467633300000003</v>
      </c>
      <c r="D220" s="6">
        <v>89.330038299999998</v>
      </c>
      <c r="E220" s="5">
        <v>20</v>
      </c>
      <c r="F220" s="9" t="s">
        <v>74</v>
      </c>
      <c r="G220" s="4">
        <v>0.6</v>
      </c>
      <c r="H220" s="4">
        <f t="shared" si="30"/>
        <v>0.6</v>
      </c>
      <c r="I220" s="5">
        <v>180</v>
      </c>
      <c r="M220" s="5">
        <f t="shared" si="31"/>
        <v>0.6</v>
      </c>
      <c r="N220" s="5">
        <f t="shared" si="32"/>
        <v>0.6</v>
      </c>
      <c r="O220" s="5">
        <f t="shared" si="33"/>
        <v>0.6</v>
      </c>
      <c r="P220" s="5">
        <f t="shared" si="34"/>
        <v>0.6</v>
      </c>
      <c r="Q220" s="5">
        <f t="shared" si="35"/>
        <v>0.6</v>
      </c>
      <c r="R220" s="5">
        <f t="shared" si="36"/>
        <v>0.6</v>
      </c>
      <c r="S220" s="5">
        <f t="shared" si="37"/>
        <v>0.6</v>
      </c>
      <c r="T220" s="5">
        <f t="shared" si="38"/>
        <v>0.6</v>
      </c>
      <c r="U220" s="5">
        <f t="shared" si="39"/>
        <v>0.6</v>
      </c>
    </row>
    <row r="221" spans="1:21" x14ac:dyDescent="0.25">
      <c r="A221" s="5">
        <v>68221</v>
      </c>
      <c r="B221" s="9" t="s">
        <v>23</v>
      </c>
      <c r="C221" s="6">
        <v>44.473480000000002</v>
      </c>
      <c r="D221" s="6">
        <v>89.333508300000005</v>
      </c>
      <c r="E221" s="5">
        <v>20</v>
      </c>
      <c r="F221" s="9" t="s">
        <v>74</v>
      </c>
      <c r="G221" s="4">
        <v>1</v>
      </c>
      <c r="H221" s="4">
        <f t="shared" si="30"/>
        <v>1</v>
      </c>
      <c r="I221" s="5">
        <v>180</v>
      </c>
      <c r="M221" s="5">
        <f t="shared" si="31"/>
        <v>1</v>
      </c>
      <c r="N221" s="5">
        <f t="shared" si="32"/>
        <v>1</v>
      </c>
      <c r="O221" s="5">
        <f t="shared" si="33"/>
        <v>1</v>
      </c>
      <c r="P221" s="5">
        <f t="shared" si="34"/>
        <v>1</v>
      </c>
      <c r="Q221" s="5">
        <f t="shared" si="35"/>
        <v>1</v>
      </c>
      <c r="R221" s="5">
        <f t="shared" si="36"/>
        <v>1</v>
      </c>
      <c r="S221" s="5">
        <f t="shared" si="37"/>
        <v>1</v>
      </c>
      <c r="T221" s="5">
        <f t="shared" si="38"/>
        <v>1</v>
      </c>
      <c r="U221" s="5">
        <f t="shared" si="39"/>
        <v>1</v>
      </c>
    </row>
    <row r="222" spans="1:21" x14ac:dyDescent="0.25">
      <c r="A222" s="5">
        <v>68294</v>
      </c>
      <c r="B222" s="9" t="s">
        <v>23</v>
      </c>
      <c r="C222" s="6">
        <v>44.45626</v>
      </c>
      <c r="D222" s="6">
        <v>89.287739999999999</v>
      </c>
      <c r="E222" s="5">
        <v>75</v>
      </c>
      <c r="F222" s="9" t="s">
        <v>75</v>
      </c>
      <c r="G222" s="4">
        <v>9.1999999999999993</v>
      </c>
      <c r="H222" s="4">
        <f t="shared" si="30"/>
        <v>9.1999999999999993</v>
      </c>
      <c r="I222" s="5">
        <v>90</v>
      </c>
      <c r="M222" s="5">
        <f t="shared" si="31"/>
        <v>9.1999999999999993</v>
      </c>
      <c r="N222" s="5">
        <f t="shared" si="32"/>
        <v>9.1999999999999993</v>
      </c>
      <c r="O222" s="5">
        <f t="shared" si="33"/>
        <v>9.1999999999999993</v>
      </c>
      <c r="P222" s="5">
        <f t="shared" si="34"/>
        <v>9.1999999999999993</v>
      </c>
      <c r="Q222" s="5">
        <f t="shared" si="35"/>
        <v>9.1999999999999993</v>
      </c>
      <c r="R222" s="5">
        <f t="shared" si="36"/>
        <v>9.1999999999999993</v>
      </c>
      <c r="S222" s="5">
        <f t="shared" si="37"/>
        <v>9.1999999999999993</v>
      </c>
      <c r="T222" s="5">
        <f t="shared" si="38"/>
        <v>9.1999999999999993</v>
      </c>
      <c r="U222" s="5">
        <f t="shared" si="39"/>
        <v>9.1999999999999993</v>
      </c>
    </row>
    <row r="223" spans="1:21" x14ac:dyDescent="0.25">
      <c r="A223" s="5">
        <v>68475</v>
      </c>
      <c r="B223" s="9" t="s">
        <v>23</v>
      </c>
      <c r="C223" s="6">
        <v>44.448734999999999</v>
      </c>
      <c r="D223" s="6">
        <v>89.424151699999996</v>
      </c>
      <c r="E223" s="5">
        <v>1600</v>
      </c>
      <c r="F223" s="9" t="s">
        <v>76</v>
      </c>
      <c r="G223" s="4">
        <v>577.5</v>
      </c>
      <c r="H223" s="4">
        <f t="shared" si="30"/>
        <v>288.75</v>
      </c>
      <c r="I223" s="5">
        <v>240</v>
      </c>
      <c r="M223" s="5">
        <f t="shared" si="31"/>
        <v>519.75</v>
      </c>
      <c r="N223" s="5">
        <f t="shared" si="32"/>
        <v>462</v>
      </c>
      <c r="O223" s="5">
        <f t="shared" si="33"/>
        <v>404.25</v>
      </c>
      <c r="P223" s="5">
        <f t="shared" si="34"/>
        <v>346.5</v>
      </c>
      <c r="Q223" s="5">
        <f t="shared" si="35"/>
        <v>288.75</v>
      </c>
      <c r="R223" s="5">
        <f t="shared" si="36"/>
        <v>231</v>
      </c>
      <c r="S223" s="5">
        <f t="shared" si="37"/>
        <v>173.25</v>
      </c>
      <c r="T223" s="5">
        <f t="shared" si="38"/>
        <v>115.5</v>
      </c>
      <c r="U223" s="5">
        <f t="shared" si="39"/>
        <v>57.75</v>
      </c>
    </row>
    <row r="224" spans="1:21" x14ac:dyDescent="0.25">
      <c r="A224" s="5">
        <v>68529</v>
      </c>
      <c r="B224" s="9" t="s">
        <v>23</v>
      </c>
      <c r="C224" s="6">
        <v>44.479916699999997</v>
      </c>
      <c r="D224" s="6">
        <v>89.484333300000003</v>
      </c>
      <c r="E224" s="5">
        <v>1000</v>
      </c>
      <c r="F224" s="9" t="s">
        <v>36</v>
      </c>
      <c r="G224" s="4">
        <v>219.9</v>
      </c>
      <c r="H224" s="4">
        <f t="shared" si="30"/>
        <v>109.95</v>
      </c>
      <c r="I224" s="5">
        <v>120</v>
      </c>
      <c r="M224" s="5">
        <f t="shared" si="31"/>
        <v>197.91</v>
      </c>
      <c r="N224" s="5">
        <f t="shared" si="32"/>
        <v>175.92000000000002</v>
      </c>
      <c r="O224" s="5">
        <f t="shared" si="33"/>
        <v>153.93</v>
      </c>
      <c r="P224" s="5">
        <f t="shared" si="34"/>
        <v>131.94</v>
      </c>
      <c r="Q224" s="5">
        <f t="shared" si="35"/>
        <v>109.95</v>
      </c>
      <c r="R224" s="5">
        <f t="shared" si="36"/>
        <v>87.960000000000008</v>
      </c>
      <c r="S224" s="5">
        <f t="shared" si="37"/>
        <v>65.97</v>
      </c>
      <c r="T224" s="5">
        <f t="shared" si="38"/>
        <v>43.980000000000004</v>
      </c>
      <c r="U224" s="5">
        <f t="shared" si="39"/>
        <v>21.990000000000002</v>
      </c>
    </row>
    <row r="225" spans="1:21" x14ac:dyDescent="0.25">
      <c r="A225" s="5">
        <v>68693</v>
      </c>
      <c r="B225" s="9" t="s">
        <v>23</v>
      </c>
      <c r="C225" s="6">
        <v>44.420549999999999</v>
      </c>
      <c r="D225" s="6">
        <v>89.400650099999993</v>
      </c>
      <c r="E225" s="5">
        <v>30</v>
      </c>
      <c r="F225" s="9" t="s">
        <v>77</v>
      </c>
      <c r="G225" s="4">
        <v>13</v>
      </c>
      <c r="H225" s="4">
        <f t="shared" si="30"/>
        <v>13</v>
      </c>
      <c r="I225" s="5">
        <v>365</v>
      </c>
      <c r="M225" s="5">
        <f t="shared" si="31"/>
        <v>13</v>
      </c>
      <c r="N225" s="5">
        <f t="shared" si="32"/>
        <v>13</v>
      </c>
      <c r="O225" s="5">
        <f t="shared" si="33"/>
        <v>13</v>
      </c>
      <c r="P225" s="5">
        <f t="shared" si="34"/>
        <v>13</v>
      </c>
      <c r="Q225" s="5">
        <f t="shared" si="35"/>
        <v>13</v>
      </c>
      <c r="R225" s="5">
        <f t="shared" si="36"/>
        <v>13</v>
      </c>
      <c r="S225" s="5">
        <f t="shared" si="37"/>
        <v>13</v>
      </c>
      <c r="T225" s="5">
        <f t="shared" si="38"/>
        <v>13</v>
      </c>
      <c r="U225" s="5">
        <f t="shared" si="39"/>
        <v>13</v>
      </c>
    </row>
    <row r="226" spans="1:21" x14ac:dyDescent="0.25">
      <c r="A226" s="5">
        <v>68695</v>
      </c>
      <c r="B226" s="9" t="s">
        <v>23</v>
      </c>
      <c r="C226" s="6">
        <v>44.414116700000001</v>
      </c>
      <c r="D226" s="6">
        <v>89.406216700000002</v>
      </c>
      <c r="E226" s="5">
        <v>1000</v>
      </c>
      <c r="F226" s="9" t="s">
        <v>20</v>
      </c>
      <c r="G226" s="4">
        <v>517.79999999999995</v>
      </c>
      <c r="H226" s="4">
        <f t="shared" si="30"/>
        <v>258.89999999999998</v>
      </c>
      <c r="I226" s="5">
        <v>90</v>
      </c>
      <c r="M226" s="5">
        <f t="shared" si="31"/>
        <v>466.02</v>
      </c>
      <c r="N226" s="5">
        <f t="shared" si="32"/>
        <v>414.24</v>
      </c>
      <c r="O226" s="5">
        <f t="shared" si="33"/>
        <v>362.45999999999992</v>
      </c>
      <c r="P226" s="5">
        <f t="shared" si="34"/>
        <v>310.67999999999995</v>
      </c>
      <c r="Q226" s="5">
        <f t="shared" si="35"/>
        <v>258.89999999999998</v>
      </c>
      <c r="R226" s="5">
        <f t="shared" si="36"/>
        <v>207.12</v>
      </c>
      <c r="S226" s="5">
        <f t="shared" si="37"/>
        <v>155.33999999999997</v>
      </c>
      <c r="T226" s="5">
        <f t="shared" si="38"/>
        <v>103.56</v>
      </c>
      <c r="U226" s="5">
        <f t="shared" si="39"/>
        <v>51.78</v>
      </c>
    </row>
    <row r="227" spans="1:21" x14ac:dyDescent="0.25">
      <c r="A227" s="5">
        <v>68872</v>
      </c>
      <c r="B227" s="9" t="s">
        <v>23</v>
      </c>
      <c r="C227" s="6">
        <v>44.428576999999997</v>
      </c>
      <c r="D227" s="6">
        <v>89.514335000000003</v>
      </c>
      <c r="E227" s="5">
        <v>110</v>
      </c>
      <c r="F227" s="9" t="s">
        <v>78</v>
      </c>
      <c r="G227" s="4">
        <v>1.4</v>
      </c>
      <c r="H227" s="4">
        <f t="shared" si="30"/>
        <v>1.4</v>
      </c>
      <c r="I227" s="5">
        <v>365</v>
      </c>
      <c r="M227" s="5">
        <f t="shared" si="31"/>
        <v>1.4</v>
      </c>
      <c r="N227" s="5">
        <f t="shared" si="32"/>
        <v>1.4</v>
      </c>
      <c r="O227" s="5">
        <f t="shared" si="33"/>
        <v>1.4</v>
      </c>
      <c r="P227" s="5">
        <f t="shared" si="34"/>
        <v>1.4</v>
      </c>
      <c r="Q227" s="5">
        <f t="shared" si="35"/>
        <v>1.4</v>
      </c>
      <c r="R227" s="5">
        <f t="shared" si="36"/>
        <v>1.4</v>
      </c>
      <c r="S227" s="5">
        <f t="shared" si="37"/>
        <v>1.4</v>
      </c>
      <c r="T227" s="5">
        <f t="shared" si="38"/>
        <v>1.4</v>
      </c>
      <c r="U227" s="5">
        <f t="shared" si="39"/>
        <v>1.4</v>
      </c>
    </row>
    <row r="228" spans="1:21" x14ac:dyDescent="0.25">
      <c r="A228" s="5">
        <v>68917</v>
      </c>
      <c r="B228" s="9" t="s">
        <v>23</v>
      </c>
      <c r="C228" s="6">
        <v>44.494266699999997</v>
      </c>
      <c r="D228" s="6">
        <v>89.355166699999998</v>
      </c>
      <c r="E228" s="5">
        <v>1000</v>
      </c>
      <c r="F228" s="9" t="s">
        <v>20</v>
      </c>
      <c r="G228" s="4">
        <v>170.5</v>
      </c>
      <c r="H228" s="4">
        <f t="shared" si="30"/>
        <v>85.25</v>
      </c>
      <c r="I228" s="5">
        <v>90</v>
      </c>
      <c r="M228" s="5">
        <f t="shared" si="31"/>
        <v>153.45000000000002</v>
      </c>
      <c r="N228" s="5">
        <f t="shared" si="32"/>
        <v>136.4</v>
      </c>
      <c r="O228" s="5">
        <f t="shared" si="33"/>
        <v>119.35</v>
      </c>
      <c r="P228" s="5">
        <f t="shared" si="34"/>
        <v>102.3</v>
      </c>
      <c r="Q228" s="5">
        <f t="shared" si="35"/>
        <v>85.25</v>
      </c>
      <c r="R228" s="5">
        <f t="shared" si="36"/>
        <v>68.2</v>
      </c>
      <c r="S228" s="5">
        <f t="shared" si="37"/>
        <v>51.15</v>
      </c>
      <c r="T228" s="5">
        <f t="shared" si="38"/>
        <v>34.1</v>
      </c>
      <c r="U228" s="5">
        <f t="shared" si="39"/>
        <v>17.05</v>
      </c>
    </row>
    <row r="229" spans="1:21" x14ac:dyDescent="0.25">
      <c r="A229" s="5">
        <v>68925</v>
      </c>
      <c r="B229" s="9" t="s">
        <v>23</v>
      </c>
      <c r="C229" s="6">
        <v>44.523538299999998</v>
      </c>
      <c r="D229" s="6">
        <v>89.476214999999996</v>
      </c>
      <c r="E229" s="5">
        <v>20</v>
      </c>
      <c r="F229" s="9" t="s">
        <v>79</v>
      </c>
      <c r="G229" s="4">
        <v>3.1</v>
      </c>
      <c r="H229" s="4">
        <f t="shared" si="30"/>
        <v>3.1</v>
      </c>
      <c r="I229" s="5">
        <v>365</v>
      </c>
      <c r="M229" s="5">
        <f t="shared" si="31"/>
        <v>3.1</v>
      </c>
      <c r="N229" s="5">
        <f t="shared" si="32"/>
        <v>3.1</v>
      </c>
      <c r="O229" s="5">
        <f t="shared" si="33"/>
        <v>3.1</v>
      </c>
      <c r="P229" s="5">
        <f t="shared" si="34"/>
        <v>3.1</v>
      </c>
      <c r="Q229" s="5">
        <f t="shared" si="35"/>
        <v>3.1</v>
      </c>
      <c r="R229" s="5">
        <f t="shared" si="36"/>
        <v>3.1</v>
      </c>
      <c r="S229" s="5">
        <f t="shared" si="37"/>
        <v>3.1</v>
      </c>
      <c r="T229" s="5">
        <f t="shared" si="38"/>
        <v>3.1</v>
      </c>
      <c r="U229" s="5">
        <f t="shared" si="39"/>
        <v>3.1</v>
      </c>
    </row>
    <row r="230" spans="1:21" x14ac:dyDescent="0.25">
      <c r="A230" s="5">
        <v>68926</v>
      </c>
      <c r="B230" s="9" t="s">
        <v>23</v>
      </c>
      <c r="C230" s="6">
        <v>44.524383299999997</v>
      </c>
      <c r="D230" s="6">
        <v>89.475966700000001</v>
      </c>
      <c r="E230" s="5">
        <v>1000</v>
      </c>
      <c r="F230" s="9" t="s">
        <v>42</v>
      </c>
      <c r="G230" s="4">
        <v>121</v>
      </c>
      <c r="H230" s="4">
        <f t="shared" si="30"/>
        <v>60.5</v>
      </c>
      <c r="I230" s="5">
        <v>60</v>
      </c>
      <c r="M230" s="5">
        <f t="shared" si="31"/>
        <v>108.9</v>
      </c>
      <c r="N230" s="5">
        <f t="shared" si="32"/>
        <v>96.800000000000011</v>
      </c>
      <c r="O230" s="5">
        <f t="shared" si="33"/>
        <v>84.699999999999989</v>
      </c>
      <c r="P230" s="5">
        <f t="shared" si="34"/>
        <v>72.599999999999994</v>
      </c>
      <c r="Q230" s="5">
        <f t="shared" si="35"/>
        <v>60.5</v>
      </c>
      <c r="R230" s="5">
        <f t="shared" si="36"/>
        <v>48.400000000000006</v>
      </c>
      <c r="S230" s="5">
        <f t="shared" si="37"/>
        <v>36.299999999999997</v>
      </c>
      <c r="T230" s="5">
        <f t="shared" si="38"/>
        <v>24.200000000000003</v>
      </c>
      <c r="U230" s="5">
        <f t="shared" si="39"/>
        <v>12.100000000000001</v>
      </c>
    </row>
    <row r="231" spans="1:21" x14ac:dyDescent="0.25">
      <c r="A231" s="5">
        <v>69049</v>
      </c>
      <c r="B231" s="9" t="s">
        <v>23</v>
      </c>
      <c r="C231" s="6">
        <v>44.484349999999999</v>
      </c>
      <c r="D231" s="6">
        <v>89.4756</v>
      </c>
      <c r="E231" s="5">
        <v>500</v>
      </c>
      <c r="F231" s="9" t="s">
        <v>36</v>
      </c>
      <c r="G231" s="4">
        <v>37.6</v>
      </c>
      <c r="H231" s="4">
        <f t="shared" si="30"/>
        <v>37.6</v>
      </c>
      <c r="I231" s="5">
        <v>120</v>
      </c>
      <c r="M231" s="5">
        <f t="shared" si="31"/>
        <v>37.6</v>
      </c>
      <c r="N231" s="5">
        <f t="shared" si="32"/>
        <v>37.6</v>
      </c>
      <c r="O231" s="5">
        <f t="shared" si="33"/>
        <v>37.6</v>
      </c>
      <c r="P231" s="5">
        <f t="shared" si="34"/>
        <v>37.6</v>
      </c>
      <c r="Q231" s="5">
        <f t="shared" si="35"/>
        <v>37.6</v>
      </c>
      <c r="R231" s="5">
        <f t="shared" si="36"/>
        <v>37.6</v>
      </c>
      <c r="S231" s="5">
        <f t="shared" si="37"/>
        <v>37.6</v>
      </c>
      <c r="T231" s="5">
        <f t="shared" si="38"/>
        <v>37.6</v>
      </c>
      <c r="U231" s="5">
        <f t="shared" si="39"/>
        <v>37.6</v>
      </c>
    </row>
    <row r="232" spans="1:21" x14ac:dyDescent="0.25">
      <c r="A232" s="5">
        <v>69065</v>
      </c>
      <c r="B232" s="9" t="s">
        <v>23</v>
      </c>
      <c r="C232" s="6">
        <v>44.435788799999997</v>
      </c>
      <c r="D232" s="6">
        <v>89.449252999999999</v>
      </c>
      <c r="F232" s="9" t="s">
        <v>80</v>
      </c>
      <c r="G232" s="4">
        <v>9.6999999999999993</v>
      </c>
      <c r="H232" s="4">
        <f t="shared" si="30"/>
        <v>9.6999999999999993</v>
      </c>
      <c r="I232" s="5">
        <v>300</v>
      </c>
      <c r="M232" s="5">
        <f t="shared" si="31"/>
        <v>9.6999999999999993</v>
      </c>
      <c r="N232" s="5">
        <f t="shared" si="32"/>
        <v>9.6999999999999993</v>
      </c>
      <c r="O232" s="5">
        <f t="shared" si="33"/>
        <v>9.6999999999999993</v>
      </c>
      <c r="P232" s="5">
        <f t="shared" si="34"/>
        <v>9.6999999999999993</v>
      </c>
      <c r="Q232" s="5">
        <f t="shared" si="35"/>
        <v>9.6999999999999993</v>
      </c>
      <c r="R232" s="5">
        <f t="shared" si="36"/>
        <v>9.6999999999999993</v>
      </c>
      <c r="S232" s="5">
        <f t="shared" si="37"/>
        <v>9.6999999999999993</v>
      </c>
      <c r="T232" s="5">
        <f t="shared" si="38"/>
        <v>9.6999999999999993</v>
      </c>
      <c r="U232" s="5">
        <f t="shared" si="39"/>
        <v>9.6999999999999993</v>
      </c>
    </row>
    <row r="233" spans="1:21" x14ac:dyDescent="0.25">
      <c r="A233" s="5">
        <v>69282</v>
      </c>
      <c r="B233" s="9" t="s">
        <v>23</v>
      </c>
      <c r="C233" s="6">
        <v>44.459433300000001</v>
      </c>
      <c r="D233" s="6">
        <v>89.451733399999995</v>
      </c>
      <c r="E233" s="5">
        <v>1000</v>
      </c>
      <c r="F233" s="9" t="s">
        <v>36</v>
      </c>
      <c r="G233" s="4">
        <v>156.19999999999999</v>
      </c>
      <c r="H233" s="4">
        <f t="shared" si="30"/>
        <v>78.099999999999994</v>
      </c>
      <c r="I233" s="5">
        <v>90</v>
      </c>
      <c r="M233" s="5">
        <f t="shared" si="31"/>
        <v>140.57999999999998</v>
      </c>
      <c r="N233" s="5">
        <f t="shared" si="32"/>
        <v>124.96</v>
      </c>
      <c r="O233" s="5">
        <f t="shared" si="33"/>
        <v>109.33999999999999</v>
      </c>
      <c r="P233" s="5">
        <f t="shared" si="34"/>
        <v>93.719999999999985</v>
      </c>
      <c r="Q233" s="5">
        <f t="shared" si="35"/>
        <v>78.099999999999994</v>
      </c>
      <c r="R233" s="5">
        <f t="shared" si="36"/>
        <v>62.48</v>
      </c>
      <c r="S233" s="5">
        <f t="shared" si="37"/>
        <v>46.859999999999992</v>
      </c>
      <c r="T233" s="5">
        <f t="shared" si="38"/>
        <v>31.24</v>
      </c>
      <c r="U233" s="5">
        <f t="shared" si="39"/>
        <v>15.62</v>
      </c>
    </row>
    <row r="234" spans="1:21" x14ac:dyDescent="0.25">
      <c r="A234" s="5">
        <v>69288</v>
      </c>
      <c r="B234" s="9" t="s">
        <v>23</v>
      </c>
      <c r="C234" s="6">
        <v>44.485369800000001</v>
      </c>
      <c r="D234" s="6">
        <v>89.357883099999995</v>
      </c>
      <c r="E234" s="5">
        <v>10</v>
      </c>
      <c r="F234" s="9" t="s">
        <v>81</v>
      </c>
      <c r="G234" s="4">
        <v>2.1</v>
      </c>
      <c r="H234" s="4">
        <f t="shared" si="30"/>
        <v>2.1</v>
      </c>
      <c r="I234" s="5">
        <v>365</v>
      </c>
      <c r="M234" s="5">
        <f t="shared" si="31"/>
        <v>2.1</v>
      </c>
      <c r="N234" s="5">
        <f t="shared" si="32"/>
        <v>2.1</v>
      </c>
      <c r="O234" s="5">
        <f t="shared" si="33"/>
        <v>2.1</v>
      </c>
      <c r="P234" s="5">
        <f t="shared" si="34"/>
        <v>2.1</v>
      </c>
      <c r="Q234" s="5">
        <f t="shared" si="35"/>
        <v>2.1</v>
      </c>
      <c r="R234" s="5">
        <f t="shared" si="36"/>
        <v>2.1</v>
      </c>
      <c r="S234" s="5">
        <f t="shared" si="37"/>
        <v>2.1</v>
      </c>
      <c r="T234" s="5">
        <f t="shared" si="38"/>
        <v>2.1</v>
      </c>
      <c r="U234" s="5">
        <f t="shared" si="39"/>
        <v>2.1</v>
      </c>
    </row>
    <row r="235" spans="1:21" x14ac:dyDescent="0.25">
      <c r="A235" s="5">
        <v>69289</v>
      </c>
      <c r="B235" s="9" t="s">
        <v>23</v>
      </c>
      <c r="C235" s="6">
        <v>44.485416700000002</v>
      </c>
      <c r="D235" s="6">
        <v>89.3506383</v>
      </c>
      <c r="E235" s="5">
        <v>1000</v>
      </c>
      <c r="F235" s="9" t="s">
        <v>20</v>
      </c>
      <c r="G235" s="4">
        <v>135.1</v>
      </c>
      <c r="H235" s="4">
        <f t="shared" si="30"/>
        <v>67.55</v>
      </c>
      <c r="I235" s="5">
        <v>90</v>
      </c>
      <c r="M235" s="5">
        <f t="shared" si="31"/>
        <v>121.59</v>
      </c>
      <c r="N235" s="5">
        <f t="shared" si="32"/>
        <v>108.08</v>
      </c>
      <c r="O235" s="5">
        <f t="shared" si="33"/>
        <v>94.57</v>
      </c>
      <c r="P235" s="5">
        <f t="shared" si="34"/>
        <v>81.059999999999988</v>
      </c>
      <c r="Q235" s="5">
        <f t="shared" si="35"/>
        <v>67.55</v>
      </c>
      <c r="R235" s="5">
        <f t="shared" si="36"/>
        <v>54.04</v>
      </c>
      <c r="S235" s="5">
        <f t="shared" si="37"/>
        <v>40.529999999999994</v>
      </c>
      <c r="T235" s="5">
        <f t="shared" si="38"/>
        <v>27.02</v>
      </c>
      <c r="U235" s="5">
        <f t="shared" si="39"/>
        <v>13.51</v>
      </c>
    </row>
    <row r="236" spans="1:21" x14ac:dyDescent="0.25">
      <c r="A236" s="5">
        <v>69480</v>
      </c>
      <c r="B236" s="9" t="s">
        <v>23</v>
      </c>
      <c r="C236" s="6">
        <v>44.473565000000001</v>
      </c>
      <c r="D236" s="6">
        <v>89.371036799999999</v>
      </c>
      <c r="E236" s="5">
        <v>1000</v>
      </c>
      <c r="F236" s="9" t="s">
        <v>36</v>
      </c>
      <c r="G236" s="4">
        <v>120.8</v>
      </c>
      <c r="H236" s="4">
        <f t="shared" si="30"/>
        <v>60.4</v>
      </c>
      <c r="I236" s="5">
        <v>90</v>
      </c>
      <c r="M236" s="5">
        <f t="shared" si="31"/>
        <v>108.72</v>
      </c>
      <c r="N236" s="5">
        <f t="shared" si="32"/>
        <v>96.64</v>
      </c>
      <c r="O236" s="5">
        <f t="shared" si="33"/>
        <v>84.559999999999988</v>
      </c>
      <c r="P236" s="5">
        <f t="shared" si="34"/>
        <v>72.47999999999999</v>
      </c>
      <c r="Q236" s="5">
        <f t="shared" si="35"/>
        <v>60.4</v>
      </c>
      <c r="R236" s="5">
        <f t="shared" si="36"/>
        <v>48.32</v>
      </c>
      <c r="S236" s="5">
        <f t="shared" si="37"/>
        <v>36.239999999999995</v>
      </c>
      <c r="T236" s="5">
        <f t="shared" si="38"/>
        <v>24.16</v>
      </c>
      <c r="U236" s="5">
        <f t="shared" si="39"/>
        <v>12.08</v>
      </c>
    </row>
    <row r="237" spans="1:21" x14ac:dyDescent="0.25">
      <c r="A237" s="5">
        <v>69508</v>
      </c>
      <c r="B237" s="9" t="s">
        <v>23</v>
      </c>
      <c r="C237" s="6">
        <v>44.590089999999996</v>
      </c>
      <c r="D237" s="6">
        <v>89.394970000000001</v>
      </c>
      <c r="E237" s="5">
        <v>1000</v>
      </c>
      <c r="F237" s="9" t="s">
        <v>20</v>
      </c>
      <c r="G237" s="4">
        <v>108.7</v>
      </c>
      <c r="H237" s="4">
        <f t="shared" si="30"/>
        <v>54.35</v>
      </c>
      <c r="I237" s="5">
        <v>90</v>
      </c>
      <c r="M237" s="5">
        <f t="shared" si="31"/>
        <v>97.83</v>
      </c>
      <c r="N237" s="5">
        <f t="shared" si="32"/>
        <v>86.960000000000008</v>
      </c>
      <c r="O237" s="5">
        <f t="shared" si="33"/>
        <v>76.09</v>
      </c>
      <c r="P237" s="5">
        <f t="shared" si="34"/>
        <v>65.22</v>
      </c>
      <c r="Q237" s="5">
        <f t="shared" si="35"/>
        <v>54.35</v>
      </c>
      <c r="R237" s="5">
        <f t="shared" si="36"/>
        <v>43.480000000000004</v>
      </c>
      <c r="S237" s="5">
        <f t="shared" si="37"/>
        <v>32.61</v>
      </c>
      <c r="T237" s="5">
        <f t="shared" si="38"/>
        <v>21.740000000000002</v>
      </c>
      <c r="U237" s="5">
        <f t="shared" si="39"/>
        <v>10.870000000000001</v>
      </c>
    </row>
    <row r="238" spans="1:21" x14ac:dyDescent="0.25">
      <c r="A238" s="5">
        <v>69576</v>
      </c>
      <c r="B238" s="9" t="s">
        <v>23</v>
      </c>
      <c r="C238" s="6">
        <v>44.544899999999998</v>
      </c>
      <c r="D238" s="6">
        <v>89.396019999999993</v>
      </c>
      <c r="E238" s="5">
        <v>1000</v>
      </c>
      <c r="F238" s="9" t="s">
        <v>36</v>
      </c>
      <c r="G238" s="4">
        <v>67.8</v>
      </c>
      <c r="H238" s="4">
        <f t="shared" si="30"/>
        <v>33.9</v>
      </c>
      <c r="I238" s="5">
        <v>90</v>
      </c>
      <c r="M238" s="5">
        <f t="shared" si="31"/>
        <v>61.019999999999996</v>
      </c>
      <c r="N238" s="5">
        <f t="shared" si="32"/>
        <v>54.24</v>
      </c>
      <c r="O238" s="5">
        <f t="shared" si="33"/>
        <v>47.459999999999994</v>
      </c>
      <c r="P238" s="5">
        <f t="shared" si="34"/>
        <v>40.68</v>
      </c>
      <c r="Q238" s="5">
        <f t="shared" si="35"/>
        <v>33.9</v>
      </c>
      <c r="R238" s="5">
        <f t="shared" si="36"/>
        <v>27.12</v>
      </c>
      <c r="S238" s="5">
        <f t="shared" si="37"/>
        <v>20.34</v>
      </c>
      <c r="T238" s="5">
        <f t="shared" si="38"/>
        <v>13.56</v>
      </c>
      <c r="U238" s="5">
        <f t="shared" si="39"/>
        <v>6.78</v>
      </c>
    </row>
    <row r="239" spans="1:21" x14ac:dyDescent="0.25">
      <c r="A239" s="5">
        <v>69635</v>
      </c>
      <c r="B239" s="9" t="s">
        <v>23</v>
      </c>
      <c r="C239" s="6">
        <v>44.497783300000002</v>
      </c>
      <c r="D239" s="6">
        <v>89.334716700000001</v>
      </c>
      <c r="E239" s="5">
        <v>1000</v>
      </c>
      <c r="F239" s="9" t="s">
        <v>20</v>
      </c>
      <c r="G239" s="4">
        <v>126.2</v>
      </c>
      <c r="H239" s="4">
        <f t="shared" si="30"/>
        <v>63.1</v>
      </c>
      <c r="I239" s="5">
        <v>120</v>
      </c>
      <c r="M239" s="5">
        <f t="shared" si="31"/>
        <v>113.58</v>
      </c>
      <c r="N239" s="5">
        <f t="shared" si="32"/>
        <v>100.96000000000001</v>
      </c>
      <c r="O239" s="5">
        <f t="shared" si="33"/>
        <v>88.34</v>
      </c>
      <c r="P239" s="5">
        <f t="shared" si="34"/>
        <v>75.72</v>
      </c>
      <c r="Q239" s="5">
        <f t="shared" si="35"/>
        <v>63.1</v>
      </c>
      <c r="R239" s="5">
        <f t="shared" si="36"/>
        <v>50.480000000000004</v>
      </c>
      <c r="S239" s="5">
        <f t="shared" si="37"/>
        <v>37.86</v>
      </c>
      <c r="T239" s="5">
        <f t="shared" si="38"/>
        <v>25.240000000000002</v>
      </c>
      <c r="U239" s="5">
        <f t="shared" si="39"/>
        <v>12.620000000000001</v>
      </c>
    </row>
    <row r="240" spans="1:21" x14ac:dyDescent="0.25">
      <c r="A240" s="5">
        <v>69636</v>
      </c>
      <c r="B240" s="9" t="s">
        <v>23</v>
      </c>
      <c r="C240" s="6">
        <v>44.495806700000003</v>
      </c>
      <c r="D240" s="6">
        <v>89.337286800000001</v>
      </c>
      <c r="E240" s="5">
        <v>15</v>
      </c>
      <c r="F240" s="9" t="s">
        <v>82</v>
      </c>
      <c r="G240" s="4">
        <v>9.4</v>
      </c>
      <c r="H240" s="4">
        <f t="shared" si="30"/>
        <v>9.4</v>
      </c>
      <c r="I240" s="5">
        <v>365</v>
      </c>
      <c r="M240" s="5">
        <f t="shared" si="31"/>
        <v>9.4</v>
      </c>
      <c r="N240" s="5">
        <f t="shared" si="32"/>
        <v>9.4</v>
      </c>
      <c r="O240" s="5">
        <f t="shared" si="33"/>
        <v>9.4</v>
      </c>
      <c r="P240" s="5">
        <f t="shared" si="34"/>
        <v>9.4</v>
      </c>
      <c r="Q240" s="5">
        <f t="shared" si="35"/>
        <v>9.4</v>
      </c>
      <c r="R240" s="5">
        <f t="shared" si="36"/>
        <v>9.4</v>
      </c>
      <c r="S240" s="5">
        <f t="shared" si="37"/>
        <v>9.4</v>
      </c>
      <c r="T240" s="5">
        <f t="shared" si="38"/>
        <v>9.4</v>
      </c>
      <c r="U240" s="5">
        <f t="shared" si="39"/>
        <v>9.4</v>
      </c>
    </row>
    <row r="241" spans="1:21" x14ac:dyDescent="0.25">
      <c r="A241" s="5">
        <v>69638</v>
      </c>
      <c r="B241" s="9" t="s">
        <v>23</v>
      </c>
      <c r="C241" s="6">
        <v>44.495809999999999</v>
      </c>
      <c r="D241" s="6">
        <v>89.337291800000003</v>
      </c>
      <c r="E241" s="5">
        <v>15</v>
      </c>
      <c r="F241" s="9" t="s">
        <v>83</v>
      </c>
      <c r="G241" s="4">
        <v>2.2000000000000002</v>
      </c>
      <c r="H241" s="4">
        <f t="shared" si="30"/>
        <v>2.2000000000000002</v>
      </c>
      <c r="I241" s="5">
        <v>365</v>
      </c>
      <c r="M241" s="5">
        <f t="shared" si="31"/>
        <v>2.2000000000000002</v>
      </c>
      <c r="N241" s="5">
        <f t="shared" si="32"/>
        <v>2.2000000000000002</v>
      </c>
      <c r="O241" s="5">
        <f t="shared" si="33"/>
        <v>2.2000000000000002</v>
      </c>
      <c r="P241" s="5">
        <f t="shared" si="34"/>
        <v>2.2000000000000002</v>
      </c>
      <c r="Q241" s="5">
        <f t="shared" si="35"/>
        <v>2.2000000000000002</v>
      </c>
      <c r="R241" s="5">
        <f t="shared" si="36"/>
        <v>2.2000000000000002</v>
      </c>
      <c r="S241" s="5">
        <f t="shared" si="37"/>
        <v>2.2000000000000002</v>
      </c>
      <c r="T241" s="5">
        <f t="shared" si="38"/>
        <v>2.2000000000000002</v>
      </c>
      <c r="U241" s="5">
        <f t="shared" si="39"/>
        <v>2.2000000000000002</v>
      </c>
    </row>
    <row r="242" spans="1:21" x14ac:dyDescent="0.25">
      <c r="A242" s="5">
        <v>69669</v>
      </c>
      <c r="B242" s="9" t="s">
        <v>23</v>
      </c>
      <c r="C242" s="6">
        <v>44.464388300000003</v>
      </c>
      <c r="D242" s="6">
        <v>89.298195000000007</v>
      </c>
      <c r="E242" s="5">
        <v>30</v>
      </c>
      <c r="F242" s="9" t="s">
        <v>84</v>
      </c>
      <c r="G242" s="4">
        <v>1.8</v>
      </c>
      <c r="H242" s="4">
        <f t="shared" si="30"/>
        <v>1.8</v>
      </c>
      <c r="I242" s="5">
        <v>365</v>
      </c>
      <c r="M242" s="5">
        <f t="shared" si="31"/>
        <v>1.8</v>
      </c>
      <c r="N242" s="5">
        <f t="shared" si="32"/>
        <v>1.8</v>
      </c>
      <c r="O242" s="5">
        <f t="shared" si="33"/>
        <v>1.8</v>
      </c>
      <c r="P242" s="5">
        <f t="shared" si="34"/>
        <v>1.8</v>
      </c>
      <c r="Q242" s="5">
        <f t="shared" si="35"/>
        <v>1.8</v>
      </c>
      <c r="R242" s="5">
        <f t="shared" si="36"/>
        <v>1.8</v>
      </c>
      <c r="S242" s="5">
        <f t="shared" si="37"/>
        <v>1.8</v>
      </c>
      <c r="T242" s="5">
        <f t="shared" si="38"/>
        <v>1.8</v>
      </c>
      <c r="U242" s="5">
        <f t="shared" si="39"/>
        <v>1.8</v>
      </c>
    </row>
    <row r="243" spans="1:21" x14ac:dyDescent="0.25">
      <c r="A243" s="5">
        <v>69970</v>
      </c>
      <c r="B243" s="9" t="s">
        <v>23</v>
      </c>
      <c r="C243" s="6">
        <v>44.476783300000001</v>
      </c>
      <c r="D243" s="6">
        <v>89.498333299999999</v>
      </c>
      <c r="E243" s="5">
        <v>250</v>
      </c>
      <c r="F243" s="9" t="s">
        <v>42</v>
      </c>
      <c r="G243" s="4">
        <v>62.9</v>
      </c>
      <c r="H243" s="4">
        <f t="shared" si="30"/>
        <v>31.45</v>
      </c>
      <c r="I243" s="5">
        <v>120</v>
      </c>
      <c r="M243" s="5">
        <f t="shared" si="31"/>
        <v>56.61</v>
      </c>
      <c r="N243" s="5">
        <f t="shared" si="32"/>
        <v>50.32</v>
      </c>
      <c r="O243" s="5">
        <f t="shared" si="33"/>
        <v>44.029999999999994</v>
      </c>
      <c r="P243" s="5">
        <f t="shared" si="34"/>
        <v>37.739999999999995</v>
      </c>
      <c r="Q243" s="5">
        <f t="shared" si="35"/>
        <v>31.45</v>
      </c>
      <c r="R243" s="5">
        <f t="shared" si="36"/>
        <v>25.16</v>
      </c>
      <c r="S243" s="5">
        <f t="shared" si="37"/>
        <v>18.869999999999997</v>
      </c>
      <c r="T243" s="5">
        <f t="shared" si="38"/>
        <v>12.58</v>
      </c>
      <c r="U243" s="5">
        <f t="shared" si="39"/>
        <v>6.29</v>
      </c>
    </row>
    <row r="244" spans="1:21" x14ac:dyDescent="0.25">
      <c r="A244" s="5">
        <v>69990</v>
      </c>
      <c r="B244" s="9" t="s">
        <v>23</v>
      </c>
      <c r="C244" s="6">
        <v>44.534466700000003</v>
      </c>
      <c r="D244" s="6">
        <v>89.485116700000006</v>
      </c>
      <c r="E244" s="5">
        <v>300</v>
      </c>
      <c r="F244" s="9" t="s">
        <v>85</v>
      </c>
      <c r="G244" s="4">
        <v>156.4</v>
      </c>
      <c r="H244" s="4">
        <f t="shared" si="30"/>
        <v>78.2</v>
      </c>
      <c r="I244" s="5">
        <v>60</v>
      </c>
      <c r="M244" s="5">
        <f t="shared" si="31"/>
        <v>140.76000000000002</v>
      </c>
      <c r="N244" s="5">
        <f t="shared" si="32"/>
        <v>125.12</v>
      </c>
      <c r="O244" s="5">
        <f t="shared" si="33"/>
        <v>109.48</v>
      </c>
      <c r="P244" s="5">
        <f t="shared" si="34"/>
        <v>93.84</v>
      </c>
      <c r="Q244" s="5">
        <f t="shared" si="35"/>
        <v>78.2</v>
      </c>
      <c r="R244" s="5">
        <f t="shared" si="36"/>
        <v>62.56</v>
      </c>
      <c r="S244" s="5">
        <f t="shared" si="37"/>
        <v>46.92</v>
      </c>
      <c r="T244" s="5">
        <f t="shared" si="38"/>
        <v>31.28</v>
      </c>
      <c r="U244" s="5">
        <f t="shared" si="39"/>
        <v>15.64</v>
      </c>
    </row>
    <row r="245" spans="1:21" x14ac:dyDescent="0.25">
      <c r="A245" s="5">
        <v>70119</v>
      </c>
      <c r="B245" s="9" t="s">
        <v>23</v>
      </c>
      <c r="C245" s="6">
        <v>44.4900667</v>
      </c>
      <c r="D245" s="6">
        <v>89.507349899999994</v>
      </c>
      <c r="E245" s="5">
        <v>1000</v>
      </c>
      <c r="F245" s="9" t="s">
        <v>20</v>
      </c>
      <c r="G245" s="4">
        <v>192.2</v>
      </c>
      <c r="H245" s="4">
        <f t="shared" si="30"/>
        <v>96.1</v>
      </c>
      <c r="I245" s="5">
        <v>150</v>
      </c>
      <c r="M245" s="5">
        <f t="shared" si="31"/>
        <v>172.98</v>
      </c>
      <c r="N245" s="5">
        <f t="shared" si="32"/>
        <v>153.76</v>
      </c>
      <c r="O245" s="5">
        <f t="shared" si="33"/>
        <v>134.54</v>
      </c>
      <c r="P245" s="5">
        <f t="shared" si="34"/>
        <v>115.32</v>
      </c>
      <c r="Q245" s="5">
        <f t="shared" si="35"/>
        <v>96.1</v>
      </c>
      <c r="R245" s="5">
        <f t="shared" si="36"/>
        <v>76.88</v>
      </c>
      <c r="S245" s="5">
        <f t="shared" si="37"/>
        <v>57.66</v>
      </c>
      <c r="T245" s="5">
        <f t="shared" si="38"/>
        <v>38.44</v>
      </c>
      <c r="U245" s="5">
        <f t="shared" si="39"/>
        <v>19.22</v>
      </c>
    </row>
    <row r="246" spans="1:21" x14ac:dyDescent="0.25">
      <c r="A246" s="5">
        <v>70120</v>
      </c>
      <c r="B246" s="9" t="s">
        <v>23</v>
      </c>
      <c r="C246" s="6">
        <v>44.497341900000002</v>
      </c>
      <c r="D246" s="6">
        <v>89.502360499999995</v>
      </c>
      <c r="F246" s="9" t="s">
        <v>20</v>
      </c>
      <c r="G246" s="4">
        <v>243.7</v>
      </c>
      <c r="H246" s="4">
        <f t="shared" si="30"/>
        <v>121.85</v>
      </c>
      <c r="I246" s="5">
        <v>150</v>
      </c>
      <c r="M246" s="5">
        <f t="shared" si="31"/>
        <v>219.32999999999998</v>
      </c>
      <c r="N246" s="5">
        <f t="shared" si="32"/>
        <v>194.96</v>
      </c>
      <c r="O246" s="5">
        <f t="shared" si="33"/>
        <v>170.58999999999997</v>
      </c>
      <c r="P246" s="5">
        <f t="shared" si="34"/>
        <v>146.22</v>
      </c>
      <c r="Q246" s="5">
        <f t="shared" si="35"/>
        <v>121.85</v>
      </c>
      <c r="R246" s="5">
        <f t="shared" si="36"/>
        <v>97.48</v>
      </c>
      <c r="S246" s="5">
        <f t="shared" si="37"/>
        <v>73.11</v>
      </c>
      <c r="T246" s="5">
        <f t="shared" si="38"/>
        <v>48.74</v>
      </c>
      <c r="U246" s="5">
        <f t="shared" si="39"/>
        <v>24.37</v>
      </c>
    </row>
    <row r="247" spans="1:21" x14ac:dyDescent="0.25">
      <c r="A247" s="5">
        <v>70186</v>
      </c>
      <c r="B247" s="9" t="s">
        <v>23</v>
      </c>
      <c r="C247" s="6">
        <v>44.484013300000001</v>
      </c>
      <c r="D247" s="6">
        <v>89.461961700000003</v>
      </c>
      <c r="E247" s="5">
        <v>400</v>
      </c>
      <c r="F247" s="9" t="s">
        <v>42</v>
      </c>
      <c r="G247" s="4">
        <v>125.1</v>
      </c>
      <c r="H247" s="4">
        <f t="shared" si="30"/>
        <v>62.55</v>
      </c>
      <c r="I247" s="5">
        <v>90</v>
      </c>
      <c r="M247" s="5">
        <f t="shared" si="31"/>
        <v>112.59</v>
      </c>
      <c r="N247" s="5">
        <f t="shared" si="32"/>
        <v>100.08</v>
      </c>
      <c r="O247" s="5">
        <f t="shared" si="33"/>
        <v>87.57</v>
      </c>
      <c r="P247" s="5">
        <f t="shared" si="34"/>
        <v>75.059999999999988</v>
      </c>
      <c r="Q247" s="5">
        <f t="shared" si="35"/>
        <v>62.55</v>
      </c>
      <c r="R247" s="5">
        <f t="shared" si="36"/>
        <v>50.04</v>
      </c>
      <c r="S247" s="5">
        <f t="shared" si="37"/>
        <v>37.529999999999994</v>
      </c>
      <c r="T247" s="5">
        <f t="shared" si="38"/>
        <v>25.02</v>
      </c>
      <c r="U247" s="5">
        <f t="shared" si="39"/>
        <v>12.51</v>
      </c>
    </row>
    <row r="248" spans="1:21" x14ac:dyDescent="0.25">
      <c r="A248" s="5">
        <v>70191</v>
      </c>
      <c r="B248" s="9" t="s">
        <v>23</v>
      </c>
      <c r="C248" s="6">
        <v>44.544550000000001</v>
      </c>
      <c r="D248" s="6">
        <v>89.447650100000004</v>
      </c>
      <c r="E248" s="5">
        <v>200</v>
      </c>
      <c r="F248" s="9" t="s">
        <v>86</v>
      </c>
      <c r="G248" s="4">
        <v>1.2</v>
      </c>
      <c r="H248" s="4">
        <f t="shared" si="30"/>
        <v>1.2</v>
      </c>
      <c r="I248" s="5">
        <v>330</v>
      </c>
      <c r="M248" s="5">
        <f t="shared" si="31"/>
        <v>1.2</v>
      </c>
      <c r="N248" s="5">
        <f t="shared" si="32"/>
        <v>1.2</v>
      </c>
      <c r="O248" s="5">
        <f t="shared" si="33"/>
        <v>1.2</v>
      </c>
      <c r="P248" s="5">
        <f t="shared" si="34"/>
        <v>1.2</v>
      </c>
      <c r="Q248" s="5">
        <f t="shared" si="35"/>
        <v>1.2</v>
      </c>
      <c r="R248" s="5">
        <f t="shared" si="36"/>
        <v>1.2</v>
      </c>
      <c r="S248" s="5">
        <f t="shared" si="37"/>
        <v>1.2</v>
      </c>
      <c r="T248" s="5">
        <f t="shared" si="38"/>
        <v>1.2</v>
      </c>
      <c r="U248" s="5">
        <f t="shared" si="39"/>
        <v>1.2</v>
      </c>
    </row>
    <row r="249" spans="1:21" x14ac:dyDescent="0.25">
      <c r="A249" s="5">
        <v>70263</v>
      </c>
      <c r="B249" s="9" t="s">
        <v>23</v>
      </c>
      <c r="C249" s="6">
        <v>44.479528299999998</v>
      </c>
      <c r="D249" s="6">
        <v>89.329500100000004</v>
      </c>
      <c r="E249" s="5">
        <v>1000</v>
      </c>
      <c r="F249" s="9" t="s">
        <v>20</v>
      </c>
      <c r="G249" s="4">
        <v>165.9</v>
      </c>
      <c r="H249" s="4">
        <f t="shared" si="30"/>
        <v>82.95</v>
      </c>
      <c r="I249" s="5">
        <v>90</v>
      </c>
      <c r="M249" s="5">
        <f t="shared" si="31"/>
        <v>149.31</v>
      </c>
      <c r="N249" s="5">
        <f t="shared" si="32"/>
        <v>132.72</v>
      </c>
      <c r="O249" s="5">
        <f t="shared" si="33"/>
        <v>116.13</v>
      </c>
      <c r="P249" s="5">
        <f t="shared" si="34"/>
        <v>99.54</v>
      </c>
      <c r="Q249" s="5">
        <f t="shared" si="35"/>
        <v>82.95</v>
      </c>
      <c r="R249" s="5">
        <f t="shared" si="36"/>
        <v>66.36</v>
      </c>
      <c r="S249" s="5">
        <f t="shared" si="37"/>
        <v>49.77</v>
      </c>
      <c r="T249" s="5">
        <f t="shared" si="38"/>
        <v>33.18</v>
      </c>
      <c r="U249" s="5">
        <f t="shared" si="39"/>
        <v>16.59</v>
      </c>
    </row>
    <row r="250" spans="1:21" x14ac:dyDescent="0.25">
      <c r="A250" s="5">
        <v>70517</v>
      </c>
      <c r="B250" s="9" t="s">
        <v>23</v>
      </c>
      <c r="C250" s="6">
        <v>44.583533299999999</v>
      </c>
      <c r="D250" s="6">
        <v>89.447199999999995</v>
      </c>
      <c r="E250" s="5">
        <v>20</v>
      </c>
      <c r="F250" s="9" t="s">
        <v>87</v>
      </c>
      <c r="G250" s="4">
        <v>2.8</v>
      </c>
      <c r="H250" s="4">
        <f t="shared" si="30"/>
        <v>2.8</v>
      </c>
      <c r="I250" s="5">
        <v>270</v>
      </c>
      <c r="M250" s="5">
        <f t="shared" si="31"/>
        <v>2.8</v>
      </c>
      <c r="N250" s="5">
        <f t="shared" si="32"/>
        <v>2.8</v>
      </c>
      <c r="O250" s="5">
        <f t="shared" si="33"/>
        <v>2.8</v>
      </c>
      <c r="P250" s="5">
        <f t="shared" si="34"/>
        <v>2.8</v>
      </c>
      <c r="Q250" s="5">
        <f t="shared" si="35"/>
        <v>2.8</v>
      </c>
      <c r="R250" s="5">
        <f t="shared" si="36"/>
        <v>2.8</v>
      </c>
      <c r="S250" s="5">
        <f t="shared" si="37"/>
        <v>2.8</v>
      </c>
      <c r="T250" s="5">
        <f t="shared" si="38"/>
        <v>2.8</v>
      </c>
      <c r="U250" s="5">
        <f t="shared" si="39"/>
        <v>2.8</v>
      </c>
    </row>
    <row r="251" spans="1:21" x14ac:dyDescent="0.25">
      <c r="A251" s="5">
        <v>70519</v>
      </c>
      <c r="B251" s="9" t="s">
        <v>23</v>
      </c>
      <c r="C251" s="6">
        <v>44.583533299999999</v>
      </c>
      <c r="D251" s="6">
        <v>89.447050000000004</v>
      </c>
      <c r="E251" s="5">
        <v>20</v>
      </c>
      <c r="F251" s="9" t="s">
        <v>88</v>
      </c>
      <c r="G251" s="4">
        <v>23.5</v>
      </c>
      <c r="H251" s="4">
        <f t="shared" si="30"/>
        <v>23.5</v>
      </c>
      <c r="I251" s="5">
        <v>365</v>
      </c>
      <c r="M251" s="5">
        <f t="shared" si="31"/>
        <v>23.5</v>
      </c>
      <c r="N251" s="5">
        <f t="shared" si="32"/>
        <v>23.5</v>
      </c>
      <c r="O251" s="5">
        <f t="shared" si="33"/>
        <v>23.5</v>
      </c>
      <c r="P251" s="5">
        <f t="shared" si="34"/>
        <v>23.5</v>
      </c>
      <c r="Q251" s="5">
        <f t="shared" si="35"/>
        <v>23.5</v>
      </c>
      <c r="R251" s="5">
        <f t="shared" si="36"/>
        <v>23.5</v>
      </c>
      <c r="S251" s="5">
        <f t="shared" si="37"/>
        <v>23.5</v>
      </c>
      <c r="T251" s="5">
        <f t="shared" si="38"/>
        <v>23.5</v>
      </c>
      <c r="U251" s="5">
        <f t="shared" si="39"/>
        <v>23.5</v>
      </c>
    </row>
    <row r="252" spans="1:21" x14ac:dyDescent="0.25">
      <c r="A252" s="5">
        <v>70520</v>
      </c>
      <c r="B252" s="9" t="s">
        <v>23</v>
      </c>
      <c r="C252" s="6">
        <v>44.583583300000001</v>
      </c>
      <c r="D252" s="6">
        <v>89.446766699999998</v>
      </c>
      <c r="E252" s="5">
        <v>20</v>
      </c>
      <c r="F252" s="9" t="s">
        <v>88</v>
      </c>
      <c r="G252" s="4">
        <v>6.1</v>
      </c>
      <c r="H252" s="4">
        <f t="shared" si="30"/>
        <v>6.1</v>
      </c>
      <c r="I252" s="5">
        <v>240</v>
      </c>
      <c r="M252" s="5">
        <f t="shared" si="31"/>
        <v>6.1</v>
      </c>
      <c r="N252" s="5">
        <f t="shared" si="32"/>
        <v>6.1</v>
      </c>
      <c r="O252" s="5">
        <f t="shared" si="33"/>
        <v>6.1</v>
      </c>
      <c r="P252" s="5">
        <f t="shared" si="34"/>
        <v>6.1</v>
      </c>
      <c r="Q252" s="5">
        <f t="shared" si="35"/>
        <v>6.1</v>
      </c>
      <c r="R252" s="5">
        <f t="shared" si="36"/>
        <v>6.1</v>
      </c>
      <c r="S252" s="5">
        <f t="shared" si="37"/>
        <v>6.1</v>
      </c>
      <c r="T252" s="5">
        <f t="shared" si="38"/>
        <v>6.1</v>
      </c>
      <c r="U252" s="5">
        <f t="shared" si="39"/>
        <v>6.1</v>
      </c>
    </row>
    <row r="253" spans="1:21" x14ac:dyDescent="0.25">
      <c r="A253" s="5">
        <v>70548</v>
      </c>
      <c r="B253" s="9" t="s">
        <v>23</v>
      </c>
      <c r="C253" s="6">
        <v>44.557666699999999</v>
      </c>
      <c r="D253" s="6">
        <v>89.359066799999994</v>
      </c>
      <c r="E253" s="5">
        <v>1000</v>
      </c>
      <c r="F253" s="9" t="s">
        <v>42</v>
      </c>
      <c r="G253" s="4">
        <v>368.5</v>
      </c>
      <c r="H253" s="4">
        <f t="shared" si="30"/>
        <v>184.25</v>
      </c>
      <c r="I253" s="5">
        <v>90</v>
      </c>
      <c r="M253" s="5">
        <f t="shared" si="31"/>
        <v>331.65000000000003</v>
      </c>
      <c r="N253" s="5">
        <f t="shared" si="32"/>
        <v>294.8</v>
      </c>
      <c r="O253" s="5">
        <f t="shared" si="33"/>
        <v>257.95</v>
      </c>
      <c r="P253" s="5">
        <f t="shared" si="34"/>
        <v>221.1</v>
      </c>
      <c r="Q253" s="5">
        <f t="shared" si="35"/>
        <v>184.25</v>
      </c>
      <c r="R253" s="5">
        <f t="shared" si="36"/>
        <v>147.4</v>
      </c>
      <c r="S253" s="5">
        <f t="shared" si="37"/>
        <v>110.55</v>
      </c>
      <c r="T253" s="5">
        <f t="shared" si="38"/>
        <v>73.7</v>
      </c>
      <c r="U253" s="5">
        <f t="shared" si="39"/>
        <v>36.85</v>
      </c>
    </row>
    <row r="254" spans="1:21" x14ac:dyDescent="0.25">
      <c r="A254" s="5">
        <v>70881</v>
      </c>
      <c r="B254" s="9" t="s">
        <v>23</v>
      </c>
      <c r="C254" s="6">
        <v>44.486933299999997</v>
      </c>
      <c r="D254" s="6">
        <v>89.423699999999997</v>
      </c>
      <c r="E254" s="5">
        <v>1000</v>
      </c>
      <c r="F254" s="9" t="s">
        <v>42</v>
      </c>
      <c r="G254" s="4">
        <v>169.4</v>
      </c>
      <c r="H254" s="4">
        <f t="shared" si="30"/>
        <v>84.7</v>
      </c>
      <c r="I254" s="5">
        <v>150</v>
      </c>
      <c r="M254" s="5">
        <f t="shared" si="31"/>
        <v>152.46</v>
      </c>
      <c r="N254" s="5">
        <f t="shared" si="32"/>
        <v>135.52000000000001</v>
      </c>
      <c r="O254" s="5">
        <f t="shared" si="33"/>
        <v>118.58</v>
      </c>
      <c r="P254" s="5">
        <f t="shared" si="34"/>
        <v>101.64</v>
      </c>
      <c r="Q254" s="5">
        <f t="shared" si="35"/>
        <v>84.7</v>
      </c>
      <c r="R254" s="5">
        <f t="shared" si="36"/>
        <v>67.760000000000005</v>
      </c>
      <c r="S254" s="5">
        <f t="shared" si="37"/>
        <v>50.82</v>
      </c>
      <c r="T254" s="5">
        <f t="shared" si="38"/>
        <v>33.880000000000003</v>
      </c>
      <c r="U254" s="5">
        <f t="shared" si="39"/>
        <v>16.940000000000001</v>
      </c>
    </row>
    <row r="255" spans="1:21" x14ac:dyDescent="0.25">
      <c r="A255" s="5">
        <v>70961</v>
      </c>
      <c r="B255" s="9" t="s">
        <v>23</v>
      </c>
      <c r="C255" s="6">
        <v>44.4947667</v>
      </c>
      <c r="D255" s="6">
        <v>89.362983400000005</v>
      </c>
      <c r="E255" s="5">
        <v>1000</v>
      </c>
      <c r="F255" s="9" t="s">
        <v>42</v>
      </c>
      <c r="G255" s="4">
        <v>66.400000000000006</v>
      </c>
      <c r="H255" s="4">
        <f t="shared" si="30"/>
        <v>33.200000000000003</v>
      </c>
      <c r="I255" s="5">
        <v>90</v>
      </c>
      <c r="M255" s="5">
        <f t="shared" si="31"/>
        <v>59.760000000000005</v>
      </c>
      <c r="N255" s="5">
        <f t="shared" si="32"/>
        <v>53.120000000000005</v>
      </c>
      <c r="O255" s="5">
        <f t="shared" si="33"/>
        <v>46.480000000000004</v>
      </c>
      <c r="P255" s="5">
        <f t="shared" si="34"/>
        <v>39.840000000000003</v>
      </c>
      <c r="Q255" s="5">
        <f t="shared" si="35"/>
        <v>33.200000000000003</v>
      </c>
      <c r="R255" s="5">
        <f t="shared" si="36"/>
        <v>26.560000000000002</v>
      </c>
      <c r="S255" s="5">
        <f t="shared" si="37"/>
        <v>19.920000000000002</v>
      </c>
      <c r="T255" s="5">
        <f t="shared" si="38"/>
        <v>13.280000000000001</v>
      </c>
      <c r="U255" s="5">
        <f t="shared" si="39"/>
        <v>6.6400000000000006</v>
      </c>
    </row>
    <row r="256" spans="1:21" x14ac:dyDescent="0.25">
      <c r="A256" s="5">
        <v>70974</v>
      </c>
      <c r="B256" s="9" t="s">
        <v>23</v>
      </c>
      <c r="C256" s="6">
        <v>44.496425299999999</v>
      </c>
      <c r="D256" s="6">
        <v>89.362974699999995</v>
      </c>
      <c r="E256" s="5">
        <v>20</v>
      </c>
      <c r="F256" s="9" t="s">
        <v>88</v>
      </c>
      <c r="G256" s="4">
        <v>5.7</v>
      </c>
      <c r="H256" s="4">
        <f t="shared" si="30"/>
        <v>5.7</v>
      </c>
      <c r="I256" s="5">
        <v>365</v>
      </c>
      <c r="M256" s="5">
        <f t="shared" si="31"/>
        <v>5.7</v>
      </c>
      <c r="N256" s="5">
        <f t="shared" si="32"/>
        <v>5.7</v>
      </c>
      <c r="O256" s="5">
        <f t="shared" si="33"/>
        <v>5.7</v>
      </c>
      <c r="P256" s="5">
        <f t="shared" si="34"/>
        <v>5.7</v>
      </c>
      <c r="Q256" s="5">
        <f t="shared" si="35"/>
        <v>5.7</v>
      </c>
      <c r="R256" s="5">
        <f t="shared" si="36"/>
        <v>5.7</v>
      </c>
      <c r="S256" s="5">
        <f t="shared" si="37"/>
        <v>5.7</v>
      </c>
      <c r="T256" s="5">
        <f t="shared" si="38"/>
        <v>5.7</v>
      </c>
      <c r="U256" s="5">
        <f t="shared" si="39"/>
        <v>5.7</v>
      </c>
    </row>
    <row r="257" spans="1:21" x14ac:dyDescent="0.25">
      <c r="A257" s="5">
        <v>70975</v>
      </c>
      <c r="B257" s="9" t="s">
        <v>23</v>
      </c>
      <c r="C257" s="6">
        <v>44.496425299999999</v>
      </c>
      <c r="D257" s="6">
        <v>89.362974699999995</v>
      </c>
      <c r="E257" s="5">
        <v>20</v>
      </c>
      <c r="F257" s="9" t="s">
        <v>89</v>
      </c>
      <c r="G257" s="4">
        <v>1</v>
      </c>
      <c r="H257" s="4">
        <f t="shared" si="30"/>
        <v>1</v>
      </c>
      <c r="I257" s="5">
        <v>365</v>
      </c>
      <c r="M257" s="5">
        <f t="shared" si="31"/>
        <v>1</v>
      </c>
      <c r="N257" s="5">
        <f t="shared" si="32"/>
        <v>1</v>
      </c>
      <c r="O257" s="5">
        <f t="shared" si="33"/>
        <v>1</v>
      </c>
      <c r="P257" s="5">
        <f t="shared" si="34"/>
        <v>1</v>
      </c>
      <c r="Q257" s="5">
        <f t="shared" si="35"/>
        <v>1</v>
      </c>
      <c r="R257" s="5">
        <f t="shared" si="36"/>
        <v>1</v>
      </c>
      <c r="S257" s="5">
        <f t="shared" si="37"/>
        <v>1</v>
      </c>
      <c r="T257" s="5">
        <f t="shared" si="38"/>
        <v>1</v>
      </c>
      <c r="U257" s="5">
        <f t="shared" si="39"/>
        <v>1</v>
      </c>
    </row>
    <row r="258" spans="1:21" x14ac:dyDescent="0.25">
      <c r="A258" s="5">
        <v>71044</v>
      </c>
      <c r="B258" s="9" t="s">
        <v>23</v>
      </c>
      <c r="C258" s="6">
        <v>44.483600000000003</v>
      </c>
      <c r="D258" s="6">
        <v>89.496930000000006</v>
      </c>
      <c r="E258" s="5">
        <v>1000</v>
      </c>
      <c r="F258" s="9" t="s">
        <v>72</v>
      </c>
      <c r="G258" s="4">
        <v>63.8</v>
      </c>
      <c r="H258" s="4">
        <f t="shared" si="30"/>
        <v>31.9</v>
      </c>
      <c r="I258" s="5">
        <v>120</v>
      </c>
      <c r="M258" s="5">
        <f t="shared" si="31"/>
        <v>57.42</v>
      </c>
      <c r="N258" s="5">
        <f t="shared" si="32"/>
        <v>51.04</v>
      </c>
      <c r="O258" s="5">
        <f t="shared" si="33"/>
        <v>44.66</v>
      </c>
      <c r="P258" s="5">
        <f t="shared" si="34"/>
        <v>38.279999999999994</v>
      </c>
      <c r="Q258" s="5">
        <f t="shared" si="35"/>
        <v>31.9</v>
      </c>
      <c r="R258" s="5">
        <f t="shared" si="36"/>
        <v>25.52</v>
      </c>
      <c r="S258" s="5">
        <f t="shared" si="37"/>
        <v>19.139999999999997</v>
      </c>
      <c r="T258" s="5">
        <f t="shared" si="38"/>
        <v>12.76</v>
      </c>
      <c r="U258" s="5">
        <f t="shared" si="39"/>
        <v>6.38</v>
      </c>
    </row>
    <row r="259" spans="1:21" x14ac:dyDescent="0.25">
      <c r="A259" s="5">
        <v>71062</v>
      </c>
      <c r="B259" s="9" t="s">
        <v>23</v>
      </c>
      <c r="C259" s="6">
        <v>44.431849999999997</v>
      </c>
      <c r="D259" s="6">
        <v>89.426950000000005</v>
      </c>
      <c r="E259" s="5">
        <v>20</v>
      </c>
      <c r="F259" s="9" t="s">
        <v>49</v>
      </c>
      <c r="G259" s="4">
        <v>19.600000000000001</v>
      </c>
      <c r="H259" s="4">
        <f t="shared" ref="H259:H322" si="40">Q259</f>
        <v>19.600000000000001</v>
      </c>
      <c r="I259" s="5">
        <v>120</v>
      </c>
      <c r="M259" s="5">
        <f t="shared" ref="M259:M322" si="41">IF($G259&gt;=50, $G259*0.9,$G259)</f>
        <v>19.600000000000001</v>
      </c>
      <c r="N259" s="5">
        <f t="shared" ref="N259:N322" si="42">IF($G259&gt;=50, $G259*0.8,$G259)</f>
        <v>19.600000000000001</v>
      </c>
      <c r="O259" s="5">
        <f t="shared" ref="O259:O322" si="43">IF($G259&gt;=50, $G259*0.7,$G259)</f>
        <v>19.600000000000001</v>
      </c>
      <c r="P259" s="5">
        <f t="shared" ref="P259:P322" si="44">IF($G259&gt;=50, $G259*0.6,$G259)</f>
        <v>19.600000000000001</v>
      </c>
      <c r="Q259" s="5">
        <f t="shared" ref="Q259:Q322" si="45">IF($G259&gt;=50, $G259*0.5,$G259)</f>
        <v>19.600000000000001</v>
      </c>
      <c r="R259" s="5">
        <f t="shared" ref="R259:R322" si="46">IF($G259&gt;=50, $G259*0.4,$G259)</f>
        <v>19.600000000000001</v>
      </c>
      <c r="S259" s="5">
        <f t="shared" ref="S259:S322" si="47">IF($G259&gt;=50, $G259*0.3,$G259)</f>
        <v>19.600000000000001</v>
      </c>
      <c r="T259" s="5">
        <f t="shared" ref="T259:T322" si="48">IF($G259&gt;=50, $G259*0.2,$G259)</f>
        <v>19.600000000000001</v>
      </c>
      <c r="U259" s="5">
        <f t="shared" ref="U259:U322" si="49">IF($G259&gt;=50, $G259*0.1,$G259)</f>
        <v>19.600000000000001</v>
      </c>
    </row>
    <row r="260" spans="1:21" x14ac:dyDescent="0.25">
      <c r="A260" s="5">
        <v>71063</v>
      </c>
      <c r="B260" s="9" t="s">
        <v>23</v>
      </c>
      <c r="C260" s="6">
        <v>44.436549999999997</v>
      </c>
      <c r="D260" s="6">
        <v>89.431566599999996</v>
      </c>
      <c r="E260" s="5">
        <v>1000</v>
      </c>
      <c r="F260" s="9" t="s">
        <v>42</v>
      </c>
      <c r="G260" s="4">
        <v>200.3</v>
      </c>
      <c r="H260" s="4">
        <f t="shared" si="40"/>
        <v>100.15</v>
      </c>
      <c r="I260" s="5">
        <v>120</v>
      </c>
      <c r="M260" s="5">
        <f t="shared" si="41"/>
        <v>180.27</v>
      </c>
      <c r="N260" s="5">
        <f t="shared" si="42"/>
        <v>160.24</v>
      </c>
      <c r="O260" s="5">
        <f t="shared" si="43"/>
        <v>140.21</v>
      </c>
      <c r="P260" s="5">
        <f t="shared" si="44"/>
        <v>120.18</v>
      </c>
      <c r="Q260" s="5">
        <f t="shared" si="45"/>
        <v>100.15</v>
      </c>
      <c r="R260" s="5">
        <f t="shared" si="46"/>
        <v>80.12</v>
      </c>
      <c r="S260" s="5">
        <f t="shared" si="47"/>
        <v>60.09</v>
      </c>
      <c r="T260" s="5">
        <f t="shared" si="48"/>
        <v>40.06</v>
      </c>
      <c r="U260" s="5">
        <f t="shared" si="49"/>
        <v>20.03</v>
      </c>
    </row>
    <row r="261" spans="1:21" x14ac:dyDescent="0.25">
      <c r="A261" s="5">
        <v>71109</v>
      </c>
      <c r="B261" s="9" t="s">
        <v>23</v>
      </c>
      <c r="C261" s="6">
        <v>44.4852068</v>
      </c>
      <c r="D261" s="6">
        <v>89.496005600000004</v>
      </c>
      <c r="E261" s="5">
        <v>30</v>
      </c>
      <c r="F261" s="9" t="s">
        <v>90</v>
      </c>
      <c r="G261" s="4">
        <v>15</v>
      </c>
      <c r="H261" s="4">
        <f t="shared" si="40"/>
        <v>15</v>
      </c>
      <c r="I261" s="5">
        <v>365</v>
      </c>
      <c r="M261" s="5">
        <f t="shared" si="41"/>
        <v>15</v>
      </c>
      <c r="N261" s="5">
        <f t="shared" si="42"/>
        <v>15</v>
      </c>
      <c r="O261" s="5">
        <f t="shared" si="43"/>
        <v>15</v>
      </c>
      <c r="P261" s="5">
        <f t="shared" si="44"/>
        <v>15</v>
      </c>
      <c r="Q261" s="5">
        <f t="shared" si="45"/>
        <v>15</v>
      </c>
      <c r="R261" s="5">
        <f t="shared" si="46"/>
        <v>15</v>
      </c>
      <c r="S261" s="5">
        <f t="shared" si="47"/>
        <v>15</v>
      </c>
      <c r="T261" s="5">
        <f t="shared" si="48"/>
        <v>15</v>
      </c>
      <c r="U261" s="5">
        <f t="shared" si="49"/>
        <v>15</v>
      </c>
    </row>
    <row r="262" spans="1:21" x14ac:dyDescent="0.25">
      <c r="A262" s="5">
        <v>71110</v>
      </c>
      <c r="B262" s="9" t="s">
        <v>23</v>
      </c>
      <c r="C262" s="6">
        <v>44.484075099999998</v>
      </c>
      <c r="D262" s="6">
        <v>89.498126999999997</v>
      </c>
      <c r="E262" s="5">
        <v>30</v>
      </c>
      <c r="F262" s="9" t="s">
        <v>88</v>
      </c>
      <c r="G262" s="4">
        <v>13</v>
      </c>
      <c r="H262" s="4">
        <f t="shared" si="40"/>
        <v>13</v>
      </c>
      <c r="I262" s="5">
        <v>300</v>
      </c>
      <c r="M262" s="5">
        <f t="shared" si="41"/>
        <v>13</v>
      </c>
      <c r="N262" s="5">
        <f t="shared" si="42"/>
        <v>13</v>
      </c>
      <c r="O262" s="5">
        <f t="shared" si="43"/>
        <v>13</v>
      </c>
      <c r="P262" s="5">
        <f t="shared" si="44"/>
        <v>13</v>
      </c>
      <c r="Q262" s="5">
        <f t="shared" si="45"/>
        <v>13</v>
      </c>
      <c r="R262" s="5">
        <f t="shared" si="46"/>
        <v>13</v>
      </c>
      <c r="S262" s="5">
        <f t="shared" si="47"/>
        <v>13</v>
      </c>
      <c r="T262" s="5">
        <f t="shared" si="48"/>
        <v>13</v>
      </c>
      <c r="U262" s="5">
        <f t="shared" si="49"/>
        <v>13</v>
      </c>
    </row>
    <row r="263" spans="1:21" x14ac:dyDescent="0.25">
      <c r="A263" s="5">
        <v>71117</v>
      </c>
      <c r="B263" s="9" t="s">
        <v>23</v>
      </c>
      <c r="C263" s="6">
        <v>44.389016699999999</v>
      </c>
      <c r="D263" s="6">
        <v>89.411699999999996</v>
      </c>
      <c r="E263" s="5">
        <v>1000</v>
      </c>
      <c r="F263" s="9" t="s">
        <v>91</v>
      </c>
      <c r="G263" s="4">
        <v>356</v>
      </c>
      <c r="H263" s="4">
        <f t="shared" si="40"/>
        <v>178</v>
      </c>
      <c r="I263" s="5">
        <v>90</v>
      </c>
      <c r="M263" s="5">
        <f t="shared" si="41"/>
        <v>320.40000000000003</v>
      </c>
      <c r="N263" s="5">
        <f t="shared" si="42"/>
        <v>284.8</v>
      </c>
      <c r="O263" s="5">
        <f t="shared" si="43"/>
        <v>249.2</v>
      </c>
      <c r="P263" s="5">
        <f t="shared" si="44"/>
        <v>213.6</v>
      </c>
      <c r="Q263" s="5">
        <f t="shared" si="45"/>
        <v>178</v>
      </c>
      <c r="R263" s="5">
        <f t="shared" si="46"/>
        <v>142.4</v>
      </c>
      <c r="S263" s="5">
        <f t="shared" si="47"/>
        <v>106.8</v>
      </c>
      <c r="T263" s="5">
        <f t="shared" si="48"/>
        <v>71.2</v>
      </c>
      <c r="U263" s="5">
        <f t="shared" si="49"/>
        <v>35.6</v>
      </c>
    </row>
    <row r="264" spans="1:21" x14ac:dyDescent="0.25">
      <c r="A264" s="5">
        <v>71156</v>
      </c>
      <c r="B264" s="9" t="s">
        <v>23</v>
      </c>
      <c r="C264" s="6">
        <v>44.5455167</v>
      </c>
      <c r="D264" s="6">
        <v>89.494233300000005</v>
      </c>
      <c r="E264" s="5">
        <v>1000</v>
      </c>
      <c r="F264" s="9" t="s">
        <v>42</v>
      </c>
      <c r="G264" s="4">
        <v>232.2</v>
      </c>
      <c r="H264" s="4">
        <f t="shared" si="40"/>
        <v>116.1</v>
      </c>
      <c r="I264" s="5">
        <v>120</v>
      </c>
      <c r="M264" s="5">
        <f t="shared" si="41"/>
        <v>208.98</v>
      </c>
      <c r="N264" s="5">
        <f t="shared" si="42"/>
        <v>185.76</v>
      </c>
      <c r="O264" s="5">
        <f t="shared" si="43"/>
        <v>162.54</v>
      </c>
      <c r="P264" s="5">
        <f t="shared" si="44"/>
        <v>139.32</v>
      </c>
      <c r="Q264" s="5">
        <f t="shared" si="45"/>
        <v>116.1</v>
      </c>
      <c r="R264" s="5">
        <f t="shared" si="46"/>
        <v>92.88</v>
      </c>
      <c r="S264" s="5">
        <f t="shared" si="47"/>
        <v>69.66</v>
      </c>
      <c r="T264" s="5">
        <f t="shared" si="48"/>
        <v>46.44</v>
      </c>
      <c r="U264" s="5">
        <f t="shared" si="49"/>
        <v>23.22</v>
      </c>
    </row>
    <row r="265" spans="1:21" x14ac:dyDescent="0.25">
      <c r="A265" s="5">
        <v>71199</v>
      </c>
      <c r="B265" s="9" t="s">
        <v>23</v>
      </c>
      <c r="C265" s="6">
        <v>44.490299999999998</v>
      </c>
      <c r="D265" s="6">
        <v>89.377833300000006</v>
      </c>
      <c r="E265" s="5">
        <v>200</v>
      </c>
      <c r="F265" s="9" t="s">
        <v>92</v>
      </c>
      <c r="G265" s="4">
        <v>12.3</v>
      </c>
      <c r="H265" s="4">
        <f t="shared" si="40"/>
        <v>12.3</v>
      </c>
      <c r="I265" s="5">
        <v>270</v>
      </c>
      <c r="M265" s="5">
        <f t="shared" si="41"/>
        <v>12.3</v>
      </c>
      <c r="N265" s="5">
        <f t="shared" si="42"/>
        <v>12.3</v>
      </c>
      <c r="O265" s="5">
        <f t="shared" si="43"/>
        <v>12.3</v>
      </c>
      <c r="P265" s="5">
        <f t="shared" si="44"/>
        <v>12.3</v>
      </c>
      <c r="Q265" s="5">
        <f t="shared" si="45"/>
        <v>12.3</v>
      </c>
      <c r="R265" s="5">
        <f t="shared" si="46"/>
        <v>12.3</v>
      </c>
      <c r="S265" s="5">
        <f t="shared" si="47"/>
        <v>12.3</v>
      </c>
      <c r="T265" s="5">
        <f t="shared" si="48"/>
        <v>12.3</v>
      </c>
      <c r="U265" s="5">
        <f t="shared" si="49"/>
        <v>12.3</v>
      </c>
    </row>
    <row r="266" spans="1:21" x14ac:dyDescent="0.25">
      <c r="A266" s="5">
        <v>71495</v>
      </c>
      <c r="B266" s="9" t="s">
        <v>23</v>
      </c>
      <c r="C266" s="6">
        <v>44.430549999999997</v>
      </c>
      <c r="D266" s="6">
        <v>89.478883199999999</v>
      </c>
      <c r="E266" s="5">
        <v>350</v>
      </c>
      <c r="F266" s="9" t="s">
        <v>93</v>
      </c>
      <c r="G266" s="4">
        <v>17.7</v>
      </c>
      <c r="H266" s="4">
        <f t="shared" si="40"/>
        <v>17.7</v>
      </c>
      <c r="I266" s="5">
        <v>120</v>
      </c>
      <c r="M266" s="5">
        <f t="shared" si="41"/>
        <v>17.7</v>
      </c>
      <c r="N266" s="5">
        <f t="shared" si="42"/>
        <v>17.7</v>
      </c>
      <c r="O266" s="5">
        <f t="shared" si="43"/>
        <v>17.7</v>
      </c>
      <c r="P266" s="5">
        <f t="shared" si="44"/>
        <v>17.7</v>
      </c>
      <c r="Q266" s="5">
        <f t="shared" si="45"/>
        <v>17.7</v>
      </c>
      <c r="R266" s="5">
        <f t="shared" si="46"/>
        <v>17.7</v>
      </c>
      <c r="S266" s="5">
        <f t="shared" si="47"/>
        <v>17.7</v>
      </c>
      <c r="T266" s="5">
        <f t="shared" si="48"/>
        <v>17.7</v>
      </c>
      <c r="U266" s="5">
        <f t="shared" si="49"/>
        <v>17.7</v>
      </c>
    </row>
    <row r="267" spans="1:21" x14ac:dyDescent="0.25">
      <c r="A267" s="5">
        <v>71935</v>
      </c>
      <c r="B267" s="9" t="s">
        <v>23</v>
      </c>
      <c r="C267" s="6">
        <v>44.513183300000001</v>
      </c>
      <c r="D267" s="6">
        <v>89.498350000000002</v>
      </c>
      <c r="E267" s="5">
        <v>1000</v>
      </c>
      <c r="F267" s="9" t="s">
        <v>39</v>
      </c>
      <c r="G267" s="4">
        <v>33.5</v>
      </c>
      <c r="H267" s="4">
        <f t="shared" si="40"/>
        <v>33.5</v>
      </c>
      <c r="I267" s="5">
        <v>90</v>
      </c>
      <c r="M267" s="5">
        <f t="shared" si="41"/>
        <v>33.5</v>
      </c>
      <c r="N267" s="5">
        <f t="shared" si="42"/>
        <v>33.5</v>
      </c>
      <c r="O267" s="5">
        <f t="shared" si="43"/>
        <v>33.5</v>
      </c>
      <c r="P267" s="5">
        <f t="shared" si="44"/>
        <v>33.5</v>
      </c>
      <c r="Q267" s="5">
        <f t="shared" si="45"/>
        <v>33.5</v>
      </c>
      <c r="R267" s="5">
        <f t="shared" si="46"/>
        <v>33.5</v>
      </c>
      <c r="S267" s="5">
        <f t="shared" si="47"/>
        <v>33.5</v>
      </c>
      <c r="T267" s="5">
        <f t="shared" si="48"/>
        <v>33.5</v>
      </c>
      <c r="U267" s="5">
        <f t="shared" si="49"/>
        <v>33.5</v>
      </c>
    </row>
    <row r="268" spans="1:21" x14ac:dyDescent="0.25">
      <c r="A268" s="5">
        <v>71998</v>
      </c>
      <c r="B268" s="9" t="s">
        <v>23</v>
      </c>
      <c r="C268" s="6">
        <v>44.483170000000001</v>
      </c>
      <c r="D268" s="6">
        <v>89.334630000000004</v>
      </c>
      <c r="E268" s="5">
        <v>1000</v>
      </c>
      <c r="F268" s="9" t="s">
        <v>20</v>
      </c>
      <c r="G268" s="4">
        <v>193.6</v>
      </c>
      <c r="H268" s="4">
        <f t="shared" si="40"/>
        <v>96.8</v>
      </c>
      <c r="I268" s="5">
        <v>90</v>
      </c>
      <c r="M268" s="5">
        <f t="shared" si="41"/>
        <v>174.24</v>
      </c>
      <c r="N268" s="5">
        <f t="shared" si="42"/>
        <v>154.88</v>
      </c>
      <c r="O268" s="5">
        <f t="shared" si="43"/>
        <v>135.51999999999998</v>
      </c>
      <c r="P268" s="5">
        <f t="shared" si="44"/>
        <v>116.16</v>
      </c>
      <c r="Q268" s="5">
        <f t="shared" si="45"/>
        <v>96.8</v>
      </c>
      <c r="R268" s="5">
        <f t="shared" si="46"/>
        <v>77.44</v>
      </c>
      <c r="S268" s="5">
        <f t="shared" si="47"/>
        <v>58.08</v>
      </c>
      <c r="T268" s="5">
        <f t="shared" si="48"/>
        <v>38.72</v>
      </c>
      <c r="U268" s="5">
        <f t="shared" si="49"/>
        <v>19.36</v>
      </c>
    </row>
    <row r="269" spans="1:21" x14ac:dyDescent="0.25">
      <c r="A269" s="5">
        <v>72082</v>
      </c>
      <c r="B269" s="9" t="s">
        <v>23</v>
      </c>
      <c r="C269" s="6">
        <v>44.423333300000003</v>
      </c>
      <c r="D269" s="6">
        <v>89.495666700000001</v>
      </c>
      <c r="E269" s="5">
        <v>500</v>
      </c>
      <c r="F269" s="9" t="s">
        <v>36</v>
      </c>
      <c r="G269" s="4">
        <v>23.8</v>
      </c>
      <c r="H269" s="4">
        <f t="shared" si="40"/>
        <v>23.8</v>
      </c>
      <c r="I269" s="5">
        <v>120</v>
      </c>
      <c r="M269" s="5">
        <f t="shared" si="41"/>
        <v>23.8</v>
      </c>
      <c r="N269" s="5">
        <f t="shared" si="42"/>
        <v>23.8</v>
      </c>
      <c r="O269" s="5">
        <f t="shared" si="43"/>
        <v>23.8</v>
      </c>
      <c r="P269" s="5">
        <f t="shared" si="44"/>
        <v>23.8</v>
      </c>
      <c r="Q269" s="5">
        <f t="shared" si="45"/>
        <v>23.8</v>
      </c>
      <c r="R269" s="5">
        <f t="shared" si="46"/>
        <v>23.8</v>
      </c>
      <c r="S269" s="5">
        <f t="shared" si="47"/>
        <v>23.8</v>
      </c>
      <c r="T269" s="5">
        <f t="shared" si="48"/>
        <v>23.8</v>
      </c>
      <c r="U269" s="5">
        <f t="shared" si="49"/>
        <v>23.8</v>
      </c>
    </row>
    <row r="270" spans="1:21" x14ac:dyDescent="0.25">
      <c r="A270" s="5">
        <v>72094</v>
      </c>
      <c r="B270" s="9" t="s">
        <v>23</v>
      </c>
      <c r="C270" s="6">
        <v>44.456508300000003</v>
      </c>
      <c r="D270" s="6">
        <v>89.560133199999996</v>
      </c>
      <c r="E270" s="5">
        <v>50</v>
      </c>
      <c r="F270" s="9" t="s">
        <v>94</v>
      </c>
      <c r="G270" s="4">
        <v>1.2</v>
      </c>
      <c r="H270" s="4">
        <f t="shared" si="40"/>
        <v>1.2</v>
      </c>
      <c r="I270" s="5">
        <v>120</v>
      </c>
      <c r="M270" s="5">
        <f t="shared" si="41"/>
        <v>1.2</v>
      </c>
      <c r="N270" s="5">
        <f t="shared" si="42"/>
        <v>1.2</v>
      </c>
      <c r="O270" s="5">
        <f t="shared" si="43"/>
        <v>1.2</v>
      </c>
      <c r="P270" s="5">
        <f t="shared" si="44"/>
        <v>1.2</v>
      </c>
      <c r="Q270" s="5">
        <f t="shared" si="45"/>
        <v>1.2</v>
      </c>
      <c r="R270" s="5">
        <f t="shared" si="46"/>
        <v>1.2</v>
      </c>
      <c r="S270" s="5">
        <f t="shared" si="47"/>
        <v>1.2</v>
      </c>
      <c r="T270" s="5">
        <f t="shared" si="48"/>
        <v>1.2</v>
      </c>
      <c r="U270" s="5">
        <f t="shared" si="49"/>
        <v>1.2</v>
      </c>
    </row>
    <row r="271" spans="1:21" x14ac:dyDescent="0.25">
      <c r="A271" s="5">
        <v>72095</v>
      </c>
      <c r="B271" s="9" t="s">
        <v>23</v>
      </c>
      <c r="C271" s="6">
        <v>44.456200000000003</v>
      </c>
      <c r="D271" s="6">
        <v>89.562233300000003</v>
      </c>
      <c r="E271" s="5">
        <v>50</v>
      </c>
      <c r="F271" s="9" t="s">
        <v>94</v>
      </c>
      <c r="G271" s="4">
        <v>1.2</v>
      </c>
      <c r="H271" s="4">
        <f t="shared" si="40"/>
        <v>1.2</v>
      </c>
      <c r="I271" s="5">
        <v>120</v>
      </c>
      <c r="M271" s="5">
        <f t="shared" si="41"/>
        <v>1.2</v>
      </c>
      <c r="N271" s="5">
        <f t="shared" si="42"/>
        <v>1.2</v>
      </c>
      <c r="O271" s="5">
        <f t="shared" si="43"/>
        <v>1.2</v>
      </c>
      <c r="P271" s="5">
        <f t="shared" si="44"/>
        <v>1.2</v>
      </c>
      <c r="Q271" s="5">
        <f t="shared" si="45"/>
        <v>1.2</v>
      </c>
      <c r="R271" s="5">
        <f t="shared" si="46"/>
        <v>1.2</v>
      </c>
      <c r="S271" s="5">
        <f t="shared" si="47"/>
        <v>1.2</v>
      </c>
      <c r="T271" s="5">
        <f t="shared" si="48"/>
        <v>1.2</v>
      </c>
      <c r="U271" s="5">
        <f t="shared" si="49"/>
        <v>1.2</v>
      </c>
    </row>
    <row r="272" spans="1:21" x14ac:dyDescent="0.25">
      <c r="A272" s="5">
        <v>72269</v>
      </c>
      <c r="B272" s="9" t="s">
        <v>23</v>
      </c>
      <c r="C272" s="6">
        <v>44.427239999999998</v>
      </c>
      <c r="D272" s="6">
        <v>89.456694999999996</v>
      </c>
      <c r="E272" s="5">
        <v>1200</v>
      </c>
      <c r="F272" s="9" t="s">
        <v>42</v>
      </c>
      <c r="G272" s="4">
        <v>130.9</v>
      </c>
      <c r="H272" s="4">
        <f t="shared" si="40"/>
        <v>65.45</v>
      </c>
      <c r="I272" s="5">
        <v>150</v>
      </c>
      <c r="M272" s="5">
        <f t="shared" si="41"/>
        <v>117.81</v>
      </c>
      <c r="N272" s="5">
        <f t="shared" si="42"/>
        <v>104.72000000000001</v>
      </c>
      <c r="O272" s="5">
        <f t="shared" si="43"/>
        <v>91.63</v>
      </c>
      <c r="P272" s="5">
        <f t="shared" si="44"/>
        <v>78.540000000000006</v>
      </c>
      <c r="Q272" s="5">
        <f t="shared" si="45"/>
        <v>65.45</v>
      </c>
      <c r="R272" s="5">
        <f t="shared" si="46"/>
        <v>52.360000000000007</v>
      </c>
      <c r="S272" s="5">
        <f t="shared" si="47"/>
        <v>39.270000000000003</v>
      </c>
      <c r="T272" s="5">
        <f t="shared" si="48"/>
        <v>26.180000000000003</v>
      </c>
      <c r="U272" s="5">
        <f t="shared" si="49"/>
        <v>13.090000000000002</v>
      </c>
    </row>
    <row r="273" spans="1:21" x14ac:dyDescent="0.25">
      <c r="A273" s="5">
        <v>72301</v>
      </c>
      <c r="B273" s="9" t="s">
        <v>23</v>
      </c>
      <c r="C273" s="6">
        <v>44.540666700000003</v>
      </c>
      <c r="D273" s="6">
        <v>89.444416700000005</v>
      </c>
      <c r="E273" s="5">
        <v>50</v>
      </c>
      <c r="F273" s="9" t="s">
        <v>27</v>
      </c>
      <c r="G273" s="4">
        <v>0.8</v>
      </c>
      <c r="H273" s="4">
        <f t="shared" si="40"/>
        <v>0.8</v>
      </c>
      <c r="I273" s="5">
        <v>150</v>
      </c>
      <c r="M273" s="5">
        <f t="shared" si="41"/>
        <v>0.8</v>
      </c>
      <c r="N273" s="5">
        <f t="shared" si="42"/>
        <v>0.8</v>
      </c>
      <c r="O273" s="5">
        <f t="shared" si="43"/>
        <v>0.8</v>
      </c>
      <c r="P273" s="5">
        <f t="shared" si="44"/>
        <v>0.8</v>
      </c>
      <c r="Q273" s="5">
        <f t="shared" si="45"/>
        <v>0.8</v>
      </c>
      <c r="R273" s="5">
        <f t="shared" si="46"/>
        <v>0.8</v>
      </c>
      <c r="S273" s="5">
        <f t="shared" si="47"/>
        <v>0.8</v>
      </c>
      <c r="T273" s="5">
        <f t="shared" si="48"/>
        <v>0.8</v>
      </c>
      <c r="U273" s="5">
        <f t="shared" si="49"/>
        <v>0.8</v>
      </c>
    </row>
    <row r="274" spans="1:21" x14ac:dyDescent="0.25">
      <c r="A274" s="5">
        <v>72304</v>
      </c>
      <c r="B274" s="9" t="s">
        <v>23</v>
      </c>
      <c r="C274" s="6">
        <v>44.54072</v>
      </c>
      <c r="D274" s="6">
        <v>89.4435</v>
      </c>
      <c r="E274" s="5">
        <v>800</v>
      </c>
      <c r="F274" s="9" t="s">
        <v>95</v>
      </c>
      <c r="G274" s="4">
        <v>7.3</v>
      </c>
      <c r="H274" s="4">
        <f t="shared" si="40"/>
        <v>7.3</v>
      </c>
      <c r="I274" s="5">
        <v>120</v>
      </c>
      <c r="M274" s="5">
        <f t="shared" si="41"/>
        <v>7.3</v>
      </c>
      <c r="N274" s="5">
        <f t="shared" si="42"/>
        <v>7.3</v>
      </c>
      <c r="O274" s="5">
        <f t="shared" si="43"/>
        <v>7.3</v>
      </c>
      <c r="P274" s="5">
        <f t="shared" si="44"/>
        <v>7.3</v>
      </c>
      <c r="Q274" s="5">
        <f t="shared" si="45"/>
        <v>7.3</v>
      </c>
      <c r="R274" s="5">
        <f t="shared" si="46"/>
        <v>7.3</v>
      </c>
      <c r="S274" s="5">
        <f t="shared" si="47"/>
        <v>7.3</v>
      </c>
      <c r="T274" s="5">
        <f t="shared" si="48"/>
        <v>7.3</v>
      </c>
      <c r="U274" s="5">
        <f t="shared" si="49"/>
        <v>7.3</v>
      </c>
    </row>
    <row r="275" spans="1:21" x14ac:dyDescent="0.25">
      <c r="A275" s="5">
        <v>72421</v>
      </c>
      <c r="B275" s="9" t="s">
        <v>23</v>
      </c>
      <c r="C275" s="6">
        <v>44.5931</v>
      </c>
      <c r="D275" s="6">
        <v>89.390599899999998</v>
      </c>
      <c r="E275" s="5">
        <v>10</v>
      </c>
      <c r="F275" s="9" t="s">
        <v>26</v>
      </c>
      <c r="G275" s="4">
        <v>1.1000000000000001</v>
      </c>
      <c r="H275" s="4">
        <f t="shared" si="40"/>
        <v>1.1000000000000001</v>
      </c>
      <c r="I275" s="5">
        <v>365</v>
      </c>
      <c r="M275" s="5">
        <f t="shared" si="41"/>
        <v>1.1000000000000001</v>
      </c>
      <c r="N275" s="5">
        <f t="shared" si="42"/>
        <v>1.1000000000000001</v>
      </c>
      <c r="O275" s="5">
        <f t="shared" si="43"/>
        <v>1.1000000000000001</v>
      </c>
      <c r="P275" s="5">
        <f t="shared" si="44"/>
        <v>1.1000000000000001</v>
      </c>
      <c r="Q275" s="5">
        <f t="shared" si="45"/>
        <v>1.1000000000000001</v>
      </c>
      <c r="R275" s="5">
        <f t="shared" si="46"/>
        <v>1.1000000000000001</v>
      </c>
      <c r="S275" s="5">
        <f t="shared" si="47"/>
        <v>1.1000000000000001</v>
      </c>
      <c r="T275" s="5">
        <f t="shared" si="48"/>
        <v>1.1000000000000001</v>
      </c>
      <c r="U275" s="5">
        <f t="shared" si="49"/>
        <v>1.1000000000000001</v>
      </c>
    </row>
    <row r="276" spans="1:21" x14ac:dyDescent="0.25">
      <c r="A276" s="5">
        <v>72422</v>
      </c>
      <c r="B276" s="9" t="s">
        <v>23</v>
      </c>
      <c r="C276" s="6">
        <v>44.595528299999998</v>
      </c>
      <c r="D276" s="6">
        <v>89.388278299999996</v>
      </c>
      <c r="E276" s="5">
        <v>1000</v>
      </c>
      <c r="F276" s="9" t="s">
        <v>42</v>
      </c>
      <c r="G276" s="4">
        <v>241</v>
      </c>
      <c r="H276" s="4">
        <f t="shared" si="40"/>
        <v>120.5</v>
      </c>
      <c r="I276" s="5">
        <v>60</v>
      </c>
      <c r="M276" s="5">
        <f t="shared" si="41"/>
        <v>216.9</v>
      </c>
      <c r="N276" s="5">
        <f t="shared" si="42"/>
        <v>192.8</v>
      </c>
      <c r="O276" s="5">
        <f t="shared" si="43"/>
        <v>168.7</v>
      </c>
      <c r="P276" s="5">
        <f t="shared" si="44"/>
        <v>144.6</v>
      </c>
      <c r="Q276" s="5">
        <f t="shared" si="45"/>
        <v>120.5</v>
      </c>
      <c r="R276" s="5">
        <f t="shared" si="46"/>
        <v>96.4</v>
      </c>
      <c r="S276" s="5">
        <f t="shared" si="47"/>
        <v>72.3</v>
      </c>
      <c r="T276" s="5">
        <f t="shared" si="48"/>
        <v>48.2</v>
      </c>
      <c r="U276" s="5">
        <f t="shared" si="49"/>
        <v>24.1</v>
      </c>
    </row>
    <row r="277" spans="1:21" x14ac:dyDescent="0.25">
      <c r="A277" s="5">
        <v>72436</v>
      </c>
      <c r="B277" s="9" t="s">
        <v>23</v>
      </c>
      <c r="C277" s="6">
        <v>44.449033300000004</v>
      </c>
      <c r="D277" s="6">
        <v>89.388050000000007</v>
      </c>
      <c r="E277" s="5">
        <v>20</v>
      </c>
      <c r="F277" s="9" t="s">
        <v>96</v>
      </c>
      <c r="G277" s="4">
        <v>2.2000000000000002</v>
      </c>
      <c r="H277" s="4">
        <f t="shared" si="40"/>
        <v>2.2000000000000002</v>
      </c>
      <c r="I277" s="5">
        <v>365</v>
      </c>
      <c r="M277" s="5">
        <f t="shared" si="41"/>
        <v>2.2000000000000002</v>
      </c>
      <c r="N277" s="5">
        <f t="shared" si="42"/>
        <v>2.2000000000000002</v>
      </c>
      <c r="O277" s="5">
        <f t="shared" si="43"/>
        <v>2.2000000000000002</v>
      </c>
      <c r="P277" s="5">
        <f t="shared" si="44"/>
        <v>2.2000000000000002</v>
      </c>
      <c r="Q277" s="5">
        <f t="shared" si="45"/>
        <v>2.2000000000000002</v>
      </c>
      <c r="R277" s="5">
        <f t="shared" si="46"/>
        <v>2.2000000000000002</v>
      </c>
      <c r="S277" s="5">
        <f t="shared" si="47"/>
        <v>2.2000000000000002</v>
      </c>
      <c r="T277" s="5">
        <f t="shared" si="48"/>
        <v>2.2000000000000002</v>
      </c>
      <c r="U277" s="5">
        <f t="shared" si="49"/>
        <v>2.2000000000000002</v>
      </c>
    </row>
    <row r="278" spans="1:21" x14ac:dyDescent="0.25">
      <c r="A278" s="5">
        <v>72437</v>
      </c>
      <c r="B278" s="9" t="s">
        <v>23</v>
      </c>
      <c r="C278" s="6">
        <v>44.447450000000003</v>
      </c>
      <c r="D278" s="6">
        <v>89.388383399999995</v>
      </c>
      <c r="E278" s="5">
        <v>1000</v>
      </c>
      <c r="F278" s="9" t="s">
        <v>42</v>
      </c>
      <c r="G278" s="4">
        <v>97.4</v>
      </c>
      <c r="H278" s="4">
        <f t="shared" si="40"/>
        <v>48.7</v>
      </c>
      <c r="I278" s="5">
        <v>60</v>
      </c>
      <c r="M278" s="5">
        <f t="shared" si="41"/>
        <v>87.660000000000011</v>
      </c>
      <c r="N278" s="5">
        <f t="shared" si="42"/>
        <v>77.920000000000016</v>
      </c>
      <c r="O278" s="5">
        <f t="shared" si="43"/>
        <v>68.179999999999993</v>
      </c>
      <c r="P278" s="5">
        <f t="shared" si="44"/>
        <v>58.44</v>
      </c>
      <c r="Q278" s="5">
        <f t="shared" si="45"/>
        <v>48.7</v>
      </c>
      <c r="R278" s="5">
        <f t="shared" si="46"/>
        <v>38.960000000000008</v>
      </c>
      <c r="S278" s="5">
        <f t="shared" si="47"/>
        <v>29.22</v>
      </c>
      <c r="T278" s="5">
        <f t="shared" si="48"/>
        <v>19.480000000000004</v>
      </c>
      <c r="U278" s="5">
        <f t="shared" si="49"/>
        <v>9.740000000000002</v>
      </c>
    </row>
    <row r="279" spans="1:21" x14ac:dyDescent="0.25">
      <c r="A279" s="5">
        <v>72607</v>
      </c>
      <c r="B279" s="9" t="s">
        <v>23</v>
      </c>
      <c r="C279" s="6">
        <v>44.434100000000001</v>
      </c>
      <c r="D279" s="6">
        <v>89.451849999999993</v>
      </c>
      <c r="E279" s="5">
        <v>1000</v>
      </c>
      <c r="F279" s="9" t="s">
        <v>42</v>
      </c>
      <c r="G279" s="4">
        <v>71.3</v>
      </c>
      <c r="H279" s="4">
        <f t="shared" si="40"/>
        <v>35.65</v>
      </c>
      <c r="I279" s="5">
        <v>90</v>
      </c>
      <c r="M279" s="5">
        <f t="shared" si="41"/>
        <v>64.17</v>
      </c>
      <c r="N279" s="5">
        <f t="shared" si="42"/>
        <v>57.04</v>
      </c>
      <c r="O279" s="5">
        <f t="shared" si="43"/>
        <v>49.91</v>
      </c>
      <c r="P279" s="5">
        <f t="shared" si="44"/>
        <v>42.779999999999994</v>
      </c>
      <c r="Q279" s="5">
        <f t="shared" si="45"/>
        <v>35.65</v>
      </c>
      <c r="R279" s="5">
        <f t="shared" si="46"/>
        <v>28.52</v>
      </c>
      <c r="S279" s="5">
        <f t="shared" si="47"/>
        <v>21.389999999999997</v>
      </c>
      <c r="T279" s="5">
        <f t="shared" si="48"/>
        <v>14.26</v>
      </c>
      <c r="U279" s="5">
        <f t="shared" si="49"/>
        <v>7.13</v>
      </c>
    </row>
    <row r="280" spans="1:21" x14ac:dyDescent="0.25">
      <c r="A280" s="5">
        <v>72610</v>
      </c>
      <c r="B280" s="9" t="s">
        <v>23</v>
      </c>
      <c r="C280" s="6">
        <v>44.441600000000001</v>
      </c>
      <c r="D280" s="6">
        <v>89.477050000000006</v>
      </c>
      <c r="E280" s="5">
        <v>400</v>
      </c>
      <c r="F280" s="9" t="s">
        <v>42</v>
      </c>
      <c r="G280" s="4">
        <v>47.4</v>
      </c>
      <c r="H280" s="4">
        <f t="shared" si="40"/>
        <v>47.4</v>
      </c>
      <c r="I280" s="5">
        <v>90</v>
      </c>
      <c r="M280" s="5">
        <f t="shared" si="41"/>
        <v>47.4</v>
      </c>
      <c r="N280" s="5">
        <f t="shared" si="42"/>
        <v>47.4</v>
      </c>
      <c r="O280" s="5">
        <f t="shared" si="43"/>
        <v>47.4</v>
      </c>
      <c r="P280" s="5">
        <f t="shared" si="44"/>
        <v>47.4</v>
      </c>
      <c r="Q280" s="5">
        <f t="shared" si="45"/>
        <v>47.4</v>
      </c>
      <c r="R280" s="5">
        <f t="shared" si="46"/>
        <v>47.4</v>
      </c>
      <c r="S280" s="5">
        <f t="shared" si="47"/>
        <v>47.4</v>
      </c>
      <c r="T280" s="5">
        <f t="shared" si="48"/>
        <v>47.4</v>
      </c>
      <c r="U280" s="5">
        <f t="shared" si="49"/>
        <v>47.4</v>
      </c>
    </row>
    <row r="281" spans="1:21" x14ac:dyDescent="0.25">
      <c r="A281" s="5">
        <v>72713</v>
      </c>
      <c r="B281" s="9" t="s">
        <v>23</v>
      </c>
      <c r="C281" s="6">
        <v>44.483833300000001</v>
      </c>
      <c r="D281" s="6">
        <v>89.425749999999994</v>
      </c>
      <c r="E281" s="5">
        <v>20</v>
      </c>
      <c r="F281" s="9" t="s">
        <v>81</v>
      </c>
      <c r="G281" s="4">
        <v>8.1999999999999993</v>
      </c>
      <c r="H281" s="4">
        <f t="shared" si="40"/>
        <v>8.1999999999999993</v>
      </c>
      <c r="I281" s="5">
        <v>365</v>
      </c>
      <c r="M281" s="5">
        <f t="shared" si="41"/>
        <v>8.1999999999999993</v>
      </c>
      <c r="N281" s="5">
        <f t="shared" si="42"/>
        <v>8.1999999999999993</v>
      </c>
      <c r="O281" s="5">
        <f t="shared" si="43"/>
        <v>8.1999999999999993</v>
      </c>
      <c r="P281" s="5">
        <f t="shared" si="44"/>
        <v>8.1999999999999993</v>
      </c>
      <c r="Q281" s="5">
        <f t="shared" si="45"/>
        <v>8.1999999999999993</v>
      </c>
      <c r="R281" s="5">
        <f t="shared" si="46"/>
        <v>8.1999999999999993</v>
      </c>
      <c r="S281" s="5">
        <f t="shared" si="47"/>
        <v>8.1999999999999993</v>
      </c>
      <c r="T281" s="5">
        <f t="shared" si="48"/>
        <v>8.1999999999999993</v>
      </c>
      <c r="U281" s="5">
        <f t="shared" si="49"/>
        <v>8.1999999999999993</v>
      </c>
    </row>
    <row r="282" spans="1:21" x14ac:dyDescent="0.25">
      <c r="A282" s="5">
        <v>72756</v>
      </c>
      <c r="B282" s="9" t="s">
        <v>23</v>
      </c>
      <c r="C282" s="6">
        <v>44.512466699999997</v>
      </c>
      <c r="D282" s="6">
        <v>89.458699999999993</v>
      </c>
      <c r="E282" s="5">
        <v>15</v>
      </c>
      <c r="F282" s="9" t="s">
        <v>97</v>
      </c>
      <c r="G282" s="4">
        <v>0.5</v>
      </c>
      <c r="H282" s="4">
        <f t="shared" si="40"/>
        <v>0.5</v>
      </c>
      <c r="I282" s="5">
        <v>365</v>
      </c>
      <c r="M282" s="5">
        <f t="shared" si="41"/>
        <v>0.5</v>
      </c>
      <c r="N282" s="5">
        <f t="shared" si="42"/>
        <v>0.5</v>
      </c>
      <c r="O282" s="5">
        <f t="shared" si="43"/>
        <v>0.5</v>
      </c>
      <c r="P282" s="5">
        <f t="shared" si="44"/>
        <v>0.5</v>
      </c>
      <c r="Q282" s="5">
        <f t="shared" si="45"/>
        <v>0.5</v>
      </c>
      <c r="R282" s="5">
        <f t="shared" si="46"/>
        <v>0.5</v>
      </c>
      <c r="S282" s="5">
        <f t="shared" si="47"/>
        <v>0.5</v>
      </c>
      <c r="T282" s="5">
        <f t="shared" si="48"/>
        <v>0.5</v>
      </c>
      <c r="U282" s="5">
        <f t="shared" si="49"/>
        <v>0.5</v>
      </c>
    </row>
    <row r="283" spans="1:21" x14ac:dyDescent="0.25">
      <c r="A283" s="5">
        <v>72983</v>
      </c>
      <c r="B283" s="9" t="s">
        <v>23</v>
      </c>
      <c r="C283" s="6">
        <v>44.526583299999999</v>
      </c>
      <c r="D283" s="6">
        <v>89.418216700000002</v>
      </c>
      <c r="E283" s="5">
        <v>1000</v>
      </c>
      <c r="F283" s="9" t="s">
        <v>42</v>
      </c>
      <c r="G283" s="4">
        <v>2.7</v>
      </c>
      <c r="H283" s="4">
        <f t="shared" si="40"/>
        <v>2.7</v>
      </c>
      <c r="I283" s="5">
        <v>30</v>
      </c>
      <c r="M283" s="5">
        <f t="shared" si="41"/>
        <v>2.7</v>
      </c>
      <c r="N283" s="5">
        <f t="shared" si="42"/>
        <v>2.7</v>
      </c>
      <c r="O283" s="5">
        <f t="shared" si="43"/>
        <v>2.7</v>
      </c>
      <c r="P283" s="5">
        <f t="shared" si="44"/>
        <v>2.7</v>
      </c>
      <c r="Q283" s="5">
        <f t="shared" si="45"/>
        <v>2.7</v>
      </c>
      <c r="R283" s="5">
        <f t="shared" si="46"/>
        <v>2.7</v>
      </c>
      <c r="S283" s="5">
        <f t="shared" si="47"/>
        <v>2.7</v>
      </c>
      <c r="T283" s="5">
        <f t="shared" si="48"/>
        <v>2.7</v>
      </c>
      <c r="U283" s="5">
        <f t="shared" si="49"/>
        <v>2.7</v>
      </c>
    </row>
    <row r="284" spans="1:21" x14ac:dyDescent="0.25">
      <c r="A284" s="5">
        <v>73153</v>
      </c>
      <c r="B284" s="9" t="s">
        <v>23</v>
      </c>
      <c r="C284" s="6">
        <v>44.510966699999997</v>
      </c>
      <c r="D284" s="6">
        <v>89.375216800000004</v>
      </c>
      <c r="E284" s="5">
        <v>1000</v>
      </c>
      <c r="F284" s="9" t="s">
        <v>36</v>
      </c>
      <c r="G284" s="4">
        <v>58.6</v>
      </c>
      <c r="H284" s="4">
        <f t="shared" si="40"/>
        <v>29.3</v>
      </c>
      <c r="I284" s="5">
        <v>90</v>
      </c>
      <c r="M284" s="5">
        <f t="shared" si="41"/>
        <v>52.74</v>
      </c>
      <c r="N284" s="5">
        <f t="shared" si="42"/>
        <v>46.88</v>
      </c>
      <c r="O284" s="5">
        <f t="shared" si="43"/>
        <v>41.019999999999996</v>
      </c>
      <c r="P284" s="5">
        <f t="shared" si="44"/>
        <v>35.159999999999997</v>
      </c>
      <c r="Q284" s="5">
        <f t="shared" si="45"/>
        <v>29.3</v>
      </c>
      <c r="R284" s="5">
        <f t="shared" si="46"/>
        <v>23.44</v>
      </c>
      <c r="S284" s="5">
        <f t="shared" si="47"/>
        <v>17.579999999999998</v>
      </c>
      <c r="T284" s="5">
        <f t="shared" si="48"/>
        <v>11.72</v>
      </c>
      <c r="U284" s="5">
        <f t="shared" si="49"/>
        <v>5.86</v>
      </c>
    </row>
    <row r="285" spans="1:21" x14ac:dyDescent="0.25">
      <c r="A285" s="5">
        <v>73262</v>
      </c>
      <c r="B285" s="9" t="s">
        <v>23</v>
      </c>
      <c r="C285" s="6">
        <v>44.461500000000001</v>
      </c>
      <c r="D285" s="6">
        <v>89.290944999999994</v>
      </c>
      <c r="E285" s="5">
        <v>1000</v>
      </c>
      <c r="F285" s="9" t="s">
        <v>42</v>
      </c>
      <c r="G285" s="4">
        <v>90</v>
      </c>
      <c r="H285" s="4">
        <f t="shared" si="40"/>
        <v>45</v>
      </c>
      <c r="I285" s="5">
        <v>90</v>
      </c>
      <c r="M285" s="5">
        <f t="shared" si="41"/>
        <v>81</v>
      </c>
      <c r="N285" s="5">
        <f t="shared" si="42"/>
        <v>72</v>
      </c>
      <c r="O285" s="5">
        <f t="shared" si="43"/>
        <v>62.999999999999993</v>
      </c>
      <c r="P285" s="5">
        <f t="shared" si="44"/>
        <v>54</v>
      </c>
      <c r="Q285" s="5">
        <f t="shared" si="45"/>
        <v>45</v>
      </c>
      <c r="R285" s="5">
        <f t="shared" si="46"/>
        <v>36</v>
      </c>
      <c r="S285" s="5">
        <f t="shared" si="47"/>
        <v>27</v>
      </c>
      <c r="T285" s="5">
        <f t="shared" si="48"/>
        <v>18</v>
      </c>
      <c r="U285" s="5">
        <f t="shared" si="49"/>
        <v>9</v>
      </c>
    </row>
    <row r="286" spans="1:21" x14ac:dyDescent="0.25">
      <c r="A286" s="5">
        <v>73280</v>
      </c>
      <c r="B286" s="9" t="s">
        <v>23</v>
      </c>
      <c r="C286" s="6">
        <v>44.524634399999997</v>
      </c>
      <c r="D286" s="6">
        <v>89.475154200000006</v>
      </c>
      <c r="E286" s="5">
        <v>10</v>
      </c>
      <c r="F286" s="9" t="s">
        <v>98</v>
      </c>
      <c r="G286" s="4">
        <v>0.6</v>
      </c>
      <c r="H286" s="4">
        <f t="shared" si="40"/>
        <v>0.6</v>
      </c>
      <c r="I286" s="5">
        <v>150</v>
      </c>
      <c r="M286" s="5">
        <f t="shared" si="41"/>
        <v>0.6</v>
      </c>
      <c r="N286" s="5">
        <f t="shared" si="42"/>
        <v>0.6</v>
      </c>
      <c r="O286" s="5">
        <f t="shared" si="43"/>
        <v>0.6</v>
      </c>
      <c r="P286" s="5">
        <f t="shared" si="44"/>
        <v>0.6</v>
      </c>
      <c r="Q286" s="5">
        <f t="shared" si="45"/>
        <v>0.6</v>
      </c>
      <c r="R286" s="5">
        <f t="shared" si="46"/>
        <v>0.6</v>
      </c>
      <c r="S286" s="5">
        <f t="shared" si="47"/>
        <v>0.6</v>
      </c>
      <c r="T286" s="5">
        <f t="shared" si="48"/>
        <v>0.6</v>
      </c>
      <c r="U286" s="5">
        <f t="shared" si="49"/>
        <v>0.6</v>
      </c>
    </row>
    <row r="287" spans="1:21" x14ac:dyDescent="0.25">
      <c r="A287" s="5">
        <v>73281</v>
      </c>
      <c r="B287" s="9" t="s">
        <v>23</v>
      </c>
      <c r="C287" s="6">
        <v>44.523183299999999</v>
      </c>
      <c r="D287" s="6">
        <v>89.478950100000006</v>
      </c>
      <c r="E287" s="5">
        <v>1000</v>
      </c>
      <c r="F287" s="9" t="s">
        <v>42</v>
      </c>
      <c r="G287" s="4">
        <v>128</v>
      </c>
      <c r="H287" s="4">
        <f t="shared" si="40"/>
        <v>64</v>
      </c>
      <c r="I287" s="5">
        <v>60</v>
      </c>
      <c r="M287" s="5">
        <f t="shared" si="41"/>
        <v>115.2</v>
      </c>
      <c r="N287" s="5">
        <f t="shared" si="42"/>
        <v>102.4</v>
      </c>
      <c r="O287" s="5">
        <f t="shared" si="43"/>
        <v>89.6</v>
      </c>
      <c r="P287" s="5">
        <f t="shared" si="44"/>
        <v>76.8</v>
      </c>
      <c r="Q287" s="5">
        <f t="shared" si="45"/>
        <v>64</v>
      </c>
      <c r="R287" s="5">
        <f t="shared" si="46"/>
        <v>51.2</v>
      </c>
      <c r="S287" s="5">
        <f t="shared" si="47"/>
        <v>38.4</v>
      </c>
      <c r="T287" s="5">
        <f t="shared" si="48"/>
        <v>25.6</v>
      </c>
      <c r="U287" s="5">
        <f t="shared" si="49"/>
        <v>12.8</v>
      </c>
    </row>
    <row r="288" spans="1:21" x14ac:dyDescent="0.25">
      <c r="A288" s="5">
        <v>73372</v>
      </c>
      <c r="B288" s="9" t="s">
        <v>23</v>
      </c>
      <c r="C288" s="6">
        <v>44.495883300000003</v>
      </c>
      <c r="D288" s="6">
        <v>89.365099999999998</v>
      </c>
      <c r="E288" s="5">
        <v>25</v>
      </c>
      <c r="F288" s="9" t="s">
        <v>99</v>
      </c>
      <c r="G288" s="4">
        <v>7.6</v>
      </c>
      <c r="H288" s="4">
        <f t="shared" si="40"/>
        <v>7.6</v>
      </c>
      <c r="I288" s="5">
        <v>365</v>
      </c>
      <c r="M288" s="5">
        <f t="shared" si="41"/>
        <v>7.6</v>
      </c>
      <c r="N288" s="5">
        <f t="shared" si="42"/>
        <v>7.6</v>
      </c>
      <c r="O288" s="5">
        <f t="shared" si="43"/>
        <v>7.6</v>
      </c>
      <c r="P288" s="5">
        <f t="shared" si="44"/>
        <v>7.6</v>
      </c>
      <c r="Q288" s="5">
        <f t="shared" si="45"/>
        <v>7.6</v>
      </c>
      <c r="R288" s="5">
        <f t="shared" si="46"/>
        <v>7.6</v>
      </c>
      <c r="S288" s="5">
        <f t="shared" si="47"/>
        <v>7.6</v>
      </c>
      <c r="T288" s="5">
        <f t="shared" si="48"/>
        <v>7.6</v>
      </c>
      <c r="U288" s="5">
        <f t="shared" si="49"/>
        <v>7.6</v>
      </c>
    </row>
    <row r="289" spans="1:21" x14ac:dyDescent="0.25">
      <c r="A289" s="5">
        <v>73440</v>
      </c>
      <c r="B289" s="9" t="s">
        <v>23</v>
      </c>
      <c r="C289" s="6">
        <v>44.418900000000001</v>
      </c>
      <c r="D289" s="6">
        <v>89.405900000000003</v>
      </c>
      <c r="E289" s="5">
        <v>1000</v>
      </c>
      <c r="F289" s="9" t="s">
        <v>42</v>
      </c>
      <c r="G289" s="4">
        <v>72.900000000000006</v>
      </c>
      <c r="H289" s="4">
        <f t="shared" si="40"/>
        <v>36.450000000000003</v>
      </c>
      <c r="I289" s="5">
        <v>90</v>
      </c>
      <c r="M289" s="5">
        <f t="shared" si="41"/>
        <v>65.610000000000014</v>
      </c>
      <c r="N289" s="5">
        <f t="shared" si="42"/>
        <v>58.320000000000007</v>
      </c>
      <c r="O289" s="5">
        <f t="shared" si="43"/>
        <v>51.03</v>
      </c>
      <c r="P289" s="5">
        <f t="shared" si="44"/>
        <v>43.74</v>
      </c>
      <c r="Q289" s="5">
        <f t="shared" si="45"/>
        <v>36.450000000000003</v>
      </c>
      <c r="R289" s="5">
        <f t="shared" si="46"/>
        <v>29.160000000000004</v>
      </c>
      <c r="S289" s="5">
        <f t="shared" si="47"/>
        <v>21.87</v>
      </c>
      <c r="T289" s="5">
        <f t="shared" si="48"/>
        <v>14.580000000000002</v>
      </c>
      <c r="U289" s="5">
        <f t="shared" si="49"/>
        <v>7.2900000000000009</v>
      </c>
    </row>
    <row r="290" spans="1:21" x14ac:dyDescent="0.25">
      <c r="A290" s="5">
        <v>73481</v>
      </c>
      <c r="B290" s="9" t="s">
        <v>23</v>
      </c>
      <c r="C290" s="6">
        <v>44.422400000000003</v>
      </c>
      <c r="D290" s="6">
        <v>89.464883299999997</v>
      </c>
      <c r="E290" s="5">
        <v>500</v>
      </c>
      <c r="F290" s="9" t="s">
        <v>42</v>
      </c>
      <c r="G290" s="4">
        <v>85.1</v>
      </c>
      <c r="H290" s="4">
        <f t="shared" si="40"/>
        <v>42.55</v>
      </c>
      <c r="I290" s="5">
        <v>120</v>
      </c>
      <c r="M290" s="5">
        <f t="shared" si="41"/>
        <v>76.59</v>
      </c>
      <c r="N290" s="5">
        <f t="shared" si="42"/>
        <v>68.08</v>
      </c>
      <c r="O290" s="5">
        <f t="shared" si="43"/>
        <v>59.569999999999993</v>
      </c>
      <c r="P290" s="5">
        <f t="shared" si="44"/>
        <v>51.059999999999995</v>
      </c>
      <c r="Q290" s="5">
        <f t="shared" si="45"/>
        <v>42.55</v>
      </c>
      <c r="R290" s="5">
        <f t="shared" si="46"/>
        <v>34.04</v>
      </c>
      <c r="S290" s="5">
        <f t="shared" si="47"/>
        <v>25.529999999999998</v>
      </c>
      <c r="T290" s="5">
        <f t="shared" si="48"/>
        <v>17.02</v>
      </c>
      <c r="U290" s="5">
        <f t="shared" si="49"/>
        <v>8.51</v>
      </c>
    </row>
    <row r="291" spans="1:21" x14ac:dyDescent="0.25">
      <c r="A291" s="5">
        <v>73715</v>
      </c>
      <c r="B291" s="9" t="s">
        <v>23</v>
      </c>
      <c r="C291" s="6">
        <v>44.482799999999997</v>
      </c>
      <c r="D291" s="6">
        <v>89.444333299999997</v>
      </c>
      <c r="E291" s="5">
        <v>900</v>
      </c>
      <c r="F291" s="9" t="s">
        <v>42</v>
      </c>
      <c r="G291" s="4">
        <v>64.2</v>
      </c>
      <c r="H291" s="4">
        <f t="shared" si="40"/>
        <v>32.1</v>
      </c>
      <c r="I291" s="5">
        <v>120</v>
      </c>
      <c r="M291" s="5">
        <f t="shared" si="41"/>
        <v>57.78</v>
      </c>
      <c r="N291" s="5">
        <f t="shared" si="42"/>
        <v>51.360000000000007</v>
      </c>
      <c r="O291" s="5">
        <f t="shared" si="43"/>
        <v>44.94</v>
      </c>
      <c r="P291" s="5">
        <f t="shared" si="44"/>
        <v>38.520000000000003</v>
      </c>
      <c r="Q291" s="5">
        <f t="shared" si="45"/>
        <v>32.1</v>
      </c>
      <c r="R291" s="5">
        <f t="shared" si="46"/>
        <v>25.680000000000003</v>
      </c>
      <c r="S291" s="5">
        <f t="shared" si="47"/>
        <v>19.260000000000002</v>
      </c>
      <c r="T291" s="5">
        <f t="shared" si="48"/>
        <v>12.840000000000002</v>
      </c>
      <c r="U291" s="5">
        <f t="shared" si="49"/>
        <v>6.4200000000000008</v>
      </c>
    </row>
    <row r="292" spans="1:21" x14ac:dyDescent="0.25">
      <c r="A292" s="5">
        <v>73737</v>
      </c>
      <c r="B292" s="9" t="s">
        <v>23</v>
      </c>
      <c r="C292" s="6">
        <v>44.382800000000003</v>
      </c>
      <c r="D292" s="6">
        <v>89.4011</v>
      </c>
      <c r="E292" s="5">
        <v>1000</v>
      </c>
      <c r="F292" s="9" t="s">
        <v>42</v>
      </c>
      <c r="G292" s="4">
        <v>9.4</v>
      </c>
      <c r="H292" s="4">
        <f t="shared" si="40"/>
        <v>9.4</v>
      </c>
      <c r="I292" s="5">
        <v>30</v>
      </c>
      <c r="M292" s="5">
        <f t="shared" si="41"/>
        <v>9.4</v>
      </c>
      <c r="N292" s="5">
        <f t="shared" si="42"/>
        <v>9.4</v>
      </c>
      <c r="O292" s="5">
        <f t="shared" si="43"/>
        <v>9.4</v>
      </c>
      <c r="P292" s="5">
        <f t="shared" si="44"/>
        <v>9.4</v>
      </c>
      <c r="Q292" s="5">
        <f t="shared" si="45"/>
        <v>9.4</v>
      </c>
      <c r="R292" s="5">
        <f t="shared" si="46"/>
        <v>9.4</v>
      </c>
      <c r="S292" s="5">
        <f t="shared" si="47"/>
        <v>9.4</v>
      </c>
      <c r="T292" s="5">
        <f t="shared" si="48"/>
        <v>9.4</v>
      </c>
      <c r="U292" s="5">
        <f t="shared" si="49"/>
        <v>9.4</v>
      </c>
    </row>
    <row r="293" spans="1:21" x14ac:dyDescent="0.25">
      <c r="A293" s="5">
        <v>73761</v>
      </c>
      <c r="B293" s="9" t="s">
        <v>23</v>
      </c>
      <c r="C293" s="6">
        <v>44.483179999999997</v>
      </c>
      <c r="D293" s="6">
        <v>89.427260000000004</v>
      </c>
      <c r="E293" s="5">
        <v>20</v>
      </c>
      <c r="F293" s="9" t="s">
        <v>87</v>
      </c>
      <c r="G293" s="4">
        <v>0.4</v>
      </c>
      <c r="H293" s="4">
        <f t="shared" si="40"/>
        <v>0.4</v>
      </c>
      <c r="I293" s="5">
        <v>240</v>
      </c>
      <c r="M293" s="5">
        <f t="shared" si="41"/>
        <v>0.4</v>
      </c>
      <c r="N293" s="5">
        <f t="shared" si="42"/>
        <v>0.4</v>
      </c>
      <c r="O293" s="5">
        <f t="shared" si="43"/>
        <v>0.4</v>
      </c>
      <c r="P293" s="5">
        <f t="shared" si="44"/>
        <v>0.4</v>
      </c>
      <c r="Q293" s="5">
        <f t="shared" si="45"/>
        <v>0.4</v>
      </c>
      <c r="R293" s="5">
        <f t="shared" si="46"/>
        <v>0.4</v>
      </c>
      <c r="S293" s="5">
        <f t="shared" si="47"/>
        <v>0.4</v>
      </c>
      <c r="T293" s="5">
        <f t="shared" si="48"/>
        <v>0.4</v>
      </c>
      <c r="U293" s="5">
        <f t="shared" si="49"/>
        <v>0.4</v>
      </c>
    </row>
    <row r="294" spans="1:21" x14ac:dyDescent="0.25">
      <c r="A294" s="5">
        <v>73762</v>
      </c>
      <c r="B294" s="9" t="s">
        <v>23</v>
      </c>
      <c r="C294" s="6">
        <v>44.487099999999998</v>
      </c>
      <c r="D294" s="6">
        <v>89.430999999999997</v>
      </c>
      <c r="E294" s="5">
        <v>1000</v>
      </c>
      <c r="F294" s="9" t="s">
        <v>42</v>
      </c>
      <c r="G294" s="4">
        <v>175.9</v>
      </c>
      <c r="H294" s="4">
        <f t="shared" si="40"/>
        <v>87.95</v>
      </c>
      <c r="I294" s="5">
        <v>150</v>
      </c>
      <c r="M294" s="5">
        <f t="shared" si="41"/>
        <v>158.31</v>
      </c>
      <c r="N294" s="5">
        <f t="shared" si="42"/>
        <v>140.72</v>
      </c>
      <c r="O294" s="5">
        <f t="shared" si="43"/>
        <v>123.13</v>
      </c>
      <c r="P294" s="5">
        <f t="shared" si="44"/>
        <v>105.54</v>
      </c>
      <c r="Q294" s="5">
        <f t="shared" si="45"/>
        <v>87.95</v>
      </c>
      <c r="R294" s="5">
        <f t="shared" si="46"/>
        <v>70.36</v>
      </c>
      <c r="S294" s="5">
        <f t="shared" si="47"/>
        <v>52.77</v>
      </c>
      <c r="T294" s="5">
        <f t="shared" si="48"/>
        <v>35.18</v>
      </c>
      <c r="U294" s="5">
        <f t="shared" si="49"/>
        <v>17.59</v>
      </c>
    </row>
    <row r="295" spans="1:21" x14ac:dyDescent="0.25">
      <c r="A295" s="5">
        <v>73906</v>
      </c>
      <c r="B295" s="9" t="s">
        <v>23</v>
      </c>
      <c r="C295" s="6">
        <v>44.477200000000003</v>
      </c>
      <c r="D295" s="6">
        <v>89.356884100000002</v>
      </c>
      <c r="E295" s="5">
        <v>20</v>
      </c>
      <c r="F295" s="9" t="s">
        <v>82</v>
      </c>
      <c r="G295" s="4">
        <v>6.9</v>
      </c>
      <c r="H295" s="4">
        <f t="shared" si="40"/>
        <v>6.9</v>
      </c>
      <c r="I295" s="5">
        <v>365</v>
      </c>
      <c r="M295" s="5">
        <f t="shared" si="41"/>
        <v>6.9</v>
      </c>
      <c r="N295" s="5">
        <f t="shared" si="42"/>
        <v>6.9</v>
      </c>
      <c r="O295" s="5">
        <f t="shared" si="43"/>
        <v>6.9</v>
      </c>
      <c r="P295" s="5">
        <f t="shared" si="44"/>
        <v>6.9</v>
      </c>
      <c r="Q295" s="5">
        <f t="shared" si="45"/>
        <v>6.9</v>
      </c>
      <c r="R295" s="5">
        <f t="shared" si="46"/>
        <v>6.9</v>
      </c>
      <c r="S295" s="5">
        <f t="shared" si="47"/>
        <v>6.9</v>
      </c>
      <c r="T295" s="5">
        <f t="shared" si="48"/>
        <v>6.9</v>
      </c>
      <c r="U295" s="5">
        <f t="shared" si="49"/>
        <v>6.9</v>
      </c>
    </row>
    <row r="296" spans="1:21" x14ac:dyDescent="0.25">
      <c r="A296" s="5">
        <v>73940</v>
      </c>
      <c r="B296" s="9" t="s">
        <v>23</v>
      </c>
      <c r="C296" s="6">
        <v>44.433127200000001</v>
      </c>
      <c r="D296" s="6">
        <v>89.398570000000007</v>
      </c>
      <c r="E296" s="5">
        <v>20</v>
      </c>
      <c r="F296" s="9" t="s">
        <v>28</v>
      </c>
      <c r="G296" s="4">
        <v>0.1</v>
      </c>
      <c r="H296" s="4">
        <f t="shared" si="40"/>
        <v>0.1</v>
      </c>
      <c r="I296" s="5">
        <v>365</v>
      </c>
      <c r="M296" s="5">
        <f t="shared" si="41"/>
        <v>0.1</v>
      </c>
      <c r="N296" s="5">
        <f t="shared" si="42"/>
        <v>0.1</v>
      </c>
      <c r="O296" s="5">
        <f t="shared" si="43"/>
        <v>0.1</v>
      </c>
      <c r="P296" s="5">
        <f t="shared" si="44"/>
        <v>0.1</v>
      </c>
      <c r="Q296" s="5">
        <f t="shared" si="45"/>
        <v>0.1</v>
      </c>
      <c r="R296" s="5">
        <f t="shared" si="46"/>
        <v>0.1</v>
      </c>
      <c r="S296" s="5">
        <f t="shared" si="47"/>
        <v>0.1</v>
      </c>
      <c r="T296" s="5">
        <f t="shared" si="48"/>
        <v>0.1</v>
      </c>
      <c r="U296" s="5">
        <f t="shared" si="49"/>
        <v>0.1</v>
      </c>
    </row>
    <row r="297" spans="1:21" x14ac:dyDescent="0.25">
      <c r="A297" s="5">
        <v>73942</v>
      </c>
      <c r="B297" s="9" t="s">
        <v>23</v>
      </c>
      <c r="C297" s="6">
        <v>44.432989999999997</v>
      </c>
      <c r="D297" s="6">
        <v>89.399933300000001</v>
      </c>
      <c r="E297" s="5">
        <v>600</v>
      </c>
      <c r="F297" s="9" t="s">
        <v>100</v>
      </c>
      <c r="G297" s="4">
        <v>62</v>
      </c>
      <c r="H297" s="4">
        <f t="shared" si="40"/>
        <v>31</v>
      </c>
      <c r="I297" s="5">
        <v>30</v>
      </c>
      <c r="M297" s="5">
        <f t="shared" si="41"/>
        <v>55.800000000000004</v>
      </c>
      <c r="N297" s="5">
        <f t="shared" si="42"/>
        <v>49.6</v>
      </c>
      <c r="O297" s="5">
        <f t="shared" si="43"/>
        <v>43.4</v>
      </c>
      <c r="P297" s="5">
        <f t="shared" si="44"/>
        <v>37.199999999999996</v>
      </c>
      <c r="Q297" s="5">
        <f t="shared" si="45"/>
        <v>31</v>
      </c>
      <c r="R297" s="5">
        <f t="shared" si="46"/>
        <v>24.8</v>
      </c>
      <c r="S297" s="5">
        <f t="shared" si="47"/>
        <v>18.599999999999998</v>
      </c>
      <c r="T297" s="5">
        <f t="shared" si="48"/>
        <v>12.4</v>
      </c>
      <c r="U297" s="5">
        <f t="shared" si="49"/>
        <v>6.2</v>
      </c>
    </row>
    <row r="298" spans="1:21" x14ac:dyDescent="0.25">
      <c r="A298" s="5">
        <v>74131</v>
      </c>
      <c r="B298" s="9" t="s">
        <v>23</v>
      </c>
      <c r="C298" s="6">
        <v>44.486400000000003</v>
      </c>
      <c r="D298" s="6">
        <v>89.344890000000007</v>
      </c>
      <c r="E298" s="5">
        <v>800</v>
      </c>
      <c r="F298" s="9" t="s">
        <v>42</v>
      </c>
      <c r="G298" s="4">
        <v>124.9</v>
      </c>
      <c r="H298" s="4">
        <f t="shared" si="40"/>
        <v>62.45</v>
      </c>
      <c r="I298" s="5">
        <v>120</v>
      </c>
      <c r="M298" s="5">
        <f t="shared" si="41"/>
        <v>112.41000000000001</v>
      </c>
      <c r="N298" s="5">
        <f t="shared" si="42"/>
        <v>99.920000000000016</v>
      </c>
      <c r="O298" s="5">
        <f t="shared" si="43"/>
        <v>87.429999999999993</v>
      </c>
      <c r="P298" s="5">
        <f t="shared" si="44"/>
        <v>74.94</v>
      </c>
      <c r="Q298" s="5">
        <f t="shared" si="45"/>
        <v>62.45</v>
      </c>
      <c r="R298" s="5">
        <f t="shared" si="46"/>
        <v>49.960000000000008</v>
      </c>
      <c r="S298" s="5">
        <f t="shared" si="47"/>
        <v>37.47</v>
      </c>
      <c r="T298" s="5">
        <f t="shared" si="48"/>
        <v>24.980000000000004</v>
      </c>
      <c r="U298" s="5">
        <f t="shared" si="49"/>
        <v>12.490000000000002</v>
      </c>
    </row>
    <row r="299" spans="1:21" x14ac:dyDescent="0.25">
      <c r="A299" s="5">
        <v>74280</v>
      </c>
      <c r="B299" s="9" t="s">
        <v>23</v>
      </c>
      <c r="C299" s="6">
        <v>44.586100000000002</v>
      </c>
      <c r="D299" s="6">
        <v>89.413399999999996</v>
      </c>
      <c r="E299" s="5">
        <v>500</v>
      </c>
      <c r="F299" s="9" t="s">
        <v>20</v>
      </c>
      <c r="G299" s="4">
        <v>20.8</v>
      </c>
      <c r="H299" s="4">
        <f t="shared" si="40"/>
        <v>20.8</v>
      </c>
      <c r="I299" s="5">
        <v>90</v>
      </c>
      <c r="M299" s="5">
        <f t="shared" si="41"/>
        <v>20.8</v>
      </c>
      <c r="N299" s="5">
        <f t="shared" si="42"/>
        <v>20.8</v>
      </c>
      <c r="O299" s="5">
        <f t="shared" si="43"/>
        <v>20.8</v>
      </c>
      <c r="P299" s="5">
        <f t="shared" si="44"/>
        <v>20.8</v>
      </c>
      <c r="Q299" s="5">
        <f t="shared" si="45"/>
        <v>20.8</v>
      </c>
      <c r="R299" s="5">
        <f t="shared" si="46"/>
        <v>20.8</v>
      </c>
      <c r="S299" s="5">
        <f t="shared" si="47"/>
        <v>20.8</v>
      </c>
      <c r="T299" s="5">
        <f t="shared" si="48"/>
        <v>20.8</v>
      </c>
      <c r="U299" s="5">
        <f t="shared" si="49"/>
        <v>20.8</v>
      </c>
    </row>
    <row r="300" spans="1:21" x14ac:dyDescent="0.25">
      <c r="A300" s="5">
        <v>84404</v>
      </c>
      <c r="B300" s="9" t="s">
        <v>23</v>
      </c>
      <c r="C300" s="6">
        <v>44.430553500000002</v>
      </c>
      <c r="D300" s="6">
        <v>89.516164200000006</v>
      </c>
      <c r="E300" s="5">
        <v>75</v>
      </c>
      <c r="F300" s="9" t="s">
        <v>101</v>
      </c>
      <c r="G300" s="4">
        <v>5</v>
      </c>
      <c r="H300" s="4">
        <f t="shared" si="40"/>
        <v>5</v>
      </c>
      <c r="I300" s="5">
        <v>300</v>
      </c>
      <c r="M300" s="5">
        <f t="shared" si="41"/>
        <v>5</v>
      </c>
      <c r="N300" s="5">
        <f t="shared" si="42"/>
        <v>5</v>
      </c>
      <c r="O300" s="5">
        <f t="shared" si="43"/>
        <v>5</v>
      </c>
      <c r="P300" s="5">
        <f t="shared" si="44"/>
        <v>5</v>
      </c>
      <c r="Q300" s="5">
        <f t="shared" si="45"/>
        <v>5</v>
      </c>
      <c r="R300" s="5">
        <f t="shared" si="46"/>
        <v>5</v>
      </c>
      <c r="S300" s="5">
        <f t="shared" si="47"/>
        <v>5</v>
      </c>
      <c r="T300" s="5">
        <f t="shared" si="48"/>
        <v>5</v>
      </c>
      <c r="U300" s="5">
        <f t="shared" si="49"/>
        <v>5</v>
      </c>
    </row>
    <row r="301" spans="1:21" x14ac:dyDescent="0.25">
      <c r="A301" s="5">
        <v>84409</v>
      </c>
      <c r="B301" s="9" t="s">
        <v>23</v>
      </c>
      <c r="C301" s="6">
        <v>44.455864099999999</v>
      </c>
      <c r="D301" s="6">
        <v>89.505949900000005</v>
      </c>
      <c r="E301" s="5">
        <v>1000</v>
      </c>
      <c r="F301" s="9" t="s">
        <v>102</v>
      </c>
      <c r="G301" s="4">
        <v>2.4</v>
      </c>
      <c r="H301" s="4">
        <f t="shared" si="40"/>
        <v>2.4</v>
      </c>
      <c r="I301" s="5">
        <v>150</v>
      </c>
      <c r="M301" s="5">
        <f t="shared" si="41"/>
        <v>2.4</v>
      </c>
      <c r="N301" s="5">
        <f t="shared" si="42"/>
        <v>2.4</v>
      </c>
      <c r="O301" s="5">
        <f t="shared" si="43"/>
        <v>2.4</v>
      </c>
      <c r="P301" s="5">
        <f t="shared" si="44"/>
        <v>2.4</v>
      </c>
      <c r="Q301" s="5">
        <f t="shared" si="45"/>
        <v>2.4</v>
      </c>
      <c r="R301" s="5">
        <f t="shared" si="46"/>
        <v>2.4</v>
      </c>
      <c r="S301" s="5">
        <f t="shared" si="47"/>
        <v>2.4</v>
      </c>
      <c r="T301" s="5">
        <f t="shared" si="48"/>
        <v>2.4</v>
      </c>
      <c r="U301" s="5">
        <f t="shared" si="49"/>
        <v>2.4</v>
      </c>
    </row>
    <row r="302" spans="1:21" x14ac:dyDescent="0.25">
      <c r="A302" s="5">
        <v>84411</v>
      </c>
      <c r="B302" s="9" t="s">
        <v>23</v>
      </c>
      <c r="C302" s="6">
        <v>44.455864099999999</v>
      </c>
      <c r="D302" s="6">
        <v>89.505949900000005</v>
      </c>
      <c r="E302" s="5">
        <v>150</v>
      </c>
      <c r="F302" s="9" t="s">
        <v>38</v>
      </c>
      <c r="G302" s="4">
        <v>40.1</v>
      </c>
      <c r="H302" s="4">
        <f t="shared" si="40"/>
        <v>40.1</v>
      </c>
      <c r="I302" s="5">
        <v>120</v>
      </c>
      <c r="M302" s="5">
        <f t="shared" si="41"/>
        <v>40.1</v>
      </c>
      <c r="N302" s="5">
        <f t="shared" si="42"/>
        <v>40.1</v>
      </c>
      <c r="O302" s="5">
        <f t="shared" si="43"/>
        <v>40.1</v>
      </c>
      <c r="P302" s="5">
        <f t="shared" si="44"/>
        <v>40.1</v>
      </c>
      <c r="Q302" s="5">
        <f t="shared" si="45"/>
        <v>40.1</v>
      </c>
      <c r="R302" s="5">
        <f t="shared" si="46"/>
        <v>40.1</v>
      </c>
      <c r="S302" s="5">
        <f t="shared" si="47"/>
        <v>40.1</v>
      </c>
      <c r="T302" s="5">
        <f t="shared" si="48"/>
        <v>40.1</v>
      </c>
      <c r="U302" s="5">
        <f t="shared" si="49"/>
        <v>40.1</v>
      </c>
    </row>
    <row r="303" spans="1:21" x14ac:dyDescent="0.25">
      <c r="A303" s="5">
        <v>91103</v>
      </c>
      <c r="B303" s="9" t="s">
        <v>23</v>
      </c>
      <c r="C303" s="6">
        <v>44.402200000000001</v>
      </c>
      <c r="D303" s="6">
        <v>89.386799999999994</v>
      </c>
      <c r="E303" s="5">
        <v>1000</v>
      </c>
      <c r="F303" s="9" t="s">
        <v>42</v>
      </c>
      <c r="G303" s="4">
        <v>127.8</v>
      </c>
      <c r="H303" s="4">
        <f t="shared" si="40"/>
        <v>63.9</v>
      </c>
      <c r="I303" s="5">
        <v>120</v>
      </c>
      <c r="M303" s="5">
        <f t="shared" si="41"/>
        <v>115.02</v>
      </c>
      <c r="N303" s="5">
        <f t="shared" si="42"/>
        <v>102.24000000000001</v>
      </c>
      <c r="O303" s="5">
        <f t="shared" si="43"/>
        <v>89.46</v>
      </c>
      <c r="P303" s="5">
        <f t="shared" si="44"/>
        <v>76.679999999999993</v>
      </c>
      <c r="Q303" s="5">
        <f t="shared" si="45"/>
        <v>63.9</v>
      </c>
      <c r="R303" s="5">
        <f t="shared" si="46"/>
        <v>51.120000000000005</v>
      </c>
      <c r="S303" s="5">
        <f t="shared" si="47"/>
        <v>38.339999999999996</v>
      </c>
      <c r="T303" s="5">
        <f t="shared" si="48"/>
        <v>25.560000000000002</v>
      </c>
      <c r="U303" s="5">
        <f t="shared" si="49"/>
        <v>12.780000000000001</v>
      </c>
    </row>
    <row r="304" spans="1:21" x14ac:dyDescent="0.25">
      <c r="A304" s="5">
        <v>91173</v>
      </c>
      <c r="B304" s="9" t="s">
        <v>23</v>
      </c>
      <c r="C304" s="6">
        <v>44.536299999999997</v>
      </c>
      <c r="D304" s="6">
        <v>89.433499999999995</v>
      </c>
      <c r="E304" s="5">
        <v>900</v>
      </c>
      <c r="F304" s="9" t="s">
        <v>42</v>
      </c>
      <c r="G304" s="4">
        <v>62.8</v>
      </c>
      <c r="H304" s="4">
        <f t="shared" si="40"/>
        <v>31.4</v>
      </c>
      <c r="I304" s="5">
        <v>60</v>
      </c>
      <c r="M304" s="5">
        <f t="shared" si="41"/>
        <v>56.519999999999996</v>
      </c>
      <c r="N304" s="5">
        <f t="shared" si="42"/>
        <v>50.24</v>
      </c>
      <c r="O304" s="5">
        <f t="shared" si="43"/>
        <v>43.959999999999994</v>
      </c>
      <c r="P304" s="5">
        <f t="shared" si="44"/>
        <v>37.68</v>
      </c>
      <c r="Q304" s="5">
        <f t="shared" si="45"/>
        <v>31.4</v>
      </c>
      <c r="R304" s="5">
        <f t="shared" si="46"/>
        <v>25.12</v>
      </c>
      <c r="S304" s="5">
        <f t="shared" si="47"/>
        <v>18.84</v>
      </c>
      <c r="T304" s="5">
        <f t="shared" si="48"/>
        <v>12.56</v>
      </c>
      <c r="U304" s="5">
        <f t="shared" si="49"/>
        <v>6.28</v>
      </c>
    </row>
    <row r="305" spans="1:21" x14ac:dyDescent="0.25">
      <c r="A305" s="5">
        <v>91808</v>
      </c>
      <c r="B305" s="9" t="s">
        <v>23</v>
      </c>
      <c r="C305" s="6">
        <v>44.475900000000003</v>
      </c>
      <c r="D305" s="6">
        <v>89.307900000000004</v>
      </c>
      <c r="E305" s="5">
        <v>1000</v>
      </c>
      <c r="F305" s="9" t="s">
        <v>42</v>
      </c>
      <c r="G305" s="4">
        <v>49.4</v>
      </c>
      <c r="H305" s="4">
        <f t="shared" si="40"/>
        <v>49.4</v>
      </c>
      <c r="I305" s="5">
        <v>90</v>
      </c>
      <c r="M305" s="5">
        <f t="shared" si="41"/>
        <v>49.4</v>
      </c>
      <c r="N305" s="5">
        <f t="shared" si="42"/>
        <v>49.4</v>
      </c>
      <c r="O305" s="5">
        <f t="shared" si="43"/>
        <v>49.4</v>
      </c>
      <c r="P305" s="5">
        <f t="shared" si="44"/>
        <v>49.4</v>
      </c>
      <c r="Q305" s="5">
        <f t="shared" si="45"/>
        <v>49.4</v>
      </c>
      <c r="R305" s="5">
        <f t="shared" si="46"/>
        <v>49.4</v>
      </c>
      <c r="S305" s="5">
        <f t="shared" si="47"/>
        <v>49.4</v>
      </c>
      <c r="T305" s="5">
        <f t="shared" si="48"/>
        <v>49.4</v>
      </c>
      <c r="U305" s="5">
        <f t="shared" si="49"/>
        <v>49.4</v>
      </c>
    </row>
    <row r="306" spans="1:21" x14ac:dyDescent="0.25">
      <c r="A306" s="5">
        <v>91996</v>
      </c>
      <c r="B306" s="9" t="s">
        <v>23</v>
      </c>
      <c r="C306" s="6">
        <v>44.4557</v>
      </c>
      <c r="D306" s="6">
        <v>89.3322</v>
      </c>
      <c r="E306" s="5">
        <v>20</v>
      </c>
      <c r="F306" s="9" t="s">
        <v>96</v>
      </c>
      <c r="G306" s="4">
        <v>12.6</v>
      </c>
      <c r="H306" s="4">
        <f t="shared" si="40"/>
        <v>12.6</v>
      </c>
      <c r="I306" s="5">
        <v>365</v>
      </c>
      <c r="M306" s="5">
        <f t="shared" si="41"/>
        <v>12.6</v>
      </c>
      <c r="N306" s="5">
        <f t="shared" si="42"/>
        <v>12.6</v>
      </c>
      <c r="O306" s="5">
        <f t="shared" si="43"/>
        <v>12.6</v>
      </c>
      <c r="P306" s="5">
        <f t="shared" si="44"/>
        <v>12.6</v>
      </c>
      <c r="Q306" s="5">
        <f t="shared" si="45"/>
        <v>12.6</v>
      </c>
      <c r="R306" s="5">
        <f t="shared" si="46"/>
        <v>12.6</v>
      </c>
      <c r="S306" s="5">
        <f t="shared" si="47"/>
        <v>12.6</v>
      </c>
      <c r="T306" s="5">
        <f t="shared" si="48"/>
        <v>12.6</v>
      </c>
      <c r="U306" s="5">
        <f t="shared" si="49"/>
        <v>12.6</v>
      </c>
    </row>
    <row r="307" spans="1:21" x14ac:dyDescent="0.25">
      <c r="A307" s="5">
        <v>91997</v>
      </c>
      <c r="B307" s="9" t="s">
        <v>23</v>
      </c>
      <c r="C307" s="6">
        <v>44.455500000000001</v>
      </c>
      <c r="D307" s="6">
        <v>89.337699999999998</v>
      </c>
      <c r="E307" s="5">
        <v>1000</v>
      </c>
      <c r="F307" s="9" t="s">
        <v>42</v>
      </c>
      <c r="G307" s="4">
        <v>287.7</v>
      </c>
      <c r="H307" s="4">
        <f t="shared" si="40"/>
        <v>143.85</v>
      </c>
      <c r="I307" s="5">
        <v>120</v>
      </c>
      <c r="M307" s="5">
        <f t="shared" si="41"/>
        <v>258.93</v>
      </c>
      <c r="N307" s="5">
        <f t="shared" si="42"/>
        <v>230.16</v>
      </c>
      <c r="O307" s="5">
        <f t="shared" si="43"/>
        <v>201.39</v>
      </c>
      <c r="P307" s="5">
        <f t="shared" si="44"/>
        <v>172.61999999999998</v>
      </c>
      <c r="Q307" s="5">
        <f t="shared" si="45"/>
        <v>143.85</v>
      </c>
      <c r="R307" s="5">
        <f t="shared" si="46"/>
        <v>115.08</v>
      </c>
      <c r="S307" s="5">
        <f t="shared" si="47"/>
        <v>86.309999999999988</v>
      </c>
      <c r="T307" s="5">
        <f t="shared" si="48"/>
        <v>57.54</v>
      </c>
      <c r="U307" s="5">
        <f t="shared" si="49"/>
        <v>28.77</v>
      </c>
    </row>
    <row r="308" spans="1:21" x14ac:dyDescent="0.25">
      <c r="A308" s="5">
        <v>92099</v>
      </c>
      <c r="B308" s="9" t="s">
        <v>23</v>
      </c>
      <c r="C308" s="6">
        <v>44.4009</v>
      </c>
      <c r="D308" s="6">
        <v>89.43</v>
      </c>
      <c r="E308" s="5">
        <v>1000</v>
      </c>
      <c r="F308" s="9" t="s">
        <v>20</v>
      </c>
      <c r="G308" s="4">
        <v>37.700000000000003</v>
      </c>
      <c r="H308" s="4">
        <f t="shared" si="40"/>
        <v>37.700000000000003</v>
      </c>
      <c r="I308" s="5">
        <v>90</v>
      </c>
      <c r="M308" s="5">
        <f t="shared" si="41"/>
        <v>37.700000000000003</v>
      </c>
      <c r="N308" s="5">
        <f t="shared" si="42"/>
        <v>37.700000000000003</v>
      </c>
      <c r="O308" s="5">
        <f t="shared" si="43"/>
        <v>37.700000000000003</v>
      </c>
      <c r="P308" s="5">
        <f t="shared" si="44"/>
        <v>37.700000000000003</v>
      </c>
      <c r="Q308" s="5">
        <f t="shared" si="45"/>
        <v>37.700000000000003</v>
      </c>
      <c r="R308" s="5">
        <f t="shared" si="46"/>
        <v>37.700000000000003</v>
      </c>
      <c r="S308" s="5">
        <f t="shared" si="47"/>
        <v>37.700000000000003</v>
      </c>
      <c r="T308" s="5">
        <f t="shared" si="48"/>
        <v>37.700000000000003</v>
      </c>
      <c r="U308" s="5">
        <f t="shared" si="49"/>
        <v>37.700000000000003</v>
      </c>
    </row>
    <row r="309" spans="1:21" x14ac:dyDescent="0.25">
      <c r="A309" s="5">
        <v>92184</v>
      </c>
      <c r="B309" s="9" t="s">
        <v>23</v>
      </c>
      <c r="C309" s="6">
        <v>44.411299999999997</v>
      </c>
      <c r="D309" s="6">
        <v>89.442099999999996</v>
      </c>
      <c r="E309" s="5">
        <v>2000</v>
      </c>
      <c r="F309" s="9" t="s">
        <v>24</v>
      </c>
      <c r="G309" s="4">
        <v>153.1</v>
      </c>
      <c r="H309" s="4">
        <f t="shared" si="40"/>
        <v>76.55</v>
      </c>
      <c r="I309" s="5">
        <v>240</v>
      </c>
      <c r="M309" s="5">
        <f t="shared" si="41"/>
        <v>137.79</v>
      </c>
      <c r="N309" s="5">
        <f t="shared" si="42"/>
        <v>122.48</v>
      </c>
      <c r="O309" s="5">
        <f t="shared" si="43"/>
        <v>107.16999999999999</v>
      </c>
      <c r="P309" s="5">
        <f t="shared" si="44"/>
        <v>91.86</v>
      </c>
      <c r="Q309" s="5">
        <f t="shared" si="45"/>
        <v>76.55</v>
      </c>
      <c r="R309" s="5">
        <f t="shared" si="46"/>
        <v>61.24</v>
      </c>
      <c r="S309" s="5">
        <f t="shared" si="47"/>
        <v>45.93</v>
      </c>
      <c r="T309" s="5">
        <f t="shared" si="48"/>
        <v>30.62</v>
      </c>
      <c r="U309" s="5">
        <f t="shared" si="49"/>
        <v>15.31</v>
      </c>
    </row>
    <row r="310" spans="1:21" x14ac:dyDescent="0.25">
      <c r="A310" s="5">
        <v>92299</v>
      </c>
      <c r="B310" s="9" t="s">
        <v>23</v>
      </c>
      <c r="C310" s="6">
        <v>44.456679999999999</v>
      </c>
      <c r="D310" s="6">
        <v>89.319689999999994</v>
      </c>
      <c r="E310" s="5">
        <v>1000</v>
      </c>
      <c r="F310" s="9" t="s">
        <v>42</v>
      </c>
      <c r="G310" s="4">
        <v>93</v>
      </c>
      <c r="H310" s="4">
        <f t="shared" si="40"/>
        <v>46.5</v>
      </c>
      <c r="I310" s="5">
        <v>30</v>
      </c>
      <c r="M310" s="5">
        <f t="shared" si="41"/>
        <v>83.7</v>
      </c>
      <c r="N310" s="5">
        <f t="shared" si="42"/>
        <v>74.400000000000006</v>
      </c>
      <c r="O310" s="5">
        <f t="shared" si="43"/>
        <v>65.099999999999994</v>
      </c>
      <c r="P310" s="5">
        <f t="shared" si="44"/>
        <v>55.8</v>
      </c>
      <c r="Q310" s="5">
        <f t="shared" si="45"/>
        <v>46.5</v>
      </c>
      <c r="R310" s="5">
        <f t="shared" si="46"/>
        <v>37.200000000000003</v>
      </c>
      <c r="S310" s="5">
        <f t="shared" si="47"/>
        <v>27.9</v>
      </c>
      <c r="T310" s="5">
        <f t="shared" si="48"/>
        <v>18.600000000000001</v>
      </c>
      <c r="U310" s="5">
        <f t="shared" si="49"/>
        <v>9.3000000000000007</v>
      </c>
    </row>
    <row r="311" spans="1:21" x14ac:dyDescent="0.25">
      <c r="A311" s="5">
        <v>92696</v>
      </c>
      <c r="B311" s="9" t="s">
        <v>23</v>
      </c>
      <c r="C311" s="6">
        <v>44.457030000000003</v>
      </c>
      <c r="D311" s="6">
        <v>89.288060000000002</v>
      </c>
      <c r="E311" s="5">
        <v>150</v>
      </c>
      <c r="F311" s="9" t="s">
        <v>103</v>
      </c>
      <c r="G311" s="4">
        <v>11.6</v>
      </c>
      <c r="H311" s="4">
        <f t="shared" si="40"/>
        <v>11.6</v>
      </c>
      <c r="I311" s="5">
        <v>60</v>
      </c>
      <c r="M311" s="5">
        <f t="shared" si="41"/>
        <v>11.6</v>
      </c>
      <c r="N311" s="5">
        <f t="shared" si="42"/>
        <v>11.6</v>
      </c>
      <c r="O311" s="5">
        <f t="shared" si="43"/>
        <v>11.6</v>
      </c>
      <c r="P311" s="5">
        <f t="shared" si="44"/>
        <v>11.6</v>
      </c>
      <c r="Q311" s="5">
        <f t="shared" si="45"/>
        <v>11.6</v>
      </c>
      <c r="R311" s="5">
        <f t="shared" si="46"/>
        <v>11.6</v>
      </c>
      <c r="S311" s="5">
        <f t="shared" si="47"/>
        <v>11.6</v>
      </c>
      <c r="T311" s="5">
        <f t="shared" si="48"/>
        <v>11.6</v>
      </c>
      <c r="U311" s="5">
        <f t="shared" si="49"/>
        <v>11.6</v>
      </c>
    </row>
    <row r="312" spans="1:21" x14ac:dyDescent="0.25">
      <c r="A312" s="5">
        <v>92714</v>
      </c>
      <c r="B312" s="9" t="s">
        <v>23</v>
      </c>
      <c r="C312" s="6">
        <v>44.431570000000001</v>
      </c>
      <c r="D312" s="6">
        <v>89.40213</v>
      </c>
      <c r="E312" s="5">
        <v>35</v>
      </c>
      <c r="F312" s="9" t="s">
        <v>28</v>
      </c>
      <c r="G312" s="4">
        <v>0.1</v>
      </c>
      <c r="H312" s="4">
        <f t="shared" si="40"/>
        <v>0.1</v>
      </c>
      <c r="I312" s="5">
        <v>365</v>
      </c>
      <c r="M312" s="5">
        <f t="shared" si="41"/>
        <v>0.1</v>
      </c>
      <c r="N312" s="5">
        <f t="shared" si="42"/>
        <v>0.1</v>
      </c>
      <c r="O312" s="5">
        <f t="shared" si="43"/>
        <v>0.1</v>
      </c>
      <c r="P312" s="5">
        <f t="shared" si="44"/>
        <v>0.1</v>
      </c>
      <c r="Q312" s="5">
        <f t="shared" si="45"/>
        <v>0.1</v>
      </c>
      <c r="R312" s="5">
        <f t="shared" si="46"/>
        <v>0.1</v>
      </c>
      <c r="S312" s="5">
        <f t="shared" si="47"/>
        <v>0.1</v>
      </c>
      <c r="T312" s="5">
        <f t="shared" si="48"/>
        <v>0.1</v>
      </c>
      <c r="U312" s="5">
        <f t="shared" si="49"/>
        <v>0.1</v>
      </c>
    </row>
    <row r="313" spans="1:21" x14ac:dyDescent="0.25">
      <c r="A313" s="5">
        <v>92724</v>
      </c>
      <c r="B313" s="9" t="s">
        <v>23</v>
      </c>
      <c r="C313" s="6">
        <v>44.453800000000001</v>
      </c>
      <c r="D313" s="6">
        <v>89.301829999999995</v>
      </c>
      <c r="E313" s="5">
        <v>40</v>
      </c>
      <c r="F313" s="9" t="s">
        <v>29</v>
      </c>
      <c r="G313" s="4">
        <v>0.6</v>
      </c>
      <c r="H313" s="4">
        <f t="shared" si="40"/>
        <v>0.6</v>
      </c>
      <c r="I313" s="5">
        <v>330</v>
      </c>
      <c r="M313" s="5">
        <f t="shared" si="41"/>
        <v>0.6</v>
      </c>
      <c r="N313" s="5">
        <f t="shared" si="42"/>
        <v>0.6</v>
      </c>
      <c r="O313" s="5">
        <f t="shared" si="43"/>
        <v>0.6</v>
      </c>
      <c r="P313" s="5">
        <f t="shared" si="44"/>
        <v>0.6</v>
      </c>
      <c r="Q313" s="5">
        <f t="shared" si="45"/>
        <v>0.6</v>
      </c>
      <c r="R313" s="5">
        <f t="shared" si="46"/>
        <v>0.6</v>
      </c>
      <c r="S313" s="5">
        <f t="shared" si="47"/>
        <v>0.6</v>
      </c>
      <c r="T313" s="5">
        <f t="shared" si="48"/>
        <v>0.6</v>
      </c>
      <c r="U313" s="5">
        <f t="shared" si="49"/>
        <v>0.6</v>
      </c>
    </row>
    <row r="314" spans="1:21" x14ac:dyDescent="0.25">
      <c r="A314" s="5">
        <v>92743</v>
      </c>
      <c r="B314" s="9" t="s">
        <v>23</v>
      </c>
      <c r="C314" s="6">
        <v>44.463363999999999</v>
      </c>
      <c r="D314" s="6">
        <v>89.301241000000005</v>
      </c>
      <c r="E314" s="5">
        <v>1000</v>
      </c>
      <c r="F314" s="9" t="s">
        <v>20</v>
      </c>
      <c r="G314" s="4">
        <v>126.5</v>
      </c>
      <c r="H314" s="4">
        <f t="shared" si="40"/>
        <v>63.25</v>
      </c>
      <c r="I314" s="5">
        <v>90</v>
      </c>
      <c r="M314" s="5">
        <f t="shared" si="41"/>
        <v>113.85000000000001</v>
      </c>
      <c r="N314" s="5">
        <f t="shared" si="42"/>
        <v>101.2</v>
      </c>
      <c r="O314" s="5">
        <f t="shared" si="43"/>
        <v>88.55</v>
      </c>
      <c r="P314" s="5">
        <f t="shared" si="44"/>
        <v>75.899999999999991</v>
      </c>
      <c r="Q314" s="5">
        <f t="shared" si="45"/>
        <v>63.25</v>
      </c>
      <c r="R314" s="5">
        <f t="shared" si="46"/>
        <v>50.6</v>
      </c>
      <c r="S314" s="5">
        <f t="shared" si="47"/>
        <v>37.949999999999996</v>
      </c>
      <c r="T314" s="5">
        <f t="shared" si="48"/>
        <v>25.3</v>
      </c>
      <c r="U314" s="5">
        <f t="shared" si="49"/>
        <v>12.65</v>
      </c>
    </row>
    <row r="315" spans="1:21" x14ac:dyDescent="0.25">
      <c r="A315" s="5">
        <v>92808</v>
      </c>
      <c r="B315" s="9" t="s">
        <v>23</v>
      </c>
      <c r="C315" s="6">
        <v>44.542200000000001</v>
      </c>
      <c r="D315" s="6">
        <v>89.383700000000005</v>
      </c>
      <c r="E315" s="5">
        <v>1000</v>
      </c>
      <c r="F315" s="9" t="s">
        <v>42</v>
      </c>
      <c r="G315" s="4">
        <v>53.4</v>
      </c>
      <c r="H315" s="4">
        <f t="shared" si="40"/>
        <v>26.7</v>
      </c>
      <c r="I315" s="5">
        <v>90</v>
      </c>
      <c r="M315" s="5">
        <f t="shared" si="41"/>
        <v>48.06</v>
      </c>
      <c r="N315" s="5">
        <f t="shared" si="42"/>
        <v>42.72</v>
      </c>
      <c r="O315" s="5">
        <f t="shared" si="43"/>
        <v>37.379999999999995</v>
      </c>
      <c r="P315" s="5">
        <f t="shared" si="44"/>
        <v>32.04</v>
      </c>
      <c r="Q315" s="5">
        <f t="shared" si="45"/>
        <v>26.7</v>
      </c>
      <c r="R315" s="5">
        <f t="shared" si="46"/>
        <v>21.36</v>
      </c>
      <c r="S315" s="5">
        <f t="shared" si="47"/>
        <v>16.02</v>
      </c>
      <c r="T315" s="5">
        <f t="shared" si="48"/>
        <v>10.68</v>
      </c>
      <c r="U315" s="5">
        <f t="shared" si="49"/>
        <v>5.34</v>
      </c>
    </row>
    <row r="316" spans="1:21" x14ac:dyDescent="0.25">
      <c r="A316" s="5">
        <v>92885</v>
      </c>
      <c r="B316" s="9" t="s">
        <v>23</v>
      </c>
      <c r="C316" s="6">
        <v>44.501300000000001</v>
      </c>
      <c r="D316" s="6">
        <v>89.407499999999999</v>
      </c>
      <c r="F316" s="9" t="s">
        <v>44</v>
      </c>
      <c r="G316" s="4">
        <v>12.1</v>
      </c>
      <c r="H316" s="4">
        <f t="shared" si="40"/>
        <v>12.1</v>
      </c>
      <c r="I316" s="5">
        <v>210</v>
      </c>
      <c r="M316" s="5">
        <f t="shared" si="41"/>
        <v>12.1</v>
      </c>
      <c r="N316" s="5">
        <f t="shared" si="42"/>
        <v>12.1</v>
      </c>
      <c r="O316" s="5">
        <f t="shared" si="43"/>
        <v>12.1</v>
      </c>
      <c r="P316" s="5">
        <f t="shared" si="44"/>
        <v>12.1</v>
      </c>
      <c r="Q316" s="5">
        <f t="shared" si="45"/>
        <v>12.1</v>
      </c>
      <c r="R316" s="5">
        <f t="shared" si="46"/>
        <v>12.1</v>
      </c>
      <c r="S316" s="5">
        <f t="shared" si="47"/>
        <v>12.1</v>
      </c>
      <c r="T316" s="5">
        <f t="shared" si="48"/>
        <v>12.1</v>
      </c>
      <c r="U316" s="5">
        <f t="shared" si="49"/>
        <v>12.1</v>
      </c>
    </row>
    <row r="317" spans="1:21" x14ac:dyDescent="0.25">
      <c r="A317" s="5">
        <v>92981</v>
      </c>
      <c r="B317" s="9" t="s">
        <v>23</v>
      </c>
      <c r="C317" s="6">
        <v>44.578465999999999</v>
      </c>
      <c r="D317" s="6">
        <v>89.456738000000001</v>
      </c>
      <c r="E317" s="5">
        <v>500</v>
      </c>
      <c r="F317" s="9" t="s">
        <v>42</v>
      </c>
      <c r="G317" s="4">
        <v>41.7</v>
      </c>
      <c r="H317" s="4">
        <f t="shared" si="40"/>
        <v>41.7</v>
      </c>
      <c r="I317" s="5">
        <v>60</v>
      </c>
      <c r="M317" s="5">
        <f t="shared" si="41"/>
        <v>41.7</v>
      </c>
      <c r="N317" s="5">
        <f t="shared" si="42"/>
        <v>41.7</v>
      </c>
      <c r="O317" s="5">
        <f t="shared" si="43"/>
        <v>41.7</v>
      </c>
      <c r="P317" s="5">
        <f t="shared" si="44"/>
        <v>41.7</v>
      </c>
      <c r="Q317" s="5">
        <f t="shared" si="45"/>
        <v>41.7</v>
      </c>
      <c r="R317" s="5">
        <f t="shared" si="46"/>
        <v>41.7</v>
      </c>
      <c r="S317" s="5">
        <f t="shared" si="47"/>
        <v>41.7</v>
      </c>
      <c r="T317" s="5">
        <f t="shared" si="48"/>
        <v>41.7</v>
      </c>
      <c r="U317" s="5">
        <f t="shared" si="49"/>
        <v>41.7</v>
      </c>
    </row>
    <row r="318" spans="1:21" x14ac:dyDescent="0.25">
      <c r="A318" s="5">
        <v>93142</v>
      </c>
      <c r="B318" s="9" t="s">
        <v>23</v>
      </c>
      <c r="C318" s="6">
        <v>44.448782000000001</v>
      </c>
      <c r="D318" s="6">
        <v>89.527393000000004</v>
      </c>
      <c r="E318" s="5">
        <v>50</v>
      </c>
      <c r="F318" s="9" t="s">
        <v>38</v>
      </c>
      <c r="G318" s="4">
        <v>8.5</v>
      </c>
      <c r="H318" s="4">
        <f t="shared" si="40"/>
        <v>8.5</v>
      </c>
      <c r="I318" s="5">
        <v>120</v>
      </c>
      <c r="M318" s="5">
        <f t="shared" si="41"/>
        <v>8.5</v>
      </c>
      <c r="N318" s="5">
        <f t="shared" si="42"/>
        <v>8.5</v>
      </c>
      <c r="O318" s="5">
        <f t="shared" si="43"/>
        <v>8.5</v>
      </c>
      <c r="P318" s="5">
        <f t="shared" si="44"/>
        <v>8.5</v>
      </c>
      <c r="Q318" s="5">
        <f t="shared" si="45"/>
        <v>8.5</v>
      </c>
      <c r="R318" s="5">
        <f t="shared" si="46"/>
        <v>8.5</v>
      </c>
      <c r="S318" s="5">
        <f t="shared" si="47"/>
        <v>8.5</v>
      </c>
      <c r="T318" s="5">
        <f t="shared" si="48"/>
        <v>8.5</v>
      </c>
      <c r="U318" s="5">
        <f t="shared" si="49"/>
        <v>8.5</v>
      </c>
    </row>
    <row r="319" spans="1:21" x14ac:dyDescent="0.25">
      <c r="A319" s="5">
        <v>93143</v>
      </c>
      <c r="B319" s="9" t="s">
        <v>23</v>
      </c>
      <c r="C319" s="6">
        <v>44.450127999999999</v>
      </c>
      <c r="D319" s="6">
        <v>89.528486999999998</v>
      </c>
      <c r="E319" s="5">
        <v>55</v>
      </c>
      <c r="F319" s="9" t="s">
        <v>38</v>
      </c>
      <c r="G319" s="4">
        <v>0.6</v>
      </c>
      <c r="H319" s="4">
        <f t="shared" si="40"/>
        <v>0.6</v>
      </c>
      <c r="I319" s="5">
        <v>150</v>
      </c>
      <c r="M319" s="5">
        <f t="shared" si="41"/>
        <v>0.6</v>
      </c>
      <c r="N319" s="5">
        <f t="shared" si="42"/>
        <v>0.6</v>
      </c>
      <c r="O319" s="5">
        <f t="shared" si="43"/>
        <v>0.6</v>
      </c>
      <c r="P319" s="5">
        <f t="shared" si="44"/>
        <v>0.6</v>
      </c>
      <c r="Q319" s="5">
        <f t="shared" si="45"/>
        <v>0.6</v>
      </c>
      <c r="R319" s="5">
        <f t="shared" si="46"/>
        <v>0.6</v>
      </c>
      <c r="S319" s="5">
        <f t="shared" si="47"/>
        <v>0.6</v>
      </c>
      <c r="T319" s="5">
        <f t="shared" si="48"/>
        <v>0.6</v>
      </c>
      <c r="U319" s="5">
        <f t="shared" si="49"/>
        <v>0.6</v>
      </c>
    </row>
    <row r="320" spans="1:21" x14ac:dyDescent="0.25">
      <c r="A320" s="5">
        <v>93349</v>
      </c>
      <c r="B320" s="9" t="s">
        <v>23</v>
      </c>
      <c r="C320" s="6">
        <v>44.419649999999997</v>
      </c>
      <c r="D320" s="6">
        <v>89.505939999999995</v>
      </c>
      <c r="E320" s="5">
        <v>600</v>
      </c>
      <c r="F320" s="9" t="s">
        <v>42</v>
      </c>
      <c r="G320" s="4">
        <v>27.2</v>
      </c>
      <c r="H320" s="4">
        <f t="shared" si="40"/>
        <v>27.2</v>
      </c>
      <c r="I320" s="5">
        <v>90</v>
      </c>
      <c r="M320" s="5">
        <f t="shared" si="41"/>
        <v>27.2</v>
      </c>
      <c r="N320" s="5">
        <f t="shared" si="42"/>
        <v>27.2</v>
      </c>
      <c r="O320" s="5">
        <f t="shared" si="43"/>
        <v>27.2</v>
      </c>
      <c r="P320" s="5">
        <f t="shared" si="44"/>
        <v>27.2</v>
      </c>
      <c r="Q320" s="5">
        <f t="shared" si="45"/>
        <v>27.2</v>
      </c>
      <c r="R320" s="5">
        <f t="shared" si="46"/>
        <v>27.2</v>
      </c>
      <c r="S320" s="5">
        <f t="shared" si="47"/>
        <v>27.2</v>
      </c>
      <c r="T320" s="5">
        <f t="shared" si="48"/>
        <v>27.2</v>
      </c>
      <c r="U320" s="5">
        <f t="shared" si="49"/>
        <v>27.2</v>
      </c>
    </row>
    <row r="321" spans="1:21" x14ac:dyDescent="0.25">
      <c r="A321" s="5">
        <v>93422</v>
      </c>
      <c r="B321" s="9" t="s">
        <v>23</v>
      </c>
      <c r="C321" s="6">
        <v>44.470680000000002</v>
      </c>
      <c r="D321" s="6">
        <v>89.309809999999999</v>
      </c>
      <c r="E321" s="5">
        <v>12</v>
      </c>
      <c r="F321" s="9" t="s">
        <v>104</v>
      </c>
      <c r="G321" s="4">
        <v>0.1</v>
      </c>
      <c r="H321" s="4">
        <f t="shared" si="40"/>
        <v>0.1</v>
      </c>
      <c r="I321" s="5">
        <v>365</v>
      </c>
      <c r="M321" s="5">
        <f t="shared" si="41"/>
        <v>0.1</v>
      </c>
      <c r="N321" s="5">
        <f t="shared" si="42"/>
        <v>0.1</v>
      </c>
      <c r="O321" s="5">
        <f t="shared" si="43"/>
        <v>0.1</v>
      </c>
      <c r="P321" s="5">
        <f t="shared" si="44"/>
        <v>0.1</v>
      </c>
      <c r="Q321" s="5">
        <f t="shared" si="45"/>
        <v>0.1</v>
      </c>
      <c r="R321" s="5">
        <f t="shared" si="46"/>
        <v>0.1</v>
      </c>
      <c r="S321" s="5">
        <f t="shared" si="47"/>
        <v>0.1</v>
      </c>
      <c r="T321" s="5">
        <f t="shared" si="48"/>
        <v>0.1</v>
      </c>
      <c r="U321" s="5">
        <f t="shared" si="49"/>
        <v>0.1</v>
      </c>
    </row>
    <row r="322" spans="1:21" x14ac:dyDescent="0.25">
      <c r="A322" s="5">
        <v>93423</v>
      </c>
      <c r="B322" s="9" t="s">
        <v>23</v>
      </c>
      <c r="C322" s="6">
        <v>44.471899999999998</v>
      </c>
      <c r="D322" s="6">
        <v>89.310119999999998</v>
      </c>
      <c r="E322" s="5">
        <v>30</v>
      </c>
      <c r="F322" s="9" t="s">
        <v>104</v>
      </c>
      <c r="G322" s="4">
        <v>0.1</v>
      </c>
      <c r="H322" s="4">
        <f t="shared" si="40"/>
        <v>0.1</v>
      </c>
      <c r="I322" s="5">
        <v>365</v>
      </c>
      <c r="M322" s="5">
        <f t="shared" si="41"/>
        <v>0.1</v>
      </c>
      <c r="N322" s="5">
        <f t="shared" si="42"/>
        <v>0.1</v>
      </c>
      <c r="O322" s="5">
        <f t="shared" si="43"/>
        <v>0.1</v>
      </c>
      <c r="P322" s="5">
        <f t="shared" si="44"/>
        <v>0.1</v>
      </c>
      <c r="Q322" s="5">
        <f t="shared" si="45"/>
        <v>0.1</v>
      </c>
      <c r="R322" s="5">
        <f t="shared" si="46"/>
        <v>0.1</v>
      </c>
      <c r="S322" s="5">
        <f t="shared" si="47"/>
        <v>0.1</v>
      </c>
      <c r="T322" s="5">
        <f t="shared" si="48"/>
        <v>0.1</v>
      </c>
      <c r="U322" s="5">
        <f t="shared" si="49"/>
        <v>0.1</v>
      </c>
    </row>
    <row r="323" spans="1:21" x14ac:dyDescent="0.25">
      <c r="A323" s="5">
        <v>93424</v>
      </c>
      <c r="B323" s="9" t="s">
        <v>23</v>
      </c>
      <c r="C323" s="6">
        <v>44.471319999999999</v>
      </c>
      <c r="D323" s="6">
        <v>89.310820000000007</v>
      </c>
      <c r="E323" s="5">
        <v>65</v>
      </c>
      <c r="F323" s="9" t="s">
        <v>105</v>
      </c>
      <c r="G323" s="4">
        <v>0.2</v>
      </c>
      <c r="H323" s="4">
        <f t="shared" ref="H323:H328" si="50">Q323</f>
        <v>0.2</v>
      </c>
      <c r="I323" s="5">
        <v>210</v>
      </c>
      <c r="M323" s="5">
        <f t="shared" ref="M323:M328" si="51">IF($G323&gt;=50, $G323*0.9,$G323)</f>
        <v>0.2</v>
      </c>
      <c r="N323" s="5">
        <f t="shared" ref="N323:N328" si="52">IF($G323&gt;=50, $G323*0.8,$G323)</f>
        <v>0.2</v>
      </c>
      <c r="O323" s="5">
        <f t="shared" ref="O323:O328" si="53">IF($G323&gt;=50, $G323*0.7,$G323)</f>
        <v>0.2</v>
      </c>
      <c r="P323" s="5">
        <f t="shared" ref="P323:P328" si="54">IF($G323&gt;=50, $G323*0.6,$G323)</f>
        <v>0.2</v>
      </c>
      <c r="Q323" s="5">
        <f t="shared" ref="Q323:Q328" si="55">IF($G323&gt;=50, $G323*0.5,$G323)</f>
        <v>0.2</v>
      </c>
      <c r="R323" s="5">
        <f t="shared" ref="R323:R328" si="56">IF($G323&gt;=50, $G323*0.4,$G323)</f>
        <v>0.2</v>
      </c>
      <c r="S323" s="5">
        <f t="shared" ref="S323:S328" si="57">IF($G323&gt;=50, $G323*0.3,$G323)</f>
        <v>0.2</v>
      </c>
      <c r="T323" s="5">
        <f t="shared" ref="T323:T328" si="58">IF($G323&gt;=50, $G323*0.2,$G323)</f>
        <v>0.2</v>
      </c>
      <c r="U323" s="5">
        <f t="shared" ref="U323:U328" si="59">IF($G323&gt;=50, $G323*0.1,$G323)</f>
        <v>0.2</v>
      </c>
    </row>
    <row r="324" spans="1:21" x14ac:dyDescent="0.25">
      <c r="A324" s="5">
        <v>93469</v>
      </c>
      <c r="B324" s="9" t="s">
        <v>23</v>
      </c>
      <c r="C324" s="6">
        <v>44.469700000000003</v>
      </c>
      <c r="D324" s="6">
        <v>89.446399999999997</v>
      </c>
      <c r="E324" s="5">
        <v>1000</v>
      </c>
      <c r="F324" s="9" t="s">
        <v>42</v>
      </c>
      <c r="G324" s="4">
        <v>158.19999999999999</v>
      </c>
      <c r="H324" s="4">
        <f t="shared" si="50"/>
        <v>79.099999999999994</v>
      </c>
      <c r="I324" s="5">
        <v>60</v>
      </c>
      <c r="M324" s="5">
        <f t="shared" si="51"/>
        <v>142.38</v>
      </c>
      <c r="N324" s="5">
        <f t="shared" si="52"/>
        <v>126.56</v>
      </c>
      <c r="O324" s="5">
        <f t="shared" si="53"/>
        <v>110.73999999999998</v>
      </c>
      <c r="P324" s="5">
        <f t="shared" si="54"/>
        <v>94.919999999999987</v>
      </c>
      <c r="Q324" s="5">
        <f t="shared" si="55"/>
        <v>79.099999999999994</v>
      </c>
      <c r="R324" s="5">
        <f t="shared" si="56"/>
        <v>63.28</v>
      </c>
      <c r="S324" s="5">
        <f t="shared" si="57"/>
        <v>47.459999999999994</v>
      </c>
      <c r="T324" s="5">
        <f t="shared" si="58"/>
        <v>31.64</v>
      </c>
      <c r="U324" s="5">
        <f t="shared" si="59"/>
        <v>15.82</v>
      </c>
    </row>
    <row r="325" spans="1:21" x14ac:dyDescent="0.25">
      <c r="A325" s="5">
        <v>93832</v>
      </c>
      <c r="B325" s="9" t="s">
        <v>23</v>
      </c>
      <c r="C325" s="6">
        <v>44.464700000000001</v>
      </c>
      <c r="D325" s="6">
        <v>89.297700000000006</v>
      </c>
      <c r="E325" s="5">
        <v>1000</v>
      </c>
      <c r="F325" s="9" t="s">
        <v>42</v>
      </c>
      <c r="G325" s="4">
        <v>14.6</v>
      </c>
      <c r="H325" s="4">
        <f t="shared" si="50"/>
        <v>14.6</v>
      </c>
      <c r="I325" s="5">
        <v>60</v>
      </c>
      <c r="M325" s="5">
        <f t="shared" si="51"/>
        <v>14.6</v>
      </c>
      <c r="N325" s="5">
        <f t="shared" si="52"/>
        <v>14.6</v>
      </c>
      <c r="O325" s="5">
        <f t="shared" si="53"/>
        <v>14.6</v>
      </c>
      <c r="P325" s="5">
        <f t="shared" si="54"/>
        <v>14.6</v>
      </c>
      <c r="Q325" s="5">
        <f t="shared" si="55"/>
        <v>14.6</v>
      </c>
      <c r="R325" s="5">
        <f t="shared" si="56"/>
        <v>14.6</v>
      </c>
      <c r="S325" s="5">
        <f t="shared" si="57"/>
        <v>14.6</v>
      </c>
      <c r="T325" s="5">
        <f t="shared" si="58"/>
        <v>14.6</v>
      </c>
      <c r="U325" s="5">
        <f t="shared" si="59"/>
        <v>14.6</v>
      </c>
    </row>
    <row r="326" spans="1:21" x14ac:dyDescent="0.25">
      <c r="A326" s="5">
        <v>94302</v>
      </c>
      <c r="B326" s="9" t="s">
        <v>23</v>
      </c>
      <c r="C326" s="6">
        <v>44.497599999999998</v>
      </c>
      <c r="D326" s="6">
        <v>89.483500000000006</v>
      </c>
      <c r="E326" s="5">
        <v>1000</v>
      </c>
      <c r="F326" s="9" t="s">
        <v>20</v>
      </c>
      <c r="G326" s="4">
        <v>148.9</v>
      </c>
      <c r="H326" s="4">
        <f t="shared" si="50"/>
        <v>74.45</v>
      </c>
      <c r="I326" s="5">
        <v>120</v>
      </c>
      <c r="M326" s="5">
        <f t="shared" si="51"/>
        <v>134.01000000000002</v>
      </c>
      <c r="N326" s="5">
        <f t="shared" si="52"/>
        <v>119.12</v>
      </c>
      <c r="O326" s="5">
        <f t="shared" si="53"/>
        <v>104.23</v>
      </c>
      <c r="P326" s="5">
        <f t="shared" si="54"/>
        <v>89.34</v>
      </c>
      <c r="Q326" s="5">
        <f t="shared" si="55"/>
        <v>74.45</v>
      </c>
      <c r="R326" s="5">
        <f t="shared" si="56"/>
        <v>59.56</v>
      </c>
      <c r="S326" s="5">
        <f t="shared" si="57"/>
        <v>44.67</v>
      </c>
      <c r="T326" s="5">
        <f t="shared" si="58"/>
        <v>29.78</v>
      </c>
      <c r="U326" s="5">
        <f t="shared" si="59"/>
        <v>14.89</v>
      </c>
    </row>
    <row r="327" spans="1:21" x14ac:dyDescent="0.25">
      <c r="A327" s="5">
        <v>94988</v>
      </c>
      <c r="B327" s="9" t="s">
        <v>23</v>
      </c>
      <c r="C327" s="6">
        <v>44.545631999999998</v>
      </c>
      <c r="D327" s="6">
        <v>89.396868999999995</v>
      </c>
      <c r="E327" s="5">
        <v>20</v>
      </c>
      <c r="F327" s="9" t="s">
        <v>106</v>
      </c>
      <c r="G327" s="4">
        <v>11.1</v>
      </c>
      <c r="H327" s="4">
        <f t="shared" si="50"/>
        <v>11.1</v>
      </c>
      <c r="I327" s="5">
        <v>180</v>
      </c>
      <c r="M327" s="5">
        <f t="shared" si="51"/>
        <v>11.1</v>
      </c>
      <c r="N327" s="5">
        <f t="shared" si="52"/>
        <v>11.1</v>
      </c>
      <c r="O327" s="5">
        <f t="shared" si="53"/>
        <v>11.1</v>
      </c>
      <c r="P327" s="5">
        <f t="shared" si="54"/>
        <v>11.1</v>
      </c>
      <c r="Q327" s="5">
        <f t="shared" si="55"/>
        <v>11.1</v>
      </c>
      <c r="R327" s="5">
        <f t="shared" si="56"/>
        <v>11.1</v>
      </c>
      <c r="S327" s="5">
        <f t="shared" si="57"/>
        <v>11.1</v>
      </c>
      <c r="T327" s="5">
        <f t="shared" si="58"/>
        <v>11.1</v>
      </c>
      <c r="U327" s="5">
        <f t="shared" si="59"/>
        <v>11.1</v>
      </c>
    </row>
    <row r="328" spans="1:21" x14ac:dyDescent="0.25">
      <c r="A328" s="5">
        <v>95068</v>
      </c>
      <c r="B328" s="9" t="s">
        <v>23</v>
      </c>
      <c r="C328" s="6">
        <v>44.419800000000002</v>
      </c>
      <c r="D328" s="6">
        <v>89.446200000000005</v>
      </c>
      <c r="F328" s="9" t="s">
        <v>20</v>
      </c>
      <c r="G328" s="4">
        <v>40.299999999999997</v>
      </c>
      <c r="H328" s="4">
        <f t="shared" si="50"/>
        <v>40.299999999999997</v>
      </c>
      <c r="I328" s="5">
        <v>30</v>
      </c>
      <c r="M328" s="5">
        <f t="shared" si="51"/>
        <v>40.299999999999997</v>
      </c>
      <c r="N328" s="5">
        <f t="shared" si="52"/>
        <v>40.299999999999997</v>
      </c>
      <c r="O328" s="5">
        <f t="shared" si="53"/>
        <v>40.299999999999997</v>
      </c>
      <c r="P328" s="5">
        <f t="shared" si="54"/>
        <v>40.299999999999997</v>
      </c>
      <c r="Q328" s="5">
        <f t="shared" si="55"/>
        <v>40.299999999999997</v>
      </c>
      <c r="R328" s="5">
        <f t="shared" si="56"/>
        <v>40.299999999999997</v>
      </c>
      <c r="S328" s="5">
        <f t="shared" si="57"/>
        <v>40.299999999999997</v>
      </c>
      <c r="T328" s="5">
        <f t="shared" si="58"/>
        <v>40.299999999999997</v>
      </c>
      <c r="U328" s="5">
        <f t="shared" si="59"/>
        <v>40.299999999999997</v>
      </c>
    </row>
  </sheetData>
  <sortState xmlns:xlrd2="http://schemas.microsoft.com/office/spreadsheetml/2017/richdata2" ref="A2:I99">
    <sortCondition descending="1" ref="G2:G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3A9-37D4-4D8F-886D-4CA0FCB9CC40}">
  <dimension ref="A1:G328"/>
  <sheetViews>
    <sheetView zoomScale="93" zoomScaleNormal="130" workbookViewId="0">
      <selection activeCell="I1" sqref="I1:J1048576"/>
    </sheetView>
  </sheetViews>
  <sheetFormatPr defaultColWidth="8.85546875" defaultRowHeight="15" x14ac:dyDescent="0.25"/>
  <cols>
    <col min="1" max="1" width="14.42578125" bestFit="1" customWidth="1"/>
    <col min="2" max="2" width="44.140625" customWidth="1"/>
    <col min="3" max="3" width="12.5703125" bestFit="1" customWidth="1"/>
    <col min="4" max="4" width="14.42578125" customWidth="1"/>
    <col min="5" max="5" width="17.42578125" bestFit="1" customWidth="1"/>
    <col min="6" max="6" width="11.42578125" customWidth="1"/>
    <col min="7" max="7" width="42.14062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17</v>
      </c>
    </row>
    <row r="2" spans="1:7" x14ac:dyDescent="0.25">
      <c r="A2" t="s">
        <v>14</v>
      </c>
      <c r="B2" t="s">
        <v>107</v>
      </c>
      <c r="C2">
        <v>44.46808</v>
      </c>
      <c r="D2">
        <v>89.487683000000004</v>
      </c>
      <c r="E2">
        <v>0.5086297773758871</v>
      </c>
      <c r="F2">
        <v>418</v>
      </c>
    </row>
    <row r="3" spans="1:7" x14ac:dyDescent="0.25">
      <c r="A3" t="s">
        <v>14</v>
      </c>
      <c r="B3" t="s">
        <v>107</v>
      </c>
      <c r="C3">
        <v>44.468649999999997</v>
      </c>
      <c r="D3">
        <v>89.493589999999998</v>
      </c>
      <c r="E3">
        <v>0.8222489998507545</v>
      </c>
      <c r="F3">
        <v>466</v>
      </c>
    </row>
    <row r="4" spans="1:7" x14ac:dyDescent="0.25">
      <c r="A4" t="s">
        <v>14</v>
      </c>
      <c r="B4" t="s">
        <v>107</v>
      </c>
      <c r="C4">
        <v>44.468649999999997</v>
      </c>
      <c r="D4">
        <v>89.493589999999998</v>
      </c>
      <c r="E4">
        <v>0.76892381564165424</v>
      </c>
      <c r="F4">
        <v>467</v>
      </c>
    </row>
    <row r="5" spans="1:7" x14ac:dyDescent="0.25">
      <c r="A5" t="s">
        <v>14</v>
      </c>
      <c r="B5" t="s">
        <v>107</v>
      </c>
      <c r="C5">
        <v>44.472700000000003</v>
      </c>
      <c r="D5">
        <v>89.481650000000002</v>
      </c>
      <c r="E5">
        <v>7.5375132348801138E-2</v>
      </c>
      <c r="F5">
        <v>490</v>
      </c>
    </row>
    <row r="6" spans="1:7" x14ac:dyDescent="0.25">
      <c r="A6" t="s">
        <v>14</v>
      </c>
      <c r="B6" t="s">
        <v>107</v>
      </c>
      <c r="C6">
        <v>44.47533</v>
      </c>
      <c r="D6">
        <v>89.479609999999994</v>
      </c>
      <c r="E6">
        <v>0.29007512943096431</v>
      </c>
      <c r="F6">
        <v>509</v>
      </c>
    </row>
    <row r="7" spans="1:7" x14ac:dyDescent="0.25">
      <c r="A7" t="s">
        <v>14</v>
      </c>
      <c r="B7" t="s">
        <v>107</v>
      </c>
      <c r="C7">
        <v>44.472119999999997</v>
      </c>
      <c r="D7">
        <v>89.482460000000003</v>
      </c>
      <c r="E7">
        <v>5.7799504582583941E-2</v>
      </c>
      <c r="F7">
        <v>602</v>
      </c>
    </row>
    <row r="8" spans="1:7" x14ac:dyDescent="0.25">
      <c r="A8" t="s">
        <v>14</v>
      </c>
      <c r="B8" t="s">
        <v>107</v>
      </c>
      <c r="C8">
        <v>44.472119999999997</v>
      </c>
      <c r="D8">
        <v>89.482460000000003</v>
      </c>
      <c r="E8">
        <v>6.0260084715511197E-2</v>
      </c>
      <c r="F8">
        <v>603</v>
      </c>
    </row>
    <row r="9" spans="1:7" x14ac:dyDescent="0.25">
      <c r="A9" t="s">
        <v>14</v>
      </c>
      <c r="B9" t="s">
        <v>107</v>
      </c>
      <c r="C9">
        <v>44.468620000000001</v>
      </c>
      <c r="D9">
        <v>89.484920000000002</v>
      </c>
      <c r="E9">
        <v>0.15010364370278895</v>
      </c>
      <c r="F9">
        <v>798</v>
      </c>
    </row>
    <row r="10" spans="1:7" x14ac:dyDescent="0.25">
      <c r="A10" t="s">
        <v>14</v>
      </c>
      <c r="B10" t="s">
        <v>107</v>
      </c>
      <c r="C10">
        <v>44.468299999999999</v>
      </c>
      <c r="D10">
        <v>89.488460000000003</v>
      </c>
      <c r="E10">
        <v>0.31086549132831326</v>
      </c>
      <c r="F10">
        <v>807</v>
      </c>
    </row>
    <row r="11" spans="1:7" x14ac:dyDescent="0.25">
      <c r="A11" t="s">
        <v>14</v>
      </c>
      <c r="B11" t="s">
        <v>107</v>
      </c>
      <c r="C11">
        <v>44.475450000000002</v>
      </c>
      <c r="D11">
        <v>89.479529999999997</v>
      </c>
      <c r="E11">
        <v>8.544106976219297E-2</v>
      </c>
      <c r="F11">
        <v>850</v>
      </c>
    </row>
    <row r="12" spans="1:7" x14ac:dyDescent="0.25">
      <c r="A12" t="s">
        <v>14</v>
      </c>
      <c r="B12" t="s">
        <v>107</v>
      </c>
      <c r="C12">
        <v>44.47533</v>
      </c>
      <c r="D12">
        <v>89.479609999999994</v>
      </c>
      <c r="E12">
        <v>0.28989901175512073</v>
      </c>
      <c r="F12">
        <v>862</v>
      </c>
    </row>
    <row r="13" spans="1:7" x14ac:dyDescent="0.25">
      <c r="A13" t="s">
        <v>14</v>
      </c>
      <c r="B13" t="s">
        <v>107</v>
      </c>
      <c r="C13">
        <v>44.472119999999997</v>
      </c>
      <c r="D13">
        <v>89.482460000000003</v>
      </c>
      <c r="E13">
        <v>3.0394975172589159E-2</v>
      </c>
      <c r="F13">
        <v>1013</v>
      </c>
    </row>
    <row r="14" spans="1:7" x14ac:dyDescent="0.25">
      <c r="A14" t="s">
        <v>14</v>
      </c>
      <c r="B14" t="s">
        <v>107</v>
      </c>
      <c r="C14">
        <v>44.481119999999997</v>
      </c>
      <c r="D14">
        <v>89.479669999999999</v>
      </c>
      <c r="E14">
        <v>9.2346275482531201E-2</v>
      </c>
      <c r="F14">
        <v>1302</v>
      </c>
    </row>
    <row r="15" spans="1:7" x14ac:dyDescent="0.25">
      <c r="A15" t="s">
        <v>14</v>
      </c>
      <c r="B15" t="s">
        <v>107</v>
      </c>
      <c r="C15">
        <v>44.475700000000003</v>
      </c>
      <c r="D15">
        <v>89.479529999999997</v>
      </c>
      <c r="E15">
        <v>0.31052422989299905</v>
      </c>
      <c r="F15">
        <v>1323</v>
      </c>
    </row>
    <row r="16" spans="1:7" x14ac:dyDescent="0.25">
      <c r="A16" t="s">
        <v>14</v>
      </c>
      <c r="B16" t="s">
        <v>107</v>
      </c>
      <c r="C16">
        <v>44.475700000000003</v>
      </c>
      <c r="D16">
        <v>89.479529999999997</v>
      </c>
      <c r="E16">
        <v>0.49750843256263944</v>
      </c>
      <c r="F16">
        <v>1486</v>
      </c>
    </row>
    <row r="17" spans="1:6" x14ac:dyDescent="0.25">
      <c r="A17" t="s">
        <v>14</v>
      </c>
      <c r="B17" t="s">
        <v>107</v>
      </c>
      <c r="C17">
        <v>44.475700000000003</v>
      </c>
      <c r="D17">
        <v>89.479529999999997</v>
      </c>
      <c r="E17">
        <v>0.7717347134308602</v>
      </c>
      <c r="F17">
        <v>1584</v>
      </c>
    </row>
    <row r="18" spans="1:6" x14ac:dyDescent="0.25">
      <c r="A18" t="s">
        <v>14</v>
      </c>
      <c r="B18" t="s">
        <v>107</v>
      </c>
      <c r="C18">
        <v>44.468020000000003</v>
      </c>
      <c r="D18">
        <v>89.486630000000005</v>
      </c>
      <c r="E18">
        <v>0.15804709469691988</v>
      </c>
      <c r="F18">
        <v>1589</v>
      </c>
    </row>
    <row r="19" spans="1:6" x14ac:dyDescent="0.25">
      <c r="A19" t="s">
        <v>14</v>
      </c>
      <c r="B19" t="s">
        <v>107</v>
      </c>
      <c r="C19">
        <v>44.470410000000001</v>
      </c>
      <c r="D19">
        <v>89.511759999999995</v>
      </c>
      <c r="E19">
        <v>0.16254490993016985</v>
      </c>
      <c r="F19">
        <v>1643</v>
      </c>
    </row>
    <row r="20" spans="1:6" x14ac:dyDescent="0.25">
      <c r="A20" t="s">
        <v>14</v>
      </c>
      <c r="B20" t="s">
        <v>107</v>
      </c>
      <c r="C20">
        <v>44.468020000000003</v>
      </c>
      <c r="D20">
        <v>89.486630000000005</v>
      </c>
      <c r="E20">
        <v>0.1544936977568897</v>
      </c>
      <c r="F20">
        <v>1683</v>
      </c>
    </row>
    <row r="21" spans="1:6" x14ac:dyDescent="0.25">
      <c r="A21" t="s">
        <v>14</v>
      </c>
      <c r="B21" t="s">
        <v>107</v>
      </c>
      <c r="C21">
        <v>44.475769999999997</v>
      </c>
      <c r="D21">
        <v>89.479730000000004</v>
      </c>
      <c r="E21">
        <v>0.19241263468065123</v>
      </c>
      <c r="F21">
        <v>1860</v>
      </c>
    </row>
    <row r="22" spans="1:6" x14ac:dyDescent="0.25">
      <c r="A22" t="s">
        <v>14</v>
      </c>
      <c r="B22" t="s">
        <v>107</v>
      </c>
      <c r="C22">
        <v>44.48254</v>
      </c>
      <c r="D22">
        <v>89.479399999999998</v>
      </c>
      <c r="E22">
        <v>0.43503901950023305</v>
      </c>
      <c r="F22">
        <v>2544</v>
      </c>
    </row>
    <row r="23" spans="1:6" x14ac:dyDescent="0.25">
      <c r="A23" t="s">
        <v>14</v>
      </c>
      <c r="B23" t="s">
        <v>107</v>
      </c>
      <c r="C23">
        <v>44.467849999999999</v>
      </c>
      <c r="D23">
        <v>89.487679999999997</v>
      </c>
      <c r="E23">
        <v>0.10673235774223354</v>
      </c>
      <c r="F23">
        <v>2750</v>
      </c>
    </row>
    <row r="24" spans="1:6" x14ac:dyDescent="0.25">
      <c r="A24" t="s">
        <v>14</v>
      </c>
      <c r="B24" t="s">
        <v>107</v>
      </c>
      <c r="C24">
        <v>44.470669999999998</v>
      </c>
      <c r="D24">
        <v>89.514169999999993</v>
      </c>
      <c r="E24">
        <v>0.26818685124389402</v>
      </c>
      <c r="F24">
        <v>2886</v>
      </c>
    </row>
    <row r="25" spans="1:6" x14ac:dyDescent="0.25">
      <c r="A25" t="s">
        <v>14</v>
      </c>
      <c r="B25" t="s">
        <v>107</v>
      </c>
      <c r="C25">
        <v>44.481119999999997</v>
      </c>
      <c r="D25">
        <v>89.479669999999999</v>
      </c>
      <c r="E25">
        <v>9.8412538516134337E-2</v>
      </c>
      <c r="F25">
        <v>3473</v>
      </c>
    </row>
    <row r="26" spans="1:6" x14ac:dyDescent="0.25">
      <c r="A26" t="s">
        <v>14</v>
      </c>
      <c r="B26" t="s">
        <v>107</v>
      </c>
      <c r="C26">
        <v>44.48272</v>
      </c>
      <c r="D26">
        <v>89.479929999999996</v>
      </c>
      <c r="E26">
        <v>0.51125336145397482</v>
      </c>
      <c r="F26">
        <v>3949</v>
      </c>
    </row>
    <row r="27" spans="1:6" x14ac:dyDescent="0.25">
      <c r="A27" t="s">
        <v>14</v>
      </c>
      <c r="B27" t="s">
        <v>107</v>
      </c>
      <c r="C27">
        <v>44.48272</v>
      </c>
      <c r="D27">
        <v>89.479929999999996</v>
      </c>
      <c r="E27">
        <v>0.23763552383150552</v>
      </c>
      <c r="F27">
        <v>4171</v>
      </c>
    </row>
    <row r="28" spans="1:6" x14ac:dyDescent="0.25">
      <c r="A28" t="s">
        <v>14</v>
      </c>
      <c r="B28" t="s">
        <v>107</v>
      </c>
      <c r="C28">
        <v>44.469299999999997</v>
      </c>
      <c r="D28">
        <v>89.482860000000002</v>
      </c>
      <c r="E28">
        <v>0.46832337262186169</v>
      </c>
      <c r="F28">
        <v>23610</v>
      </c>
    </row>
    <row r="29" spans="1:6" x14ac:dyDescent="0.25">
      <c r="A29" t="s">
        <v>14</v>
      </c>
      <c r="B29" t="s">
        <v>107</v>
      </c>
      <c r="C29">
        <v>44.471870000000003</v>
      </c>
      <c r="D29">
        <v>89.517060000000001</v>
      </c>
      <c r="E29">
        <v>0.51971481282057252</v>
      </c>
      <c r="F29">
        <v>23611</v>
      </c>
    </row>
    <row r="30" spans="1:6" x14ac:dyDescent="0.25">
      <c r="A30" t="s">
        <v>14</v>
      </c>
      <c r="B30" t="s">
        <v>107</v>
      </c>
      <c r="C30">
        <v>44.471870000000003</v>
      </c>
      <c r="D30">
        <v>89.517060000000001</v>
      </c>
      <c r="E30">
        <v>0.47184033145340548</v>
      </c>
      <c r="F30">
        <v>23618</v>
      </c>
    </row>
    <row r="31" spans="1:6" x14ac:dyDescent="0.25">
      <c r="A31" t="s">
        <v>14</v>
      </c>
      <c r="B31" t="s">
        <v>107</v>
      </c>
      <c r="C31">
        <v>44.472119999999997</v>
      </c>
      <c r="D31">
        <v>89.482460000000003</v>
      </c>
      <c r="E31">
        <v>7.2684646536340131E-2</v>
      </c>
      <c r="F31">
        <v>23620</v>
      </c>
    </row>
    <row r="32" spans="1:6" x14ac:dyDescent="0.25">
      <c r="A32" t="s">
        <v>14</v>
      </c>
      <c r="B32" t="s">
        <v>107</v>
      </c>
      <c r="C32">
        <v>44.473689999999998</v>
      </c>
      <c r="D32">
        <v>89.480900000000005</v>
      </c>
      <c r="E32">
        <v>0.94060884667891864</v>
      </c>
      <c r="F32">
        <v>23627</v>
      </c>
    </row>
    <row r="33" spans="1:6" x14ac:dyDescent="0.25">
      <c r="A33" t="s">
        <v>14</v>
      </c>
      <c r="B33" t="s">
        <v>107</v>
      </c>
      <c r="C33">
        <v>44.468649999999997</v>
      </c>
      <c r="D33">
        <v>89.498069999999998</v>
      </c>
      <c r="E33">
        <v>0.22249205379706793</v>
      </c>
      <c r="F33">
        <v>23629</v>
      </c>
    </row>
    <row r="34" spans="1:6" x14ac:dyDescent="0.25">
      <c r="A34" t="s">
        <v>14</v>
      </c>
      <c r="B34" t="s">
        <v>107</v>
      </c>
      <c r="C34">
        <v>44.470410000000001</v>
      </c>
      <c r="D34">
        <v>89.511759999999995</v>
      </c>
      <c r="E34">
        <v>0.20855641577902023</v>
      </c>
      <c r="F34">
        <v>23630</v>
      </c>
    </row>
    <row r="35" spans="1:6" x14ac:dyDescent="0.25">
      <c r="A35" t="s">
        <v>14</v>
      </c>
      <c r="B35" t="s">
        <v>107</v>
      </c>
      <c r="C35">
        <v>44.468649999999997</v>
      </c>
      <c r="D35">
        <v>89.498069999999998</v>
      </c>
      <c r="E35">
        <v>0.26043715471049006</v>
      </c>
      <c r="F35">
        <v>23631</v>
      </c>
    </row>
    <row r="36" spans="1:6" x14ac:dyDescent="0.25">
      <c r="A36" t="s">
        <v>14</v>
      </c>
      <c r="B36" t="s">
        <v>107</v>
      </c>
      <c r="C36">
        <v>44.481119999999997</v>
      </c>
      <c r="D36">
        <v>89.479669999999999</v>
      </c>
      <c r="E36">
        <v>9.7576671470016155E-2</v>
      </c>
      <c r="F36">
        <v>23635</v>
      </c>
    </row>
    <row r="37" spans="1:6" x14ac:dyDescent="0.25">
      <c r="A37" t="s">
        <v>14</v>
      </c>
      <c r="B37" t="s">
        <v>107</v>
      </c>
      <c r="C37">
        <v>44.481119999999997</v>
      </c>
      <c r="D37">
        <v>89.479669999999999</v>
      </c>
      <c r="E37">
        <v>9.335780311892701E-2</v>
      </c>
      <c r="F37">
        <v>23637</v>
      </c>
    </row>
    <row r="38" spans="1:6" x14ac:dyDescent="0.25">
      <c r="A38" t="s">
        <v>14</v>
      </c>
      <c r="B38" t="s">
        <v>107</v>
      </c>
      <c r="C38">
        <v>44.475540000000002</v>
      </c>
      <c r="D38">
        <v>89.479789999999994</v>
      </c>
      <c r="E38">
        <v>0.57910297467483196</v>
      </c>
      <c r="F38">
        <v>23638</v>
      </c>
    </row>
    <row r="39" spans="1:6" x14ac:dyDescent="0.25">
      <c r="A39" t="s">
        <v>14</v>
      </c>
      <c r="B39" t="s">
        <v>107</v>
      </c>
      <c r="C39">
        <v>44.471739999999997</v>
      </c>
      <c r="D39">
        <v>89.518829999999994</v>
      </c>
      <c r="E39">
        <v>0.28894768901524959</v>
      </c>
      <c r="F39">
        <v>23639</v>
      </c>
    </row>
    <row r="40" spans="1:6" x14ac:dyDescent="0.25">
      <c r="A40" t="s">
        <v>14</v>
      </c>
      <c r="B40" t="s">
        <v>107</v>
      </c>
      <c r="C40">
        <v>44.470440000000004</v>
      </c>
      <c r="D40">
        <v>89.513620000000003</v>
      </c>
      <c r="E40">
        <v>0.71778570411528075</v>
      </c>
      <c r="F40">
        <v>23645</v>
      </c>
    </row>
    <row r="41" spans="1:6" x14ac:dyDescent="0.25">
      <c r="A41" t="s">
        <v>14</v>
      </c>
      <c r="B41" t="s">
        <v>107</v>
      </c>
      <c r="C41">
        <v>44.470440000000004</v>
      </c>
      <c r="D41">
        <v>89.513620000000003</v>
      </c>
      <c r="E41">
        <v>0.56415220667442956</v>
      </c>
      <c r="F41">
        <v>23646</v>
      </c>
    </row>
    <row r="42" spans="1:6" x14ac:dyDescent="0.25">
      <c r="A42" t="s">
        <v>14</v>
      </c>
      <c r="B42" t="s">
        <v>107</v>
      </c>
      <c r="C42">
        <v>44.481119999999997</v>
      </c>
      <c r="D42">
        <v>89.479669999999999</v>
      </c>
      <c r="E42">
        <v>9.672619163747756E-2</v>
      </c>
      <c r="F42">
        <v>23648</v>
      </c>
    </row>
    <row r="43" spans="1:6" x14ac:dyDescent="0.25">
      <c r="A43" t="s">
        <v>14</v>
      </c>
      <c r="B43" t="s">
        <v>107</v>
      </c>
      <c r="C43">
        <v>44.468710000000002</v>
      </c>
      <c r="D43">
        <v>89.499610000000004</v>
      </c>
      <c r="E43">
        <v>0.91342504829174131</v>
      </c>
      <c r="F43">
        <v>23653</v>
      </c>
    </row>
    <row r="44" spans="1:6" x14ac:dyDescent="0.25">
      <c r="A44" t="s">
        <v>14</v>
      </c>
      <c r="B44" t="s">
        <v>107</v>
      </c>
      <c r="C44">
        <v>44.470410000000001</v>
      </c>
      <c r="D44">
        <v>89.511759999999995</v>
      </c>
      <c r="E44">
        <v>0.20715064278818093</v>
      </c>
      <c r="F44">
        <v>23695</v>
      </c>
    </row>
    <row r="45" spans="1:6" x14ac:dyDescent="0.25">
      <c r="A45" t="s">
        <v>14</v>
      </c>
      <c r="B45" t="s">
        <v>107</v>
      </c>
      <c r="C45">
        <v>44.472119999999997</v>
      </c>
      <c r="D45">
        <v>89.482460000000003</v>
      </c>
      <c r="E45">
        <v>9.2919167022749716E-2</v>
      </c>
      <c r="F45">
        <v>23697</v>
      </c>
    </row>
    <row r="46" spans="1:6" x14ac:dyDescent="0.25">
      <c r="A46" t="s">
        <v>14</v>
      </c>
      <c r="B46" t="s">
        <v>107</v>
      </c>
      <c r="C46">
        <v>44.472119999999997</v>
      </c>
      <c r="D46">
        <v>89.482460000000003</v>
      </c>
      <c r="E46">
        <v>0.10239969557015551</v>
      </c>
      <c r="F46">
        <v>23698</v>
      </c>
    </row>
    <row r="47" spans="1:6" x14ac:dyDescent="0.25">
      <c r="A47" t="s">
        <v>14</v>
      </c>
      <c r="B47" t="s">
        <v>107</v>
      </c>
      <c r="C47">
        <v>44.481119999999997</v>
      </c>
      <c r="D47">
        <v>89.479669999999999</v>
      </c>
      <c r="E47">
        <v>8.5678791947425337E-2</v>
      </c>
      <c r="F47">
        <v>23699</v>
      </c>
    </row>
    <row r="48" spans="1:6" x14ac:dyDescent="0.25">
      <c r="A48" t="s">
        <v>14</v>
      </c>
      <c r="B48" t="s">
        <v>107</v>
      </c>
      <c r="C48">
        <v>44.481119999999997</v>
      </c>
      <c r="D48">
        <v>89.479669999999999</v>
      </c>
      <c r="E48">
        <v>0.10719327421057422</v>
      </c>
      <c r="F48">
        <v>23700</v>
      </c>
    </row>
    <row r="49" spans="1:6" x14ac:dyDescent="0.25">
      <c r="A49" t="s">
        <v>14</v>
      </c>
      <c r="B49" t="s">
        <v>107</v>
      </c>
      <c r="C49">
        <v>44.475769999999997</v>
      </c>
      <c r="D49">
        <v>89.479730000000004</v>
      </c>
      <c r="E49">
        <v>0.19922343050237126</v>
      </c>
      <c r="F49">
        <v>23709</v>
      </c>
    </row>
    <row r="50" spans="1:6" x14ac:dyDescent="0.25">
      <c r="A50" t="s">
        <v>14</v>
      </c>
      <c r="B50" t="s">
        <v>107</v>
      </c>
      <c r="C50">
        <v>44.467849999999999</v>
      </c>
      <c r="D50">
        <v>89.487679999999997</v>
      </c>
      <c r="E50">
        <v>8.687500708940199E-2</v>
      </c>
      <c r="F50">
        <v>23710</v>
      </c>
    </row>
    <row r="51" spans="1:6" ht="17.25" customHeight="1" x14ac:dyDescent="0.25">
      <c r="A51" t="s">
        <v>14</v>
      </c>
      <c r="B51" t="s">
        <v>107</v>
      </c>
      <c r="C51">
        <v>44.481119999999997</v>
      </c>
      <c r="D51">
        <v>89.479669999999999</v>
      </c>
      <c r="E51">
        <v>0.1666201516272614</v>
      </c>
      <c r="F51">
        <v>23715</v>
      </c>
    </row>
    <row r="52" spans="1:6" x14ac:dyDescent="0.25">
      <c r="A52" t="s">
        <v>14</v>
      </c>
      <c r="B52" t="s">
        <v>107</v>
      </c>
      <c r="C52">
        <v>44.481119999999997</v>
      </c>
      <c r="D52">
        <v>89.479669999999999</v>
      </c>
      <c r="E52">
        <v>0.15214940382175327</v>
      </c>
      <c r="F52">
        <v>23716</v>
      </c>
    </row>
    <row r="53" spans="1:6" x14ac:dyDescent="0.25">
      <c r="A53" t="s">
        <v>14</v>
      </c>
      <c r="B53" t="s">
        <v>107</v>
      </c>
      <c r="C53">
        <v>44.472470000000001</v>
      </c>
      <c r="D53">
        <v>89.532640000000001</v>
      </c>
      <c r="E53">
        <v>0.28446078532085511</v>
      </c>
      <c r="F53">
        <v>23720</v>
      </c>
    </row>
    <row r="54" spans="1:6" x14ac:dyDescent="0.25">
      <c r="A54" t="s">
        <v>14</v>
      </c>
      <c r="B54" t="s">
        <v>107</v>
      </c>
      <c r="C54">
        <v>44.472470000000001</v>
      </c>
      <c r="D54">
        <v>89.532640000000001</v>
      </c>
      <c r="E54">
        <v>0.26965191746186223</v>
      </c>
      <c r="F54">
        <v>23721</v>
      </c>
    </row>
    <row r="55" spans="1:6" x14ac:dyDescent="0.25">
      <c r="A55" t="s">
        <v>14</v>
      </c>
      <c r="B55" t="s">
        <v>107</v>
      </c>
      <c r="C55">
        <v>44.467680000000001</v>
      </c>
      <c r="D55">
        <v>89.487200000000001</v>
      </c>
      <c r="E55">
        <v>0.43058126198705959</v>
      </c>
      <c r="F55">
        <v>23722</v>
      </c>
    </row>
    <row r="56" spans="1:6" x14ac:dyDescent="0.25">
      <c r="A56" t="s">
        <v>14</v>
      </c>
      <c r="B56" t="s">
        <v>107</v>
      </c>
      <c r="C56">
        <v>44.470410000000001</v>
      </c>
      <c r="D56">
        <v>89.511759999999995</v>
      </c>
      <c r="E56">
        <v>0.14860830943450859</v>
      </c>
      <c r="F56">
        <v>23723</v>
      </c>
    </row>
    <row r="57" spans="1:6" x14ac:dyDescent="0.25">
      <c r="A57" t="s">
        <v>14</v>
      </c>
      <c r="B57" t="s">
        <v>107</v>
      </c>
      <c r="C57">
        <v>44.470410000000001</v>
      </c>
      <c r="D57">
        <v>89.511759999999995</v>
      </c>
      <c r="E57">
        <v>0.16591085455865787</v>
      </c>
      <c r="F57">
        <v>23726</v>
      </c>
    </row>
    <row r="58" spans="1:6" x14ac:dyDescent="0.25">
      <c r="A58" t="s">
        <v>14</v>
      </c>
      <c r="B58" t="s">
        <v>107</v>
      </c>
      <c r="C58">
        <v>44.470410000000001</v>
      </c>
      <c r="D58">
        <v>89.511759999999995</v>
      </c>
      <c r="E58">
        <v>0.18907849122300793</v>
      </c>
      <c r="F58">
        <v>23727</v>
      </c>
    </row>
    <row r="59" spans="1:6" x14ac:dyDescent="0.25">
      <c r="A59" t="s">
        <v>14</v>
      </c>
      <c r="B59" t="s">
        <v>107</v>
      </c>
      <c r="C59">
        <v>44.470410000000001</v>
      </c>
      <c r="D59">
        <v>89.511759999999995</v>
      </c>
      <c r="E59">
        <v>0.14686840234494428</v>
      </c>
      <c r="F59">
        <v>23728</v>
      </c>
    </row>
    <row r="60" spans="1:6" x14ac:dyDescent="0.25">
      <c r="A60" t="s">
        <v>14</v>
      </c>
      <c r="B60" t="s">
        <v>107</v>
      </c>
      <c r="C60">
        <v>44.470410000000001</v>
      </c>
      <c r="D60">
        <v>89.511759999999995</v>
      </c>
      <c r="E60">
        <v>0.18629137361604342</v>
      </c>
      <c r="F60">
        <v>23729</v>
      </c>
    </row>
    <row r="61" spans="1:6" x14ac:dyDescent="0.25">
      <c r="A61" t="s">
        <v>14</v>
      </c>
      <c r="B61" t="s">
        <v>107</v>
      </c>
      <c r="C61">
        <v>44.470410000000001</v>
      </c>
      <c r="D61">
        <v>89.511759999999995</v>
      </c>
      <c r="E61">
        <v>0.15704828224539708</v>
      </c>
      <c r="F61">
        <v>23751</v>
      </c>
    </row>
    <row r="62" spans="1:6" x14ac:dyDescent="0.25">
      <c r="A62" t="s">
        <v>14</v>
      </c>
      <c r="B62" t="s">
        <v>107</v>
      </c>
      <c r="C62">
        <v>44.47</v>
      </c>
      <c r="D62">
        <v>89.482500000000002</v>
      </c>
      <c r="E62">
        <v>0.58740277585020562</v>
      </c>
      <c r="F62">
        <v>23752</v>
      </c>
    </row>
    <row r="63" spans="1:6" x14ac:dyDescent="0.25">
      <c r="A63" t="s">
        <v>14</v>
      </c>
      <c r="B63" t="s">
        <v>107</v>
      </c>
      <c r="C63">
        <v>44.47</v>
      </c>
      <c r="D63">
        <v>89.482500000000002</v>
      </c>
      <c r="E63">
        <v>0.43284540832467122</v>
      </c>
      <c r="F63">
        <v>23753</v>
      </c>
    </row>
    <row r="64" spans="1:6" x14ac:dyDescent="0.25">
      <c r="A64" t="s">
        <v>14</v>
      </c>
      <c r="B64" t="s">
        <v>107</v>
      </c>
      <c r="C64">
        <v>44.481119999999997</v>
      </c>
      <c r="D64">
        <v>89.479669999999999</v>
      </c>
      <c r="E64">
        <v>0.10245546096015722</v>
      </c>
      <c r="F64">
        <v>23754</v>
      </c>
    </row>
    <row r="65" spans="1:6" x14ac:dyDescent="0.25">
      <c r="A65" t="s">
        <v>14</v>
      </c>
      <c r="B65" t="s">
        <v>107</v>
      </c>
      <c r="C65">
        <v>44.468069999999997</v>
      </c>
      <c r="D65">
        <v>89.487390000000005</v>
      </c>
      <c r="E65">
        <v>0.83882257049372067</v>
      </c>
      <c r="F65">
        <v>23755</v>
      </c>
    </row>
    <row r="66" spans="1:6" x14ac:dyDescent="0.25">
      <c r="A66" t="s">
        <v>14</v>
      </c>
      <c r="B66" t="s">
        <v>107</v>
      </c>
      <c r="C66">
        <v>44.470410000000001</v>
      </c>
      <c r="D66">
        <v>89.511759999999995</v>
      </c>
      <c r="E66">
        <v>0.14119925269483036</v>
      </c>
      <c r="F66">
        <v>23756</v>
      </c>
    </row>
    <row r="67" spans="1:6" x14ac:dyDescent="0.25">
      <c r="A67" t="s">
        <v>14</v>
      </c>
      <c r="B67" t="s">
        <v>107</v>
      </c>
      <c r="C67">
        <v>44.470410000000001</v>
      </c>
      <c r="D67">
        <v>89.511759999999995</v>
      </c>
      <c r="E67">
        <v>9.6509524763882942E-2</v>
      </c>
      <c r="F67">
        <v>23757</v>
      </c>
    </row>
    <row r="68" spans="1:6" x14ac:dyDescent="0.25">
      <c r="A68" t="s">
        <v>14</v>
      </c>
      <c r="B68" t="s">
        <v>107</v>
      </c>
      <c r="C68">
        <v>44.470410000000001</v>
      </c>
      <c r="D68">
        <v>89.511759999999995</v>
      </c>
      <c r="E68">
        <v>0.12084808914387182</v>
      </c>
      <c r="F68">
        <v>23758</v>
      </c>
    </row>
    <row r="69" spans="1:6" x14ac:dyDescent="0.25">
      <c r="A69" t="s">
        <v>14</v>
      </c>
      <c r="B69" t="s">
        <v>107</v>
      </c>
      <c r="C69">
        <v>44.470750000000002</v>
      </c>
      <c r="D69">
        <v>89.505160000000004</v>
      </c>
      <c r="E69">
        <v>0.81172014825777605</v>
      </c>
      <c r="F69">
        <v>23770</v>
      </c>
    </row>
    <row r="70" spans="1:6" x14ac:dyDescent="0.25">
      <c r="A70" t="s">
        <v>14</v>
      </c>
      <c r="B70" t="s">
        <v>107</v>
      </c>
      <c r="C70">
        <v>44.468649999999997</v>
      </c>
      <c r="D70">
        <v>89.498069999999998</v>
      </c>
      <c r="E70">
        <v>0.19920781782623215</v>
      </c>
      <c r="F70">
        <v>23776</v>
      </c>
    </row>
    <row r="71" spans="1:6" x14ac:dyDescent="0.25">
      <c r="A71" t="s">
        <v>14</v>
      </c>
      <c r="B71" t="s">
        <v>107</v>
      </c>
      <c r="C71">
        <v>44.470410000000001</v>
      </c>
      <c r="D71">
        <v>89.511759999999995</v>
      </c>
      <c r="E71">
        <v>0.18909557487899209</v>
      </c>
      <c r="F71">
        <v>23778</v>
      </c>
    </row>
    <row r="72" spans="1:6" x14ac:dyDescent="0.25">
      <c r="A72" t="s">
        <v>14</v>
      </c>
      <c r="B72" t="s">
        <v>107</v>
      </c>
      <c r="C72">
        <v>44.482689999999998</v>
      </c>
      <c r="D72">
        <v>89.479910000000004</v>
      </c>
      <c r="E72">
        <v>0.48576233976534711</v>
      </c>
      <c r="F72">
        <v>23781</v>
      </c>
    </row>
    <row r="73" spans="1:6" x14ac:dyDescent="0.25">
      <c r="A73" t="s">
        <v>14</v>
      </c>
      <c r="B73" t="s">
        <v>107</v>
      </c>
      <c r="C73">
        <v>44.470410000000001</v>
      </c>
      <c r="D73">
        <v>89.511759999999995</v>
      </c>
      <c r="E73">
        <v>8.7390884487004813E-2</v>
      </c>
      <c r="F73">
        <v>23790</v>
      </c>
    </row>
    <row r="74" spans="1:6" x14ac:dyDescent="0.25">
      <c r="A74" t="s">
        <v>14</v>
      </c>
      <c r="B74" t="s">
        <v>107</v>
      </c>
      <c r="C74">
        <v>44.47278</v>
      </c>
      <c r="D74">
        <v>89.53228</v>
      </c>
      <c r="E74">
        <v>9.8737379115581045E-2</v>
      </c>
      <c r="F74">
        <v>23791</v>
      </c>
    </row>
    <row r="75" spans="1:6" x14ac:dyDescent="0.25">
      <c r="A75" t="s">
        <v>14</v>
      </c>
      <c r="B75" t="s">
        <v>107</v>
      </c>
      <c r="C75">
        <v>44.482320000000001</v>
      </c>
      <c r="D75">
        <v>89.479730000000004</v>
      </c>
      <c r="E75">
        <v>0.66002471297897425</v>
      </c>
      <c r="F75">
        <v>23794</v>
      </c>
    </row>
    <row r="76" spans="1:6" x14ac:dyDescent="0.25">
      <c r="A76" t="s">
        <v>14</v>
      </c>
      <c r="B76" t="s">
        <v>107</v>
      </c>
      <c r="C76">
        <v>44.470410000000001</v>
      </c>
      <c r="D76">
        <v>89.511759999999995</v>
      </c>
      <c r="E76">
        <v>0.19592985457455245</v>
      </c>
      <c r="F76">
        <v>23795</v>
      </c>
    </row>
    <row r="77" spans="1:6" x14ac:dyDescent="0.25">
      <c r="A77" t="s">
        <v>14</v>
      </c>
      <c r="B77" t="s">
        <v>107</v>
      </c>
      <c r="C77">
        <v>44.46734</v>
      </c>
      <c r="D77">
        <v>89.487719999999996</v>
      </c>
      <c r="E77">
        <v>0.37286865454566259</v>
      </c>
      <c r="F77">
        <v>23798</v>
      </c>
    </row>
    <row r="78" spans="1:6" x14ac:dyDescent="0.25">
      <c r="A78" t="s">
        <v>14</v>
      </c>
      <c r="B78" t="s">
        <v>107</v>
      </c>
      <c r="C78">
        <v>44.482520000000001</v>
      </c>
      <c r="D78">
        <v>89.479799999999997</v>
      </c>
      <c r="E78">
        <v>0.50572035660918468</v>
      </c>
      <c r="F78">
        <v>23800</v>
      </c>
    </row>
    <row r="79" spans="1:6" x14ac:dyDescent="0.25">
      <c r="A79" t="s">
        <v>14</v>
      </c>
      <c r="B79" t="s">
        <v>107</v>
      </c>
      <c r="C79">
        <v>44.467849999999999</v>
      </c>
      <c r="D79">
        <v>89.487679999999997</v>
      </c>
      <c r="E79">
        <v>0.12006571172604409</v>
      </c>
      <c r="F79">
        <v>23807</v>
      </c>
    </row>
    <row r="80" spans="1:6" x14ac:dyDescent="0.25">
      <c r="A80" t="s">
        <v>14</v>
      </c>
      <c r="B80" t="s">
        <v>107</v>
      </c>
      <c r="C80">
        <v>44.469169999999998</v>
      </c>
      <c r="D80">
        <v>89.502549999999999</v>
      </c>
      <c r="E80">
        <v>0.81961740555030904</v>
      </c>
      <c r="F80">
        <v>23816</v>
      </c>
    </row>
    <row r="81" spans="1:6" x14ac:dyDescent="0.25">
      <c r="A81" t="s">
        <v>14</v>
      </c>
      <c r="B81" t="s">
        <v>107</v>
      </c>
      <c r="C81">
        <v>44.467849999999999</v>
      </c>
      <c r="D81">
        <v>89.487679999999997</v>
      </c>
      <c r="E81">
        <v>7.1335976801511256E-2</v>
      </c>
      <c r="F81">
        <v>23818</v>
      </c>
    </row>
    <row r="82" spans="1:6" x14ac:dyDescent="0.25">
      <c r="A82" t="s">
        <v>14</v>
      </c>
      <c r="B82" t="s">
        <v>107</v>
      </c>
      <c r="C82">
        <v>44.470410000000001</v>
      </c>
      <c r="D82">
        <v>89.511759999999995</v>
      </c>
      <c r="E82">
        <v>0.155958368016927</v>
      </c>
      <c r="F82">
        <v>23820</v>
      </c>
    </row>
    <row r="83" spans="1:6" x14ac:dyDescent="0.25">
      <c r="A83" t="s">
        <v>14</v>
      </c>
      <c r="B83" t="s">
        <v>107</v>
      </c>
      <c r="C83">
        <v>44.470410000000001</v>
      </c>
      <c r="D83">
        <v>89.511759999999995</v>
      </c>
      <c r="E83">
        <v>8.8432385166544392E-2</v>
      </c>
      <c r="F83">
        <v>23823</v>
      </c>
    </row>
    <row r="84" spans="1:6" x14ac:dyDescent="0.25">
      <c r="A84" t="s">
        <v>14</v>
      </c>
      <c r="B84" t="s">
        <v>107</v>
      </c>
      <c r="C84">
        <v>44.467930000000003</v>
      </c>
      <c r="D84">
        <v>89.492019999999997</v>
      </c>
      <c r="E84">
        <v>0.82847838837529042</v>
      </c>
      <c r="F84">
        <v>23836</v>
      </c>
    </row>
    <row r="85" spans="1:6" x14ac:dyDescent="0.25">
      <c r="A85" t="s">
        <v>14</v>
      </c>
      <c r="B85" t="s">
        <v>107</v>
      </c>
      <c r="C85">
        <v>44.467930000000003</v>
      </c>
      <c r="D85">
        <v>89.492019999999997</v>
      </c>
      <c r="E85">
        <v>0.61095758544440804</v>
      </c>
      <c r="F85">
        <v>23837</v>
      </c>
    </row>
    <row r="86" spans="1:6" x14ac:dyDescent="0.25">
      <c r="A86" t="s">
        <v>14</v>
      </c>
      <c r="B86" t="s">
        <v>107</v>
      </c>
      <c r="C86">
        <v>44.475769999999997</v>
      </c>
      <c r="D86">
        <v>89.479730000000004</v>
      </c>
      <c r="E86">
        <v>0.18896534745573043</v>
      </c>
      <c r="F86">
        <v>23846</v>
      </c>
    </row>
    <row r="87" spans="1:6" x14ac:dyDescent="0.25">
      <c r="A87" t="s">
        <v>14</v>
      </c>
      <c r="B87" t="s">
        <v>107</v>
      </c>
      <c r="C87">
        <v>44.482550000000003</v>
      </c>
      <c r="D87">
        <v>89.480040000000002</v>
      </c>
      <c r="E87">
        <v>0.41431873324644219</v>
      </c>
      <c r="F87">
        <v>23847</v>
      </c>
    </row>
    <row r="88" spans="1:6" x14ac:dyDescent="0.25">
      <c r="A88" t="s">
        <v>14</v>
      </c>
      <c r="B88" t="s">
        <v>107</v>
      </c>
      <c r="C88">
        <v>44.482550000000003</v>
      </c>
      <c r="D88">
        <v>89.480040000000002</v>
      </c>
      <c r="E88">
        <v>0.37761456470642307</v>
      </c>
      <c r="F88">
        <v>23848</v>
      </c>
    </row>
    <row r="89" spans="1:6" x14ac:dyDescent="0.25">
      <c r="A89" t="s">
        <v>14</v>
      </c>
      <c r="B89" t="s">
        <v>107</v>
      </c>
      <c r="C89">
        <v>44.468859999999999</v>
      </c>
      <c r="D89">
        <v>89.497669999999999</v>
      </c>
      <c r="E89">
        <v>0.40712300943572521</v>
      </c>
      <c r="F89">
        <v>23851</v>
      </c>
    </row>
    <row r="90" spans="1:6" x14ac:dyDescent="0.25">
      <c r="A90" t="s">
        <v>14</v>
      </c>
      <c r="B90" t="s">
        <v>107</v>
      </c>
      <c r="C90">
        <v>44.467849999999999</v>
      </c>
      <c r="D90">
        <v>89.487679999999997</v>
      </c>
      <c r="E90">
        <v>0.19013874928436547</v>
      </c>
      <c r="F90">
        <v>23864</v>
      </c>
    </row>
    <row r="91" spans="1:6" x14ac:dyDescent="0.25">
      <c r="A91" t="s">
        <v>14</v>
      </c>
      <c r="B91" t="s">
        <v>107</v>
      </c>
      <c r="C91">
        <v>44.468649999999997</v>
      </c>
      <c r="D91">
        <v>89.498069999999998</v>
      </c>
      <c r="E91">
        <v>0.22423825506054482</v>
      </c>
      <c r="F91">
        <v>23865</v>
      </c>
    </row>
    <row r="92" spans="1:6" x14ac:dyDescent="0.25">
      <c r="A92" t="s">
        <v>14</v>
      </c>
      <c r="B92" t="s">
        <v>107</v>
      </c>
      <c r="C92">
        <v>44.468240000000002</v>
      </c>
      <c r="D92">
        <v>89.487009999999998</v>
      </c>
      <c r="E92">
        <v>0.13834072818053458</v>
      </c>
      <c r="F92">
        <v>23866</v>
      </c>
    </row>
    <row r="93" spans="1:6" x14ac:dyDescent="0.25">
      <c r="A93" t="s">
        <v>14</v>
      </c>
      <c r="B93" t="s">
        <v>107</v>
      </c>
      <c r="C93">
        <v>44.481119999999997</v>
      </c>
      <c r="D93">
        <v>89.479669999999999</v>
      </c>
      <c r="E93">
        <v>8.4554323864015457E-2</v>
      </c>
      <c r="F93">
        <v>23867</v>
      </c>
    </row>
    <row r="94" spans="1:6" x14ac:dyDescent="0.25">
      <c r="A94" t="s">
        <v>14</v>
      </c>
      <c r="B94" t="s">
        <v>107</v>
      </c>
      <c r="C94">
        <v>44.481119999999997</v>
      </c>
      <c r="D94">
        <v>89.479669999999999</v>
      </c>
      <c r="E94">
        <v>6.9684227170943497E-2</v>
      </c>
      <c r="F94">
        <v>23868</v>
      </c>
    </row>
    <row r="95" spans="1:6" x14ac:dyDescent="0.25">
      <c r="A95" t="s">
        <v>14</v>
      </c>
      <c r="B95" t="s">
        <v>107</v>
      </c>
      <c r="C95">
        <v>44.481119999999997</v>
      </c>
      <c r="D95">
        <v>89.479669999999999</v>
      </c>
      <c r="E95">
        <v>0.10003045876406846</v>
      </c>
      <c r="F95">
        <v>23869</v>
      </c>
    </row>
    <row r="96" spans="1:6" x14ac:dyDescent="0.25">
      <c r="A96" t="s">
        <v>14</v>
      </c>
      <c r="B96" t="s">
        <v>107</v>
      </c>
      <c r="C96">
        <v>44.481119999999997</v>
      </c>
      <c r="D96">
        <v>89.479669999999999</v>
      </c>
      <c r="E96">
        <v>0.10182886586468223</v>
      </c>
      <c r="F96">
        <v>23870</v>
      </c>
    </row>
    <row r="97" spans="1:6" x14ac:dyDescent="0.25">
      <c r="A97" t="s">
        <v>14</v>
      </c>
      <c r="B97" t="s">
        <v>107</v>
      </c>
      <c r="C97">
        <v>44.48254</v>
      </c>
      <c r="D97">
        <v>89.479870000000005</v>
      </c>
      <c r="E97">
        <v>0.82510455374654101</v>
      </c>
      <c r="F97">
        <v>23876</v>
      </c>
    </row>
    <row r="98" spans="1:6" x14ac:dyDescent="0.25">
      <c r="A98" t="s">
        <v>14</v>
      </c>
      <c r="B98" t="s">
        <v>107</v>
      </c>
      <c r="C98">
        <v>44.48254</v>
      </c>
      <c r="D98">
        <v>89.479870000000005</v>
      </c>
      <c r="E98">
        <v>0.47938902362686053</v>
      </c>
      <c r="F98">
        <v>23881</v>
      </c>
    </row>
    <row r="99" spans="1:6" x14ac:dyDescent="0.25">
      <c r="A99" t="s">
        <v>14</v>
      </c>
      <c r="B99" t="s">
        <v>107</v>
      </c>
      <c r="C99">
        <v>44.481119999999997</v>
      </c>
      <c r="D99">
        <v>89.479669999999999</v>
      </c>
      <c r="E99">
        <v>0.11432802770398136</v>
      </c>
      <c r="F99">
        <v>23883</v>
      </c>
    </row>
    <row r="100" spans="1:6" x14ac:dyDescent="0.25">
      <c r="A100" t="s">
        <v>14</v>
      </c>
      <c r="B100" t="s">
        <v>107</v>
      </c>
      <c r="C100">
        <v>44.467849999999999</v>
      </c>
      <c r="D100">
        <v>89.487679999999997</v>
      </c>
      <c r="E100">
        <v>0.11454818779937871</v>
      </c>
      <c r="F100">
        <v>23886</v>
      </c>
    </row>
    <row r="101" spans="1:6" x14ac:dyDescent="0.25">
      <c r="A101" t="s">
        <v>14</v>
      </c>
      <c r="B101" t="s">
        <v>107</v>
      </c>
      <c r="C101">
        <v>44.468089999999997</v>
      </c>
      <c r="D101">
        <v>89.486580000000004</v>
      </c>
      <c r="E101">
        <v>0.5584187119553059</v>
      </c>
      <c r="F101">
        <v>23888</v>
      </c>
    </row>
    <row r="102" spans="1:6" x14ac:dyDescent="0.25">
      <c r="A102" t="s">
        <v>14</v>
      </c>
      <c r="B102" t="s">
        <v>107</v>
      </c>
      <c r="C102">
        <v>44.468089999999997</v>
      </c>
      <c r="D102">
        <v>89.486580000000004</v>
      </c>
      <c r="E102">
        <v>0.54301197569546711</v>
      </c>
      <c r="F102">
        <v>23889</v>
      </c>
    </row>
    <row r="103" spans="1:6" x14ac:dyDescent="0.25">
      <c r="A103" t="s">
        <v>14</v>
      </c>
      <c r="B103" t="s">
        <v>107</v>
      </c>
      <c r="C103">
        <v>44.470410000000001</v>
      </c>
      <c r="D103">
        <v>89.511759999999995</v>
      </c>
      <c r="E103">
        <v>0.13192222162885012</v>
      </c>
      <c r="F103">
        <v>23890</v>
      </c>
    </row>
    <row r="104" spans="1:6" x14ac:dyDescent="0.25">
      <c r="A104" t="s">
        <v>14</v>
      </c>
      <c r="B104" t="s">
        <v>107</v>
      </c>
      <c r="C104">
        <v>44.470410000000001</v>
      </c>
      <c r="D104">
        <v>89.511759999999995</v>
      </c>
      <c r="E104">
        <v>0.19311723469630013</v>
      </c>
      <c r="F104">
        <v>23895</v>
      </c>
    </row>
    <row r="105" spans="1:6" x14ac:dyDescent="0.25">
      <c r="A105" t="s">
        <v>14</v>
      </c>
      <c r="B105" t="s">
        <v>107</v>
      </c>
      <c r="C105">
        <v>44.475450000000002</v>
      </c>
      <c r="D105">
        <v>89.479529999999997</v>
      </c>
      <c r="E105">
        <v>7.723000730017042E-2</v>
      </c>
      <c r="F105">
        <v>23898</v>
      </c>
    </row>
    <row r="106" spans="1:6" x14ac:dyDescent="0.25">
      <c r="A106" t="s">
        <v>14</v>
      </c>
      <c r="B106" t="s">
        <v>107</v>
      </c>
      <c r="C106">
        <v>44.482329999999997</v>
      </c>
      <c r="D106">
        <v>89.479870000000005</v>
      </c>
      <c r="E106">
        <v>0.3294166293057047</v>
      </c>
      <c r="F106">
        <v>23908</v>
      </c>
    </row>
    <row r="107" spans="1:6" x14ac:dyDescent="0.25">
      <c r="A107" t="s">
        <v>14</v>
      </c>
      <c r="B107" t="s">
        <v>107</v>
      </c>
      <c r="C107">
        <v>44.468089999999997</v>
      </c>
      <c r="D107">
        <v>89.486580000000004</v>
      </c>
      <c r="E107">
        <v>0.44644353223706357</v>
      </c>
      <c r="F107">
        <v>23909</v>
      </c>
    </row>
    <row r="108" spans="1:6" x14ac:dyDescent="0.25">
      <c r="A108" t="s">
        <v>14</v>
      </c>
      <c r="B108" t="s">
        <v>107</v>
      </c>
      <c r="C108">
        <v>44.470410000000001</v>
      </c>
      <c r="D108">
        <v>89.511759999999995</v>
      </c>
      <c r="E108">
        <v>8.6230908878759657E-2</v>
      </c>
      <c r="F108">
        <v>23910</v>
      </c>
    </row>
    <row r="109" spans="1:6" x14ac:dyDescent="0.25">
      <c r="A109" t="s">
        <v>14</v>
      </c>
      <c r="B109" t="s">
        <v>107</v>
      </c>
      <c r="C109">
        <v>44.477629999999998</v>
      </c>
      <c r="D109">
        <v>89.479680000000002</v>
      </c>
      <c r="E109">
        <v>6.0452142841706392E-2</v>
      </c>
      <c r="F109">
        <v>23913</v>
      </c>
    </row>
    <row r="110" spans="1:6" x14ac:dyDescent="0.25">
      <c r="A110" t="s">
        <v>14</v>
      </c>
      <c r="B110" t="s">
        <v>107</v>
      </c>
      <c r="C110">
        <v>44.481119999999997</v>
      </c>
      <c r="D110">
        <v>89.479669999999999</v>
      </c>
      <c r="E110">
        <v>9.6210220564310028E-2</v>
      </c>
      <c r="F110">
        <v>23915</v>
      </c>
    </row>
    <row r="111" spans="1:6" x14ac:dyDescent="0.25">
      <c r="A111" t="s">
        <v>14</v>
      </c>
      <c r="B111" t="s">
        <v>107</v>
      </c>
      <c r="C111">
        <v>44.473230000000001</v>
      </c>
      <c r="D111">
        <v>89.522319999999993</v>
      </c>
      <c r="E111">
        <v>0.67486747992958451</v>
      </c>
      <c r="F111">
        <v>23919</v>
      </c>
    </row>
    <row r="112" spans="1:6" x14ac:dyDescent="0.25">
      <c r="A112" t="s">
        <v>14</v>
      </c>
      <c r="B112" t="s">
        <v>107</v>
      </c>
      <c r="C112">
        <v>44.481119999999997</v>
      </c>
      <c r="D112">
        <v>89.479669999999999</v>
      </c>
      <c r="E112">
        <v>0.12789512611634313</v>
      </c>
      <c r="F112">
        <v>23926</v>
      </c>
    </row>
    <row r="113" spans="1:6" x14ac:dyDescent="0.25">
      <c r="A113" t="s">
        <v>14</v>
      </c>
      <c r="B113" t="s">
        <v>107</v>
      </c>
      <c r="C113">
        <v>44.468229999999998</v>
      </c>
      <c r="D113">
        <v>89.486239999999995</v>
      </c>
      <c r="E113">
        <v>0.37731839925631527</v>
      </c>
      <c r="F113">
        <v>23928</v>
      </c>
    </row>
    <row r="114" spans="1:6" x14ac:dyDescent="0.25">
      <c r="A114" t="s">
        <v>14</v>
      </c>
      <c r="B114" t="s">
        <v>107</v>
      </c>
      <c r="C114">
        <v>44.482489999999999</v>
      </c>
      <c r="D114">
        <v>89.479799999999997</v>
      </c>
      <c r="E114">
        <v>0.7466857020511527</v>
      </c>
      <c r="F114">
        <v>23929</v>
      </c>
    </row>
    <row r="115" spans="1:6" x14ac:dyDescent="0.25">
      <c r="A115" t="s">
        <v>14</v>
      </c>
      <c r="B115" t="s">
        <v>107</v>
      </c>
      <c r="C115">
        <v>44.467759999999998</v>
      </c>
      <c r="D115">
        <v>89.487620000000007</v>
      </c>
      <c r="E115">
        <v>0.4483379660119628</v>
      </c>
      <c r="F115">
        <v>23930</v>
      </c>
    </row>
    <row r="116" spans="1:6" x14ac:dyDescent="0.25">
      <c r="A116" t="s">
        <v>14</v>
      </c>
      <c r="B116" t="s">
        <v>107</v>
      </c>
      <c r="C116">
        <v>44.482599999999998</v>
      </c>
      <c r="D116">
        <v>89.479839999999996</v>
      </c>
      <c r="E116">
        <v>0.89843161094399981</v>
      </c>
      <c r="F116">
        <v>23934</v>
      </c>
    </row>
    <row r="117" spans="1:6" x14ac:dyDescent="0.25">
      <c r="A117" t="s">
        <v>14</v>
      </c>
      <c r="B117" t="s">
        <v>107</v>
      </c>
      <c r="C117">
        <v>44.48254</v>
      </c>
      <c r="D117">
        <v>89.479749999999996</v>
      </c>
      <c r="E117">
        <v>0.5096480170479567</v>
      </c>
      <c r="F117">
        <v>23936</v>
      </c>
    </row>
    <row r="118" spans="1:6" x14ac:dyDescent="0.25">
      <c r="A118" t="s">
        <v>14</v>
      </c>
      <c r="B118" t="s">
        <v>107</v>
      </c>
      <c r="C118">
        <v>44.467880000000001</v>
      </c>
      <c r="D118">
        <v>89.489230000000006</v>
      </c>
      <c r="E118">
        <v>0.38918386314640474</v>
      </c>
      <c r="F118">
        <v>23937</v>
      </c>
    </row>
    <row r="119" spans="1:6" x14ac:dyDescent="0.25">
      <c r="A119" t="s">
        <v>14</v>
      </c>
      <c r="B119" t="s">
        <v>107</v>
      </c>
      <c r="C119">
        <v>44.48245</v>
      </c>
      <c r="D119">
        <v>89.479990000000001</v>
      </c>
      <c r="E119">
        <v>0.6647612900856319</v>
      </c>
      <c r="F119">
        <v>23939</v>
      </c>
    </row>
    <row r="120" spans="1:6" x14ac:dyDescent="0.25">
      <c r="A120" t="s">
        <v>14</v>
      </c>
      <c r="B120" t="s">
        <v>107</v>
      </c>
      <c r="C120">
        <v>44.470410000000001</v>
      </c>
      <c r="D120">
        <v>89.511759999999995</v>
      </c>
      <c r="E120">
        <v>0.12264151565093519</v>
      </c>
      <c r="F120">
        <v>23942</v>
      </c>
    </row>
    <row r="121" spans="1:6" x14ac:dyDescent="0.25">
      <c r="A121" t="s">
        <v>14</v>
      </c>
      <c r="B121" t="s">
        <v>107</v>
      </c>
      <c r="C121">
        <v>44.48245</v>
      </c>
      <c r="D121">
        <v>89.479990000000001</v>
      </c>
      <c r="E121">
        <v>0.20012786341311245</v>
      </c>
      <c r="F121">
        <v>23944</v>
      </c>
    </row>
    <row r="122" spans="1:6" x14ac:dyDescent="0.25">
      <c r="A122" t="s">
        <v>14</v>
      </c>
      <c r="B122" t="s">
        <v>107</v>
      </c>
      <c r="C122">
        <v>44.467599999999997</v>
      </c>
      <c r="D122">
        <v>89.486879999999999</v>
      </c>
      <c r="E122">
        <v>0.34495210503977852</v>
      </c>
      <c r="F122">
        <v>23948</v>
      </c>
    </row>
    <row r="123" spans="1:6" x14ac:dyDescent="0.25">
      <c r="A123" t="s">
        <v>14</v>
      </c>
      <c r="B123" t="s">
        <v>107</v>
      </c>
      <c r="C123">
        <v>44.467599999999997</v>
      </c>
      <c r="D123">
        <v>89.486879999999999</v>
      </c>
      <c r="E123">
        <v>0.26948927771510811</v>
      </c>
      <c r="F123">
        <v>23956</v>
      </c>
    </row>
    <row r="124" spans="1:6" x14ac:dyDescent="0.25">
      <c r="A124" t="s">
        <v>14</v>
      </c>
      <c r="B124" t="s">
        <v>107</v>
      </c>
      <c r="C124">
        <v>44.472119999999997</v>
      </c>
      <c r="D124">
        <v>89.482460000000003</v>
      </c>
      <c r="E124">
        <v>3.7115808538281725E-2</v>
      </c>
      <c r="F124">
        <v>23961</v>
      </c>
    </row>
    <row r="125" spans="1:6" x14ac:dyDescent="0.25">
      <c r="A125" t="s">
        <v>14</v>
      </c>
      <c r="B125" t="s">
        <v>107</v>
      </c>
      <c r="C125">
        <v>44.467849999999999</v>
      </c>
      <c r="D125">
        <v>89.487679999999997</v>
      </c>
      <c r="E125">
        <v>0.1746468833352387</v>
      </c>
      <c r="F125">
        <v>23962</v>
      </c>
    </row>
    <row r="126" spans="1:6" x14ac:dyDescent="0.25">
      <c r="A126" t="s">
        <v>14</v>
      </c>
      <c r="B126" t="s">
        <v>107</v>
      </c>
      <c r="C126">
        <v>44.467849999999999</v>
      </c>
      <c r="D126">
        <v>89.487679999999997</v>
      </c>
      <c r="E126">
        <v>0.11028332367121714</v>
      </c>
      <c r="F126">
        <v>23963</v>
      </c>
    </row>
    <row r="127" spans="1:6" x14ac:dyDescent="0.25">
      <c r="A127" t="s">
        <v>14</v>
      </c>
      <c r="B127" t="s">
        <v>107</v>
      </c>
      <c r="C127">
        <v>44.467849999999999</v>
      </c>
      <c r="D127">
        <v>89.487679999999997</v>
      </c>
      <c r="E127">
        <v>9.9079383330284251E-2</v>
      </c>
      <c r="F127">
        <v>23966</v>
      </c>
    </row>
    <row r="128" spans="1:6" x14ac:dyDescent="0.25">
      <c r="A128" t="s">
        <v>14</v>
      </c>
      <c r="B128" t="s">
        <v>107</v>
      </c>
      <c r="C128">
        <v>44.470410000000001</v>
      </c>
      <c r="D128">
        <v>89.511759999999995</v>
      </c>
      <c r="E128">
        <v>0.35448958502718669</v>
      </c>
      <c r="F128">
        <v>23967</v>
      </c>
    </row>
    <row r="129" spans="1:6" x14ac:dyDescent="0.25">
      <c r="A129" t="s">
        <v>14</v>
      </c>
      <c r="B129" t="s">
        <v>107</v>
      </c>
      <c r="C129">
        <v>44.470410000000001</v>
      </c>
      <c r="D129">
        <v>89.511759999999995</v>
      </c>
      <c r="E129">
        <v>0.12036354410281776</v>
      </c>
      <c r="F129">
        <v>23972</v>
      </c>
    </row>
    <row r="130" spans="1:6" x14ac:dyDescent="0.25">
      <c r="A130" t="s">
        <v>14</v>
      </c>
      <c r="B130" t="s">
        <v>107</v>
      </c>
      <c r="C130">
        <v>44.467599999999997</v>
      </c>
      <c r="D130">
        <v>89.486879999999999</v>
      </c>
      <c r="E130">
        <v>0.42883030829460045</v>
      </c>
      <c r="F130">
        <v>23977</v>
      </c>
    </row>
    <row r="131" spans="1:6" x14ac:dyDescent="0.25">
      <c r="A131" t="s">
        <v>14</v>
      </c>
      <c r="B131" t="s">
        <v>107</v>
      </c>
      <c r="C131">
        <v>44.481119999999997</v>
      </c>
      <c r="D131">
        <v>89.479669999999999</v>
      </c>
      <c r="E131">
        <v>9.4673775649268835E-2</v>
      </c>
      <c r="F131">
        <v>23978</v>
      </c>
    </row>
    <row r="132" spans="1:6" x14ac:dyDescent="0.25">
      <c r="A132" t="s">
        <v>14</v>
      </c>
      <c r="B132" t="s">
        <v>107</v>
      </c>
      <c r="C132">
        <v>44.481119999999997</v>
      </c>
      <c r="D132">
        <v>89.479669999999999</v>
      </c>
      <c r="E132">
        <v>0.1105489268001983</v>
      </c>
      <c r="F132">
        <v>23979</v>
      </c>
    </row>
    <row r="133" spans="1:6" x14ac:dyDescent="0.25">
      <c r="A133" t="s">
        <v>14</v>
      </c>
      <c r="B133" t="s">
        <v>107</v>
      </c>
      <c r="C133">
        <v>44.467849999999999</v>
      </c>
      <c r="D133">
        <v>89.487679999999997</v>
      </c>
      <c r="E133">
        <v>0.11430163290037099</v>
      </c>
      <c r="F133">
        <v>23980</v>
      </c>
    </row>
    <row r="134" spans="1:6" x14ac:dyDescent="0.25">
      <c r="A134" t="s">
        <v>14</v>
      </c>
      <c r="B134" t="s">
        <v>107</v>
      </c>
      <c r="C134">
        <v>44.468170000000001</v>
      </c>
      <c r="D134">
        <v>89.49221</v>
      </c>
      <c r="E134">
        <v>0.56105383640293083</v>
      </c>
      <c r="F134">
        <v>23981</v>
      </c>
    </row>
    <row r="135" spans="1:6" x14ac:dyDescent="0.25">
      <c r="A135" t="s">
        <v>14</v>
      </c>
      <c r="B135" t="s">
        <v>107</v>
      </c>
      <c r="C135">
        <v>44.481119999999997</v>
      </c>
      <c r="D135">
        <v>89.479669999999999</v>
      </c>
      <c r="E135">
        <v>0.17894035176093076</v>
      </c>
      <c r="F135">
        <v>23983</v>
      </c>
    </row>
    <row r="136" spans="1:6" x14ac:dyDescent="0.25">
      <c r="A136" t="s">
        <v>14</v>
      </c>
      <c r="B136" t="s">
        <v>107</v>
      </c>
      <c r="C136">
        <v>44.468649999999997</v>
      </c>
      <c r="D136">
        <v>89.498069999999998</v>
      </c>
      <c r="E136">
        <v>0.28324194069433162</v>
      </c>
      <c r="F136">
        <v>23984</v>
      </c>
    </row>
    <row r="137" spans="1:6" x14ac:dyDescent="0.25">
      <c r="A137" t="s">
        <v>14</v>
      </c>
      <c r="B137" t="s">
        <v>107</v>
      </c>
      <c r="C137">
        <v>44.468170000000001</v>
      </c>
      <c r="D137">
        <v>89.49221</v>
      </c>
      <c r="E137">
        <v>0.47178792019499133</v>
      </c>
      <c r="F137">
        <v>23985</v>
      </c>
    </row>
    <row r="138" spans="1:6" x14ac:dyDescent="0.25">
      <c r="A138" t="s">
        <v>14</v>
      </c>
      <c r="B138" t="s">
        <v>107</v>
      </c>
      <c r="C138">
        <v>44.467849999999999</v>
      </c>
      <c r="D138">
        <v>89.487679999999997</v>
      </c>
      <c r="E138">
        <v>0.17763280085242333</v>
      </c>
      <c r="F138">
        <v>23987</v>
      </c>
    </row>
    <row r="139" spans="1:6" x14ac:dyDescent="0.25">
      <c r="A139" t="s">
        <v>14</v>
      </c>
      <c r="B139" t="s">
        <v>107</v>
      </c>
      <c r="C139">
        <v>44.475450000000002</v>
      </c>
      <c r="D139">
        <v>89.479529999999997</v>
      </c>
      <c r="E139">
        <v>7.0767325749345036E-2</v>
      </c>
      <c r="F139">
        <v>23998</v>
      </c>
    </row>
    <row r="140" spans="1:6" x14ac:dyDescent="0.25">
      <c r="A140" t="s">
        <v>14</v>
      </c>
      <c r="B140" t="s">
        <v>107</v>
      </c>
      <c r="C140">
        <v>44.470410000000001</v>
      </c>
      <c r="D140">
        <v>89.511759999999995</v>
      </c>
      <c r="E140">
        <v>0.22610581238354921</v>
      </c>
      <c r="F140">
        <v>24003</v>
      </c>
    </row>
    <row r="141" spans="1:6" x14ac:dyDescent="0.25">
      <c r="A141" t="s">
        <v>14</v>
      </c>
      <c r="B141" t="s">
        <v>107</v>
      </c>
      <c r="C141">
        <v>44.467599999999997</v>
      </c>
      <c r="D141">
        <v>89.486879999999999</v>
      </c>
      <c r="E141">
        <v>0.32655342267317272</v>
      </c>
      <c r="F141">
        <v>24005</v>
      </c>
    </row>
    <row r="142" spans="1:6" x14ac:dyDescent="0.25">
      <c r="A142" t="s">
        <v>14</v>
      </c>
      <c r="B142" t="s">
        <v>107</v>
      </c>
      <c r="C142">
        <v>44.48263</v>
      </c>
      <c r="D142">
        <v>89.479879999999994</v>
      </c>
      <c r="E142">
        <v>0.7003773628386416</v>
      </c>
      <c r="F142">
        <v>24010</v>
      </c>
    </row>
    <row r="143" spans="1:6" x14ac:dyDescent="0.25">
      <c r="A143" t="s">
        <v>14</v>
      </c>
      <c r="B143" t="s">
        <v>107</v>
      </c>
      <c r="C143">
        <v>44.482080000000003</v>
      </c>
      <c r="D143">
        <v>89.479249999999993</v>
      </c>
      <c r="E143">
        <v>0.61334109317019014</v>
      </c>
      <c r="F143">
        <v>24011</v>
      </c>
    </row>
    <row r="144" spans="1:6" x14ac:dyDescent="0.25">
      <c r="A144" t="s">
        <v>14</v>
      </c>
      <c r="B144" t="s">
        <v>107</v>
      </c>
      <c r="C144">
        <v>44.470410000000001</v>
      </c>
      <c r="D144">
        <v>89.511759999999995</v>
      </c>
      <c r="E144">
        <v>0.13671212999675517</v>
      </c>
      <c r="F144">
        <v>24012</v>
      </c>
    </row>
    <row r="145" spans="1:6" x14ac:dyDescent="0.25">
      <c r="A145" t="s">
        <v>14</v>
      </c>
      <c r="B145" t="s">
        <v>107</v>
      </c>
      <c r="C145">
        <v>44.470410000000001</v>
      </c>
      <c r="D145">
        <v>89.511759999999995</v>
      </c>
      <c r="E145">
        <v>5.4877365505099432E-2</v>
      </c>
      <c r="F145">
        <v>24016</v>
      </c>
    </row>
    <row r="146" spans="1:6" x14ac:dyDescent="0.25">
      <c r="A146" t="s">
        <v>14</v>
      </c>
      <c r="B146" t="s">
        <v>107</v>
      </c>
      <c r="C146">
        <v>44.467849999999999</v>
      </c>
      <c r="D146">
        <v>89.487679999999997</v>
      </c>
      <c r="E146">
        <v>9.127285127089671E-2</v>
      </c>
      <c r="F146">
        <v>24024</v>
      </c>
    </row>
    <row r="147" spans="1:6" x14ac:dyDescent="0.25">
      <c r="A147" t="s">
        <v>14</v>
      </c>
      <c r="B147" t="s">
        <v>107</v>
      </c>
      <c r="C147">
        <v>44.467849999999999</v>
      </c>
      <c r="D147">
        <v>89.487679999999997</v>
      </c>
      <c r="E147">
        <v>0.17683464477786626</v>
      </c>
      <c r="F147">
        <v>24030</v>
      </c>
    </row>
    <row r="148" spans="1:6" x14ac:dyDescent="0.25">
      <c r="A148" t="s">
        <v>14</v>
      </c>
      <c r="B148" t="s">
        <v>107</v>
      </c>
      <c r="C148">
        <v>44.467849999999999</v>
      </c>
      <c r="D148">
        <v>89.487679999999997</v>
      </c>
      <c r="E148">
        <v>0.13676174484981005</v>
      </c>
      <c r="F148">
        <v>24033</v>
      </c>
    </row>
    <row r="149" spans="1:6" x14ac:dyDescent="0.25">
      <c r="A149" t="s">
        <v>14</v>
      </c>
      <c r="B149" t="s">
        <v>107</v>
      </c>
      <c r="C149">
        <v>44.467849999999999</v>
      </c>
      <c r="D149">
        <v>89.487679999999997</v>
      </c>
      <c r="E149">
        <v>9.9371973568311511E-2</v>
      </c>
      <c r="F149">
        <v>24036</v>
      </c>
    </row>
    <row r="150" spans="1:6" x14ac:dyDescent="0.25">
      <c r="A150" t="s">
        <v>14</v>
      </c>
      <c r="B150" t="s">
        <v>107</v>
      </c>
      <c r="C150">
        <v>44.481119999999997</v>
      </c>
      <c r="D150">
        <v>89.479669999999999</v>
      </c>
      <c r="E150">
        <v>0.16056249206714995</v>
      </c>
      <c r="F150">
        <v>24037</v>
      </c>
    </row>
    <row r="151" spans="1:6" x14ac:dyDescent="0.25">
      <c r="A151" t="s">
        <v>14</v>
      </c>
      <c r="B151" t="s">
        <v>107</v>
      </c>
      <c r="C151">
        <v>44.467849999999999</v>
      </c>
      <c r="D151">
        <v>89.487679999999997</v>
      </c>
      <c r="E151">
        <v>0.15104231069869201</v>
      </c>
      <c r="F151">
        <v>24042</v>
      </c>
    </row>
    <row r="152" spans="1:6" x14ac:dyDescent="0.25">
      <c r="A152" t="s">
        <v>14</v>
      </c>
      <c r="B152" t="s">
        <v>107</v>
      </c>
      <c r="C152">
        <v>44.467849999999999</v>
      </c>
      <c r="D152">
        <v>89.487679999999997</v>
      </c>
      <c r="E152">
        <v>6.8370597065210703E-2</v>
      </c>
      <c r="F152">
        <v>24043</v>
      </c>
    </row>
    <row r="153" spans="1:6" x14ac:dyDescent="0.25">
      <c r="A153" t="s">
        <v>14</v>
      </c>
      <c r="B153" t="s">
        <v>107</v>
      </c>
      <c r="C153">
        <v>44.469140000000003</v>
      </c>
      <c r="D153">
        <v>89.502390000000005</v>
      </c>
      <c r="E153">
        <v>0.41873655308773061</v>
      </c>
      <c r="F153">
        <v>24045</v>
      </c>
    </row>
    <row r="154" spans="1:6" x14ac:dyDescent="0.25">
      <c r="A154" t="s">
        <v>14</v>
      </c>
      <c r="B154" t="s">
        <v>107</v>
      </c>
      <c r="C154">
        <v>44.482439999999997</v>
      </c>
      <c r="D154">
        <v>89.47963</v>
      </c>
      <c r="E154">
        <v>0.35814159348576158</v>
      </c>
      <c r="F154">
        <v>24047</v>
      </c>
    </row>
    <row r="155" spans="1:6" x14ac:dyDescent="0.25">
      <c r="A155" t="s">
        <v>14</v>
      </c>
      <c r="B155" t="s">
        <v>107</v>
      </c>
      <c r="C155">
        <v>44.469140000000003</v>
      </c>
      <c r="D155">
        <v>89.502390000000005</v>
      </c>
      <c r="E155">
        <v>0.31704478872699515</v>
      </c>
      <c r="F155">
        <v>24049</v>
      </c>
    </row>
    <row r="156" spans="1:6" x14ac:dyDescent="0.25">
      <c r="A156" t="s">
        <v>14</v>
      </c>
      <c r="B156" t="s">
        <v>107</v>
      </c>
      <c r="C156">
        <v>44.482439999999997</v>
      </c>
      <c r="D156">
        <v>89.47963</v>
      </c>
      <c r="E156">
        <v>0.24871023606496742</v>
      </c>
      <c r="F156">
        <v>24059</v>
      </c>
    </row>
    <row r="157" spans="1:6" x14ac:dyDescent="0.25">
      <c r="A157" t="s">
        <v>14</v>
      </c>
      <c r="B157" t="s">
        <v>107</v>
      </c>
      <c r="C157">
        <v>44.468649999999997</v>
      </c>
      <c r="D157">
        <v>89.498069999999998</v>
      </c>
      <c r="E157">
        <v>0.30128390821527967</v>
      </c>
      <c r="F157">
        <v>24063</v>
      </c>
    </row>
    <row r="158" spans="1:6" x14ac:dyDescent="0.25">
      <c r="A158" t="s">
        <v>14</v>
      </c>
      <c r="B158" t="s">
        <v>107</v>
      </c>
      <c r="C158">
        <v>44.481119999999997</v>
      </c>
      <c r="D158">
        <v>89.479669999999999</v>
      </c>
      <c r="E158">
        <v>8.7762597621305796E-2</v>
      </c>
      <c r="F158">
        <v>24066</v>
      </c>
    </row>
    <row r="159" spans="1:6" x14ac:dyDescent="0.25">
      <c r="A159" t="s">
        <v>14</v>
      </c>
      <c r="B159" t="s">
        <v>107</v>
      </c>
      <c r="C159">
        <v>44.481119999999997</v>
      </c>
      <c r="D159">
        <v>89.479669999999999</v>
      </c>
      <c r="E159">
        <v>0.10500769498426941</v>
      </c>
      <c r="F159">
        <v>24080</v>
      </c>
    </row>
    <row r="160" spans="1:6" x14ac:dyDescent="0.25">
      <c r="A160" t="s">
        <v>14</v>
      </c>
      <c r="B160" t="s">
        <v>107</v>
      </c>
      <c r="C160">
        <v>44.470410000000001</v>
      </c>
      <c r="D160">
        <v>89.511759999999995</v>
      </c>
      <c r="E160">
        <v>0.22096358680336212</v>
      </c>
      <c r="F160">
        <v>24091</v>
      </c>
    </row>
    <row r="161" spans="1:6" x14ac:dyDescent="0.25">
      <c r="A161" t="s">
        <v>14</v>
      </c>
      <c r="B161" t="s">
        <v>107</v>
      </c>
      <c r="C161">
        <v>44.482619999999997</v>
      </c>
      <c r="D161">
        <v>89.479799999999997</v>
      </c>
      <c r="E161">
        <v>0.32996908588812829</v>
      </c>
      <c r="F161">
        <v>24093</v>
      </c>
    </row>
    <row r="162" spans="1:6" x14ac:dyDescent="0.25">
      <c r="A162" t="s">
        <v>14</v>
      </c>
      <c r="B162" t="s">
        <v>107</v>
      </c>
      <c r="C162">
        <v>44.482619999999997</v>
      </c>
      <c r="D162">
        <v>89.479799999999997</v>
      </c>
      <c r="E162">
        <v>0.27603851161050436</v>
      </c>
      <c r="F162">
        <v>24110</v>
      </c>
    </row>
    <row r="163" spans="1:6" x14ac:dyDescent="0.25">
      <c r="A163" t="s">
        <v>14</v>
      </c>
      <c r="B163" t="s">
        <v>107</v>
      </c>
      <c r="C163">
        <v>44.470410000000001</v>
      </c>
      <c r="D163">
        <v>89.511759999999995</v>
      </c>
      <c r="E163">
        <v>0.12331237257231226</v>
      </c>
      <c r="F163">
        <v>24120</v>
      </c>
    </row>
    <row r="164" spans="1:6" x14ac:dyDescent="0.25">
      <c r="A164" t="s">
        <v>14</v>
      </c>
      <c r="B164" t="s">
        <v>107</v>
      </c>
      <c r="C164">
        <v>44.482619999999997</v>
      </c>
      <c r="D164">
        <v>89.479799999999997</v>
      </c>
      <c r="E164">
        <v>0.29425233408977219</v>
      </c>
      <c r="F164">
        <v>24121</v>
      </c>
    </row>
    <row r="165" spans="1:6" x14ac:dyDescent="0.25">
      <c r="A165" t="s">
        <v>14</v>
      </c>
      <c r="B165" t="s">
        <v>107</v>
      </c>
      <c r="C165">
        <v>44.46781</v>
      </c>
      <c r="D165">
        <v>89.486840000000001</v>
      </c>
      <c r="E165">
        <v>0.48340674804758982</v>
      </c>
      <c r="F165">
        <v>24125</v>
      </c>
    </row>
    <row r="166" spans="1:6" x14ac:dyDescent="0.25">
      <c r="A166" t="s">
        <v>14</v>
      </c>
      <c r="B166" t="s">
        <v>107</v>
      </c>
      <c r="C166">
        <v>44.470410000000001</v>
      </c>
      <c r="D166">
        <v>89.511759999999995</v>
      </c>
      <c r="E166">
        <v>0.13110056927579206</v>
      </c>
      <c r="F166">
        <v>24130</v>
      </c>
    </row>
    <row r="167" spans="1:6" x14ac:dyDescent="0.25">
      <c r="A167" t="s">
        <v>14</v>
      </c>
      <c r="B167" t="s">
        <v>107</v>
      </c>
      <c r="C167">
        <v>44.473640000000003</v>
      </c>
      <c r="D167">
        <v>89.522989999999993</v>
      </c>
      <c r="E167">
        <v>6.4248149965641696E-2</v>
      </c>
      <c r="F167">
        <v>24135</v>
      </c>
    </row>
    <row r="168" spans="1:6" x14ac:dyDescent="0.25">
      <c r="A168" t="s">
        <v>14</v>
      </c>
      <c r="B168" t="s">
        <v>107</v>
      </c>
      <c r="C168">
        <v>44.482300000000002</v>
      </c>
      <c r="D168">
        <v>89.479820000000004</v>
      </c>
      <c r="E168">
        <v>0.59309157262816958</v>
      </c>
      <c r="F168">
        <v>24137</v>
      </c>
    </row>
    <row r="169" spans="1:6" x14ac:dyDescent="0.25">
      <c r="A169" t="s">
        <v>14</v>
      </c>
      <c r="B169" t="s">
        <v>107</v>
      </c>
      <c r="C169">
        <v>44.470410000000001</v>
      </c>
      <c r="D169">
        <v>89.511759999999995</v>
      </c>
      <c r="E169">
        <v>0.20523117413692896</v>
      </c>
      <c r="F169">
        <v>24165</v>
      </c>
    </row>
    <row r="170" spans="1:6" x14ac:dyDescent="0.25">
      <c r="A170" t="s">
        <v>14</v>
      </c>
      <c r="B170" t="s">
        <v>107</v>
      </c>
      <c r="C170">
        <v>44.470410000000001</v>
      </c>
      <c r="D170">
        <v>89.511759999999995</v>
      </c>
      <c r="E170">
        <v>0.18655233962437115</v>
      </c>
      <c r="F170">
        <v>24166</v>
      </c>
    </row>
    <row r="171" spans="1:6" x14ac:dyDescent="0.25">
      <c r="A171" t="s">
        <v>14</v>
      </c>
      <c r="B171" t="s">
        <v>107</v>
      </c>
      <c r="C171">
        <v>44.481119999999997</v>
      </c>
      <c r="D171">
        <v>89.479669999999999</v>
      </c>
      <c r="E171">
        <v>0.11061269286066149</v>
      </c>
      <c r="F171">
        <v>24169</v>
      </c>
    </row>
    <row r="172" spans="1:6" x14ac:dyDescent="0.25">
      <c r="A172" t="s">
        <v>14</v>
      </c>
      <c r="B172" t="s">
        <v>107</v>
      </c>
      <c r="C172">
        <v>44.46781</v>
      </c>
      <c r="D172">
        <v>89.486840000000001</v>
      </c>
      <c r="E172">
        <v>0.35324119388487729</v>
      </c>
      <c r="F172">
        <v>24172</v>
      </c>
    </row>
    <row r="173" spans="1:6" x14ac:dyDescent="0.25">
      <c r="A173" t="s">
        <v>14</v>
      </c>
      <c r="B173" t="s">
        <v>107</v>
      </c>
      <c r="C173">
        <v>44.475769999999997</v>
      </c>
      <c r="D173">
        <v>89.479730000000004</v>
      </c>
      <c r="E173">
        <v>0.20651894283956529</v>
      </c>
      <c r="F173">
        <v>24195</v>
      </c>
    </row>
    <row r="174" spans="1:6" x14ac:dyDescent="0.25">
      <c r="A174" t="s">
        <v>14</v>
      </c>
      <c r="B174" t="s">
        <v>107</v>
      </c>
      <c r="C174">
        <v>44.477910000000001</v>
      </c>
      <c r="D174">
        <v>89.479849999999999</v>
      </c>
      <c r="E174">
        <v>0.60960036158362574</v>
      </c>
      <c r="F174">
        <v>24197</v>
      </c>
    </row>
    <row r="175" spans="1:6" x14ac:dyDescent="0.25">
      <c r="A175" t="s">
        <v>14</v>
      </c>
      <c r="B175" t="s">
        <v>107</v>
      </c>
      <c r="C175">
        <v>44.48263</v>
      </c>
      <c r="D175">
        <v>89.479879999999994</v>
      </c>
      <c r="E175">
        <v>0.7003773628386416</v>
      </c>
      <c r="F175">
        <v>24203</v>
      </c>
    </row>
    <row r="176" spans="1:6" x14ac:dyDescent="0.25">
      <c r="A176" t="s">
        <v>14</v>
      </c>
      <c r="B176" t="s">
        <v>107</v>
      </c>
      <c r="C176">
        <v>44.481119999999997</v>
      </c>
      <c r="D176">
        <v>89.479669999999999</v>
      </c>
      <c r="E176">
        <v>7.4891751539475609E-2</v>
      </c>
      <c r="F176">
        <v>24216</v>
      </c>
    </row>
    <row r="177" spans="1:6" x14ac:dyDescent="0.25">
      <c r="A177" t="s">
        <v>14</v>
      </c>
      <c r="B177" t="s">
        <v>107</v>
      </c>
      <c r="C177">
        <v>44.466740000000001</v>
      </c>
      <c r="D177">
        <v>89.486720000000005</v>
      </c>
      <c r="E177">
        <v>0.3121849787248363</v>
      </c>
      <c r="F177">
        <v>24225</v>
      </c>
    </row>
    <row r="178" spans="1:6" x14ac:dyDescent="0.25">
      <c r="A178" t="s">
        <v>14</v>
      </c>
      <c r="B178" t="s">
        <v>107</v>
      </c>
      <c r="C178">
        <v>44.482399999999998</v>
      </c>
      <c r="D178">
        <v>89.479780000000005</v>
      </c>
      <c r="E178">
        <v>0.50103683514240882</v>
      </c>
      <c r="F178">
        <v>24226</v>
      </c>
    </row>
    <row r="179" spans="1:6" x14ac:dyDescent="0.25">
      <c r="A179" t="s">
        <v>14</v>
      </c>
      <c r="B179" t="s">
        <v>107</v>
      </c>
      <c r="C179">
        <v>44.46781</v>
      </c>
      <c r="D179">
        <v>89.486840000000001</v>
      </c>
      <c r="E179">
        <v>0.35406915853722332</v>
      </c>
      <c r="F179">
        <v>24227</v>
      </c>
    </row>
    <row r="180" spans="1:6" x14ac:dyDescent="0.25">
      <c r="A180" t="s">
        <v>14</v>
      </c>
      <c r="B180" t="s">
        <v>107</v>
      </c>
      <c r="C180">
        <v>44.469279999999998</v>
      </c>
      <c r="D180">
        <v>89.497129999999999</v>
      </c>
      <c r="E180">
        <v>0.85575472482086457</v>
      </c>
      <c r="F180">
        <v>24239</v>
      </c>
    </row>
    <row r="181" spans="1:6" x14ac:dyDescent="0.25">
      <c r="A181" t="s">
        <v>14</v>
      </c>
      <c r="B181" t="s">
        <v>107</v>
      </c>
      <c r="C181">
        <v>44.469250000000002</v>
      </c>
      <c r="D181">
        <v>89.483339999999998</v>
      </c>
      <c r="E181">
        <v>0.30032388175200392</v>
      </c>
      <c r="F181">
        <v>24240</v>
      </c>
    </row>
    <row r="182" spans="1:6" x14ac:dyDescent="0.25">
      <c r="A182" t="s">
        <v>14</v>
      </c>
      <c r="B182" t="s">
        <v>107</v>
      </c>
      <c r="C182">
        <v>44.468649999999997</v>
      </c>
      <c r="D182">
        <v>89.498069999999998</v>
      </c>
      <c r="E182">
        <v>0.17870046429806577</v>
      </c>
      <c r="F182">
        <v>24247</v>
      </c>
    </row>
    <row r="183" spans="1:6" x14ac:dyDescent="0.25">
      <c r="A183" t="s">
        <v>14</v>
      </c>
      <c r="B183" t="s">
        <v>107</v>
      </c>
      <c r="C183">
        <v>44.467849999999999</v>
      </c>
      <c r="D183">
        <v>89.487679999999997</v>
      </c>
      <c r="E183">
        <v>0.14831212881505096</v>
      </c>
      <c r="F183">
        <v>24249</v>
      </c>
    </row>
    <row r="184" spans="1:6" x14ac:dyDescent="0.25">
      <c r="A184" t="s">
        <v>14</v>
      </c>
      <c r="B184" t="s">
        <v>107</v>
      </c>
      <c r="C184">
        <v>44.470410000000001</v>
      </c>
      <c r="D184">
        <v>89.511759999999995</v>
      </c>
      <c r="E184">
        <v>0.17753495436638206</v>
      </c>
      <c r="F184">
        <v>24252</v>
      </c>
    </row>
    <row r="185" spans="1:6" x14ac:dyDescent="0.25">
      <c r="A185" t="s">
        <v>14</v>
      </c>
      <c r="B185" t="s">
        <v>107</v>
      </c>
      <c r="C185">
        <v>44.467849999999999</v>
      </c>
      <c r="D185">
        <v>89.487679999999997</v>
      </c>
      <c r="E185">
        <v>0.13557894197370055</v>
      </c>
      <c r="F185">
        <v>24253</v>
      </c>
    </row>
    <row r="186" spans="1:6" x14ac:dyDescent="0.25">
      <c r="A186" t="s">
        <v>14</v>
      </c>
      <c r="B186" t="s">
        <v>107</v>
      </c>
      <c r="C186">
        <v>44.470410000000001</v>
      </c>
      <c r="D186">
        <v>89.511759999999995</v>
      </c>
      <c r="E186">
        <v>0.18083613094913245</v>
      </c>
      <c r="F186">
        <v>24256</v>
      </c>
    </row>
    <row r="187" spans="1:6" x14ac:dyDescent="0.25">
      <c r="A187" t="s">
        <v>14</v>
      </c>
      <c r="B187" t="s">
        <v>107</v>
      </c>
      <c r="C187">
        <v>44.482799999999997</v>
      </c>
      <c r="D187">
        <v>89.479529999999997</v>
      </c>
      <c r="E187">
        <v>0.35476103092951122</v>
      </c>
      <c r="F187">
        <v>24265</v>
      </c>
    </row>
    <row r="188" spans="1:6" x14ac:dyDescent="0.25">
      <c r="A188" t="s">
        <v>14</v>
      </c>
      <c r="B188" t="s">
        <v>107</v>
      </c>
      <c r="C188">
        <v>44.469799999999999</v>
      </c>
      <c r="D188">
        <v>89.511669999999995</v>
      </c>
      <c r="E188">
        <v>0.25317253454925542</v>
      </c>
      <c r="F188">
        <v>24266</v>
      </c>
    </row>
    <row r="189" spans="1:6" x14ac:dyDescent="0.25">
      <c r="A189" t="s">
        <v>14</v>
      </c>
      <c r="B189" t="s">
        <v>107</v>
      </c>
      <c r="C189">
        <v>44.481520000000003</v>
      </c>
      <c r="D189">
        <v>89.479870000000005</v>
      </c>
      <c r="E189">
        <v>0.72629761312284924</v>
      </c>
      <c r="F189">
        <v>24274</v>
      </c>
    </row>
    <row r="190" spans="1:6" x14ac:dyDescent="0.25">
      <c r="A190" t="s">
        <v>14</v>
      </c>
      <c r="B190" t="s">
        <v>107</v>
      </c>
      <c r="C190">
        <v>44.482460000000003</v>
      </c>
      <c r="D190">
        <v>89.479780000000005</v>
      </c>
      <c r="E190">
        <v>0.29521875033417255</v>
      </c>
      <c r="F190">
        <v>24279</v>
      </c>
    </row>
    <row r="191" spans="1:6" x14ac:dyDescent="0.25">
      <c r="A191" t="s">
        <v>14</v>
      </c>
      <c r="B191" t="s">
        <v>107</v>
      </c>
      <c r="C191">
        <v>44.473640000000003</v>
      </c>
      <c r="D191">
        <v>89.522989999999993</v>
      </c>
      <c r="E191">
        <v>0.2005919235486405</v>
      </c>
      <c r="F191">
        <v>24283</v>
      </c>
    </row>
    <row r="192" spans="1:6" x14ac:dyDescent="0.25">
      <c r="A192" t="s">
        <v>14</v>
      </c>
      <c r="B192" t="s">
        <v>107</v>
      </c>
      <c r="C192">
        <v>44.481119999999997</v>
      </c>
      <c r="D192">
        <v>89.479669999999999</v>
      </c>
      <c r="E192">
        <v>8.7048551945774516E-2</v>
      </c>
      <c r="F192">
        <v>24285</v>
      </c>
    </row>
    <row r="193" spans="1:6" x14ac:dyDescent="0.25">
      <c r="A193" t="s">
        <v>14</v>
      </c>
      <c r="B193" t="s">
        <v>107</v>
      </c>
      <c r="C193">
        <v>44.481119999999997</v>
      </c>
      <c r="D193">
        <v>89.479669999999999</v>
      </c>
      <c r="E193">
        <v>8.9765318004825359E-2</v>
      </c>
      <c r="F193">
        <v>24286</v>
      </c>
    </row>
    <row r="194" spans="1:6" x14ac:dyDescent="0.25">
      <c r="A194" t="s">
        <v>14</v>
      </c>
      <c r="B194" t="s">
        <v>107</v>
      </c>
      <c r="C194">
        <v>44.46781</v>
      </c>
      <c r="D194">
        <v>89.486840000000001</v>
      </c>
      <c r="E194">
        <v>0.46746537486755829</v>
      </c>
      <c r="F194">
        <v>24291</v>
      </c>
    </row>
    <row r="195" spans="1:6" x14ac:dyDescent="0.25">
      <c r="A195" t="s">
        <v>14</v>
      </c>
      <c r="B195" t="s">
        <v>107</v>
      </c>
      <c r="C195">
        <v>44.469140000000003</v>
      </c>
      <c r="D195">
        <v>89.502390000000005</v>
      </c>
      <c r="E195">
        <v>0.26133432370060117</v>
      </c>
      <c r="F195">
        <v>24293</v>
      </c>
    </row>
    <row r="196" spans="1:6" x14ac:dyDescent="0.25">
      <c r="A196" t="s">
        <v>14</v>
      </c>
      <c r="B196" t="s">
        <v>107</v>
      </c>
      <c r="C196">
        <v>44.481119999999997</v>
      </c>
      <c r="D196">
        <v>89.479669999999999</v>
      </c>
      <c r="E196">
        <v>9.7518684751151705E-2</v>
      </c>
      <c r="F196">
        <v>24294</v>
      </c>
    </row>
    <row r="197" spans="1:6" x14ac:dyDescent="0.25">
      <c r="A197" t="s">
        <v>14</v>
      </c>
      <c r="B197" t="s">
        <v>107</v>
      </c>
      <c r="C197">
        <v>44.481119999999997</v>
      </c>
      <c r="D197">
        <v>89.479669999999999</v>
      </c>
      <c r="E197">
        <v>9.9405705379716019E-2</v>
      </c>
      <c r="F197">
        <v>24302</v>
      </c>
    </row>
    <row r="198" spans="1:6" x14ac:dyDescent="0.25">
      <c r="A198" t="s">
        <v>14</v>
      </c>
      <c r="B198" t="s">
        <v>107</v>
      </c>
      <c r="C198">
        <v>44.481119999999997</v>
      </c>
      <c r="D198">
        <v>89.479669999999999</v>
      </c>
      <c r="E198">
        <v>8.3724588992378751E-2</v>
      </c>
      <c r="F198">
        <v>24305</v>
      </c>
    </row>
    <row r="199" spans="1:6" x14ac:dyDescent="0.25">
      <c r="A199" t="s">
        <v>14</v>
      </c>
      <c r="B199" t="s">
        <v>107</v>
      </c>
      <c r="C199">
        <v>44.4679</v>
      </c>
      <c r="D199">
        <v>89.487129999999993</v>
      </c>
      <c r="E199">
        <v>0.23563329142853087</v>
      </c>
      <c r="F199">
        <v>24307</v>
      </c>
    </row>
    <row r="200" spans="1:6" x14ac:dyDescent="0.25">
      <c r="A200" t="s">
        <v>14</v>
      </c>
      <c r="B200" t="s">
        <v>107</v>
      </c>
      <c r="C200">
        <v>44.468649999999997</v>
      </c>
      <c r="D200">
        <v>89.498069999999998</v>
      </c>
      <c r="E200">
        <v>0.28824486843423819</v>
      </c>
      <c r="F200">
        <v>24311</v>
      </c>
    </row>
    <row r="201" spans="1:6" x14ac:dyDescent="0.25">
      <c r="A201" t="s">
        <v>14</v>
      </c>
      <c r="B201" t="s">
        <v>107</v>
      </c>
      <c r="C201">
        <v>44.473640000000003</v>
      </c>
      <c r="D201">
        <v>89.522989999999993</v>
      </c>
      <c r="E201">
        <v>0.10314642830673641</v>
      </c>
      <c r="F201">
        <v>24317</v>
      </c>
    </row>
    <row r="202" spans="1:6" x14ac:dyDescent="0.25">
      <c r="A202" t="s">
        <v>14</v>
      </c>
      <c r="B202" t="s">
        <v>107</v>
      </c>
      <c r="C202">
        <v>44.469389999999997</v>
      </c>
      <c r="D202">
        <v>89.502489999999995</v>
      </c>
      <c r="E202">
        <v>0.88784017293845152</v>
      </c>
      <c r="F202">
        <v>24323</v>
      </c>
    </row>
    <row r="203" spans="1:6" x14ac:dyDescent="0.25">
      <c r="A203" t="s">
        <v>14</v>
      </c>
      <c r="B203" t="s">
        <v>107</v>
      </c>
      <c r="C203">
        <v>44.482410000000002</v>
      </c>
      <c r="D203">
        <v>89.479749999999996</v>
      </c>
      <c r="E203">
        <v>0.2839142897018998</v>
      </c>
      <c r="F203">
        <v>58403</v>
      </c>
    </row>
    <row r="204" spans="1:6" x14ac:dyDescent="0.25">
      <c r="A204" t="s">
        <v>14</v>
      </c>
      <c r="B204" t="s">
        <v>107</v>
      </c>
      <c r="C204">
        <v>44.470379999999999</v>
      </c>
      <c r="D204">
        <v>89.513419999999996</v>
      </c>
      <c r="E204">
        <v>0.65848608199149705</v>
      </c>
      <c r="F204">
        <v>58405</v>
      </c>
    </row>
    <row r="205" spans="1:6" x14ac:dyDescent="0.25">
      <c r="A205" t="s">
        <v>14</v>
      </c>
      <c r="B205" t="s">
        <v>107</v>
      </c>
      <c r="C205">
        <v>44.470410000000001</v>
      </c>
      <c r="D205">
        <v>89.511759999999995</v>
      </c>
      <c r="E205">
        <v>8.5225397766057559E-2</v>
      </c>
      <c r="F205">
        <v>58406</v>
      </c>
    </row>
    <row r="206" spans="1:6" x14ac:dyDescent="0.25">
      <c r="A206" t="s">
        <v>14</v>
      </c>
      <c r="B206" t="s">
        <v>107</v>
      </c>
      <c r="C206">
        <v>44.470410000000001</v>
      </c>
      <c r="D206">
        <v>89.511759999999995</v>
      </c>
      <c r="E206">
        <v>0.10742682716306066</v>
      </c>
      <c r="F206">
        <v>58407</v>
      </c>
    </row>
    <row r="207" spans="1:6" x14ac:dyDescent="0.25">
      <c r="A207" t="s">
        <v>14</v>
      </c>
      <c r="B207" t="s">
        <v>107</v>
      </c>
      <c r="C207">
        <v>44.469250000000002</v>
      </c>
      <c r="D207">
        <v>89.483339999999998</v>
      </c>
      <c r="E207">
        <v>0.3237874621221441</v>
      </c>
      <c r="F207">
        <v>58410</v>
      </c>
    </row>
    <row r="208" spans="1:6" x14ac:dyDescent="0.25">
      <c r="A208" t="s">
        <v>14</v>
      </c>
      <c r="B208" t="s">
        <v>107</v>
      </c>
      <c r="C208">
        <v>44.4679</v>
      </c>
      <c r="D208">
        <v>89.487129999999993</v>
      </c>
      <c r="E208">
        <v>0.19370829420946989</v>
      </c>
      <c r="F208">
        <v>58411</v>
      </c>
    </row>
    <row r="209" spans="1:6" x14ac:dyDescent="0.25">
      <c r="A209" t="s">
        <v>14</v>
      </c>
      <c r="B209" t="s">
        <v>107</v>
      </c>
      <c r="C209">
        <v>44.482410000000002</v>
      </c>
      <c r="D209">
        <v>89.479749999999996</v>
      </c>
      <c r="E209">
        <v>0.28712774530135032</v>
      </c>
      <c r="F209">
        <v>58414</v>
      </c>
    </row>
    <row r="210" spans="1:6" x14ac:dyDescent="0.25">
      <c r="A210" t="s">
        <v>14</v>
      </c>
      <c r="B210" t="s">
        <v>107</v>
      </c>
      <c r="C210">
        <v>44.482410000000002</v>
      </c>
      <c r="D210">
        <v>89.479749999999996</v>
      </c>
      <c r="E210">
        <v>0.28681124426020244</v>
      </c>
      <c r="F210">
        <v>58416</v>
      </c>
    </row>
    <row r="211" spans="1:6" x14ac:dyDescent="0.25">
      <c r="A211" t="s">
        <v>14</v>
      </c>
      <c r="B211" t="s">
        <v>107</v>
      </c>
      <c r="C211">
        <v>44.467680000000001</v>
      </c>
      <c r="D211">
        <v>89.487570000000005</v>
      </c>
      <c r="E211">
        <v>0.13664384636765306</v>
      </c>
      <c r="F211">
        <v>58424</v>
      </c>
    </row>
    <row r="212" spans="1:6" x14ac:dyDescent="0.25">
      <c r="A212" t="s">
        <v>14</v>
      </c>
      <c r="B212" t="s">
        <v>107</v>
      </c>
      <c r="C212">
        <v>44.469250000000002</v>
      </c>
      <c r="D212">
        <v>89.483339999999998</v>
      </c>
      <c r="E212">
        <v>0.31458741762227044</v>
      </c>
      <c r="F212">
        <v>58433</v>
      </c>
    </row>
    <row r="213" spans="1:6" x14ac:dyDescent="0.25">
      <c r="A213" t="s">
        <v>14</v>
      </c>
      <c r="B213" t="s">
        <v>107</v>
      </c>
      <c r="C213">
        <v>44.468649999999997</v>
      </c>
      <c r="D213">
        <v>89.498069999999998</v>
      </c>
      <c r="E213">
        <v>0.21110288539605426</v>
      </c>
      <c r="F213">
        <v>58434</v>
      </c>
    </row>
    <row r="214" spans="1:6" x14ac:dyDescent="0.25">
      <c r="A214" t="s">
        <v>14</v>
      </c>
      <c r="B214" t="s">
        <v>107</v>
      </c>
      <c r="C214">
        <v>44.468649999999997</v>
      </c>
      <c r="D214">
        <v>89.498069999999998</v>
      </c>
      <c r="E214">
        <v>0.21348305718450555</v>
      </c>
      <c r="F214">
        <v>67673</v>
      </c>
    </row>
    <row r="215" spans="1:6" x14ac:dyDescent="0.25">
      <c r="A215" t="s">
        <v>14</v>
      </c>
      <c r="B215" t="s">
        <v>107</v>
      </c>
      <c r="C215">
        <v>44.467849999999999</v>
      </c>
      <c r="D215">
        <v>89.487679999999997</v>
      </c>
      <c r="E215">
        <v>8.7916991250319501E-2</v>
      </c>
      <c r="F215">
        <v>67895</v>
      </c>
    </row>
    <row r="216" spans="1:6" x14ac:dyDescent="0.25">
      <c r="A216" t="s">
        <v>14</v>
      </c>
      <c r="B216" t="s">
        <v>107</v>
      </c>
      <c r="C216">
        <v>44.470379999999999</v>
      </c>
      <c r="D216">
        <v>89.513419999999996</v>
      </c>
      <c r="E216">
        <v>0.57284242359097715</v>
      </c>
      <c r="F216">
        <v>68008</v>
      </c>
    </row>
    <row r="217" spans="1:6" x14ac:dyDescent="0.25">
      <c r="A217" t="s">
        <v>14</v>
      </c>
      <c r="B217" t="s">
        <v>107</v>
      </c>
      <c r="C217">
        <v>44.472119999999997</v>
      </c>
      <c r="D217">
        <v>89.482460000000003</v>
      </c>
      <c r="E217">
        <v>0.12645193411770991</v>
      </c>
      <c r="F217">
        <v>68216</v>
      </c>
    </row>
    <row r="218" spans="1:6" x14ac:dyDescent="0.25">
      <c r="A218" t="s">
        <v>14</v>
      </c>
      <c r="B218" t="s">
        <v>107</v>
      </c>
      <c r="C218">
        <v>44.472119999999997</v>
      </c>
      <c r="D218">
        <v>89.482460000000003</v>
      </c>
      <c r="E218">
        <v>0.10920135239891753</v>
      </c>
      <c r="F218">
        <v>68218</v>
      </c>
    </row>
    <row r="219" spans="1:6" x14ac:dyDescent="0.25">
      <c r="A219" t="s">
        <v>14</v>
      </c>
      <c r="B219" t="s">
        <v>107</v>
      </c>
      <c r="C219">
        <v>44.472119999999997</v>
      </c>
      <c r="D219">
        <v>89.482460000000003</v>
      </c>
      <c r="E219">
        <v>0.12345398793673903</v>
      </c>
      <c r="F219">
        <v>68219</v>
      </c>
    </row>
    <row r="220" spans="1:6" x14ac:dyDescent="0.25">
      <c r="A220" t="s">
        <v>14</v>
      </c>
      <c r="B220" t="s">
        <v>107</v>
      </c>
      <c r="C220">
        <v>44.472119999999997</v>
      </c>
      <c r="D220">
        <v>89.482460000000003</v>
      </c>
      <c r="E220">
        <v>0.12018093481706961</v>
      </c>
      <c r="F220">
        <v>68220</v>
      </c>
    </row>
    <row r="221" spans="1:6" x14ac:dyDescent="0.25">
      <c r="A221" t="s">
        <v>14</v>
      </c>
      <c r="B221" t="s">
        <v>107</v>
      </c>
      <c r="C221">
        <v>44.472119999999997</v>
      </c>
      <c r="D221">
        <v>89.482460000000003</v>
      </c>
      <c r="E221">
        <v>0.1341575414141859</v>
      </c>
      <c r="F221">
        <v>68221</v>
      </c>
    </row>
    <row r="222" spans="1:6" x14ac:dyDescent="0.25">
      <c r="A222" t="s">
        <v>14</v>
      </c>
      <c r="B222" t="s">
        <v>107</v>
      </c>
      <c r="C222">
        <v>44.472119999999997</v>
      </c>
      <c r="D222">
        <v>89.482460000000003</v>
      </c>
      <c r="E222">
        <v>2.5127032382574532E-2</v>
      </c>
      <c r="F222">
        <v>68294</v>
      </c>
    </row>
    <row r="223" spans="1:6" x14ac:dyDescent="0.25">
      <c r="A223" t="s">
        <v>14</v>
      </c>
      <c r="B223" t="s">
        <v>107</v>
      </c>
      <c r="C223">
        <v>44.469250000000002</v>
      </c>
      <c r="D223">
        <v>89.483339999999998</v>
      </c>
      <c r="E223">
        <v>0.33064924652563626</v>
      </c>
      <c r="F223">
        <v>68475</v>
      </c>
    </row>
    <row r="224" spans="1:6" x14ac:dyDescent="0.25">
      <c r="A224" t="s">
        <v>14</v>
      </c>
      <c r="B224" t="s">
        <v>107</v>
      </c>
      <c r="C224">
        <v>44.479959999999998</v>
      </c>
      <c r="D224">
        <v>89.479820000000004</v>
      </c>
      <c r="E224">
        <v>0.93980489709626325</v>
      </c>
      <c r="F224">
        <v>68529</v>
      </c>
    </row>
    <row r="225" spans="1:6" x14ac:dyDescent="0.25">
      <c r="A225" t="s">
        <v>14</v>
      </c>
      <c r="B225" t="s">
        <v>107</v>
      </c>
      <c r="C225">
        <v>44.467849999999999</v>
      </c>
      <c r="D225">
        <v>89.487679999999997</v>
      </c>
      <c r="E225">
        <v>0.11211087300459599</v>
      </c>
      <c r="F225">
        <v>68693</v>
      </c>
    </row>
    <row r="226" spans="1:6" x14ac:dyDescent="0.25">
      <c r="A226" t="s">
        <v>14</v>
      </c>
      <c r="B226" t="s">
        <v>107</v>
      </c>
      <c r="C226">
        <v>44.467849999999999</v>
      </c>
      <c r="D226">
        <v>89.487679999999997</v>
      </c>
      <c r="E226">
        <v>0.11358830565914244</v>
      </c>
      <c r="F226">
        <v>68695</v>
      </c>
    </row>
    <row r="227" spans="1:6" x14ac:dyDescent="0.25">
      <c r="A227" t="s">
        <v>14</v>
      </c>
      <c r="B227" t="s">
        <v>107</v>
      </c>
      <c r="C227">
        <v>44.469799999999999</v>
      </c>
      <c r="D227">
        <v>89.511669999999995</v>
      </c>
      <c r="E227">
        <v>0.23790692800552943</v>
      </c>
      <c r="F227">
        <v>68872</v>
      </c>
    </row>
    <row r="228" spans="1:6" x14ac:dyDescent="0.25">
      <c r="A228" t="s">
        <v>14</v>
      </c>
      <c r="B228" t="s">
        <v>107</v>
      </c>
      <c r="C228">
        <v>44.482199999999999</v>
      </c>
      <c r="D228">
        <v>89.479680000000002</v>
      </c>
      <c r="E228">
        <v>0.16313725210646912</v>
      </c>
      <c r="F228">
        <v>68917</v>
      </c>
    </row>
    <row r="229" spans="1:6" x14ac:dyDescent="0.25">
      <c r="A229" t="s">
        <v>14</v>
      </c>
      <c r="B229" t="s">
        <v>107</v>
      </c>
      <c r="C229">
        <v>44.482559999999999</v>
      </c>
      <c r="D229">
        <v>89.479280000000003</v>
      </c>
      <c r="E229">
        <v>0.35126374597525645</v>
      </c>
      <c r="F229">
        <v>68925</v>
      </c>
    </row>
    <row r="230" spans="1:6" x14ac:dyDescent="0.25">
      <c r="A230" t="s">
        <v>14</v>
      </c>
      <c r="B230" t="s">
        <v>107</v>
      </c>
      <c r="C230">
        <v>44.482559999999999</v>
      </c>
      <c r="D230">
        <v>89.479280000000003</v>
      </c>
      <c r="E230">
        <v>0.34293440708687029</v>
      </c>
      <c r="F230">
        <v>68926</v>
      </c>
    </row>
    <row r="231" spans="1:6" x14ac:dyDescent="0.25">
      <c r="A231" t="s">
        <v>14</v>
      </c>
      <c r="B231" t="s">
        <v>107</v>
      </c>
      <c r="C231">
        <v>44.481520000000003</v>
      </c>
      <c r="D231">
        <v>89.479870000000005</v>
      </c>
      <c r="E231">
        <v>0.92335442073397911</v>
      </c>
      <c r="F231">
        <v>69049</v>
      </c>
    </row>
    <row r="232" spans="1:6" x14ac:dyDescent="0.25">
      <c r="A232" t="s">
        <v>14</v>
      </c>
      <c r="B232" t="s">
        <v>107</v>
      </c>
      <c r="C232">
        <v>44.4679</v>
      </c>
      <c r="D232">
        <v>89.487129999999993</v>
      </c>
      <c r="E232">
        <v>0.24657115428198492</v>
      </c>
      <c r="F232">
        <v>69065</v>
      </c>
    </row>
    <row r="233" spans="1:6" x14ac:dyDescent="0.25">
      <c r="A233" t="s">
        <v>14</v>
      </c>
      <c r="B233" t="s">
        <v>107</v>
      </c>
      <c r="C233">
        <v>44.469470000000001</v>
      </c>
      <c r="D233">
        <v>89.483149999999995</v>
      </c>
      <c r="E233">
        <v>0.55259830622817019</v>
      </c>
      <c r="F233">
        <v>69282</v>
      </c>
    </row>
    <row r="234" spans="1:6" x14ac:dyDescent="0.25">
      <c r="A234" t="s">
        <v>14</v>
      </c>
      <c r="B234" t="s">
        <v>107</v>
      </c>
      <c r="C234">
        <v>44.472119999999997</v>
      </c>
      <c r="D234">
        <v>89.482460000000003</v>
      </c>
      <c r="E234">
        <v>7.6712031057351054E-2</v>
      </c>
      <c r="F234">
        <v>69288</v>
      </c>
    </row>
    <row r="235" spans="1:6" x14ac:dyDescent="0.25">
      <c r="A235" t="s">
        <v>14</v>
      </c>
      <c r="B235" t="s">
        <v>107</v>
      </c>
      <c r="C235">
        <v>44.472119999999997</v>
      </c>
      <c r="D235">
        <v>89.482460000000003</v>
      </c>
      <c r="E235">
        <v>5.17723983539796E-2</v>
      </c>
      <c r="F235">
        <v>69289</v>
      </c>
    </row>
    <row r="236" spans="1:6" x14ac:dyDescent="0.25">
      <c r="A236" t="s">
        <v>14</v>
      </c>
      <c r="B236" t="s">
        <v>107</v>
      </c>
      <c r="C236">
        <v>44.47598</v>
      </c>
      <c r="D236">
        <v>89.479780000000005</v>
      </c>
      <c r="E236">
        <v>0.21874739930956416</v>
      </c>
      <c r="F236">
        <v>69480</v>
      </c>
    </row>
    <row r="237" spans="1:6" x14ac:dyDescent="0.25">
      <c r="A237" t="s">
        <v>14</v>
      </c>
      <c r="B237" t="s">
        <v>107</v>
      </c>
      <c r="C237">
        <v>44.481119999999997</v>
      </c>
      <c r="D237">
        <v>89.479669999999999</v>
      </c>
      <c r="E237">
        <v>9.3207868259300247E-2</v>
      </c>
      <c r="F237">
        <v>69508</v>
      </c>
    </row>
    <row r="238" spans="1:6" x14ac:dyDescent="0.25">
      <c r="A238" t="s">
        <v>14</v>
      </c>
      <c r="B238" t="s">
        <v>107</v>
      </c>
      <c r="C238">
        <v>44.481119999999997</v>
      </c>
      <c r="D238">
        <v>89.479669999999999</v>
      </c>
      <c r="E238">
        <v>0.14503215780506851</v>
      </c>
      <c r="F238">
        <v>69576</v>
      </c>
    </row>
    <row r="239" spans="1:6" x14ac:dyDescent="0.25">
      <c r="A239" t="s">
        <v>14</v>
      </c>
      <c r="B239" t="s">
        <v>107</v>
      </c>
      <c r="C239">
        <v>44.482050000000001</v>
      </c>
      <c r="D239">
        <v>89.480069999999998</v>
      </c>
      <c r="E239">
        <v>8.774938512523181E-2</v>
      </c>
      <c r="F239">
        <v>69635</v>
      </c>
    </row>
    <row r="240" spans="1:6" x14ac:dyDescent="0.25">
      <c r="A240" t="s">
        <v>14</v>
      </c>
      <c r="B240" t="s">
        <v>107</v>
      </c>
      <c r="C240">
        <v>44.482050000000001</v>
      </c>
      <c r="D240">
        <v>89.480069999999998</v>
      </c>
      <c r="E240">
        <v>0.10884793463000392</v>
      </c>
      <c r="F240">
        <v>69636</v>
      </c>
    </row>
    <row r="241" spans="1:6" x14ac:dyDescent="0.25">
      <c r="A241" t="s">
        <v>14</v>
      </c>
      <c r="B241" t="s">
        <v>107</v>
      </c>
      <c r="C241">
        <v>44.482050000000001</v>
      </c>
      <c r="D241">
        <v>89.480069999999998</v>
      </c>
      <c r="E241">
        <v>0.10886448117229884</v>
      </c>
      <c r="F241">
        <v>69638</v>
      </c>
    </row>
    <row r="242" spans="1:6" x14ac:dyDescent="0.25">
      <c r="A242" t="s">
        <v>14</v>
      </c>
      <c r="B242" t="s">
        <v>107</v>
      </c>
      <c r="C242">
        <v>44.472119999999997</v>
      </c>
      <c r="D242">
        <v>89.482460000000003</v>
      </c>
      <c r="E242">
        <v>7.0260372197693641E-2</v>
      </c>
      <c r="F242">
        <v>69669</v>
      </c>
    </row>
    <row r="243" spans="1:6" x14ac:dyDescent="0.25">
      <c r="A243" t="s">
        <v>14</v>
      </c>
      <c r="B243" t="s">
        <v>107</v>
      </c>
      <c r="C243">
        <v>44.469279999999998</v>
      </c>
      <c r="D243">
        <v>89.497129999999999</v>
      </c>
      <c r="E243">
        <v>0.84585498410517446</v>
      </c>
      <c r="F243">
        <v>69970</v>
      </c>
    </row>
    <row r="244" spans="1:6" x14ac:dyDescent="0.25">
      <c r="A244" t="s">
        <v>14</v>
      </c>
      <c r="B244" t="s">
        <v>107</v>
      </c>
      <c r="C244">
        <v>44.48265</v>
      </c>
      <c r="D244">
        <v>89.479759999999999</v>
      </c>
      <c r="E244">
        <v>0.1445506452812261</v>
      </c>
      <c r="F244">
        <v>69990</v>
      </c>
    </row>
    <row r="245" spans="1:6" x14ac:dyDescent="0.25">
      <c r="A245" t="s">
        <v>14</v>
      </c>
      <c r="B245" t="s">
        <v>107</v>
      </c>
      <c r="C245">
        <v>44.472000000000001</v>
      </c>
      <c r="D245">
        <v>89.520039999999995</v>
      </c>
      <c r="E245">
        <v>0.5927074757201275</v>
      </c>
      <c r="F245">
        <v>70119</v>
      </c>
    </row>
    <row r="246" spans="1:6" x14ac:dyDescent="0.25">
      <c r="A246" t="s">
        <v>14</v>
      </c>
      <c r="B246" t="s">
        <v>107</v>
      </c>
      <c r="C246">
        <v>44.482469999999999</v>
      </c>
      <c r="D246">
        <v>89.479839999999996</v>
      </c>
      <c r="E246">
        <v>0.57266511736602854</v>
      </c>
      <c r="F246">
        <v>70120</v>
      </c>
    </row>
    <row r="247" spans="1:6" x14ac:dyDescent="0.25">
      <c r="A247" t="s">
        <v>14</v>
      </c>
      <c r="B247" t="s">
        <v>107</v>
      </c>
      <c r="C247">
        <v>44.481520000000003</v>
      </c>
      <c r="D247">
        <v>89.479870000000005</v>
      </c>
      <c r="E247">
        <v>0.77809575363200467</v>
      </c>
      <c r="F247">
        <v>70186</v>
      </c>
    </row>
    <row r="248" spans="1:6" x14ac:dyDescent="0.25">
      <c r="A248" t="s">
        <v>14</v>
      </c>
      <c r="B248" t="s">
        <v>107</v>
      </c>
      <c r="C248">
        <v>44.481119999999997</v>
      </c>
      <c r="D248">
        <v>89.479669999999999</v>
      </c>
      <c r="E248">
        <v>0.12023111871910504</v>
      </c>
      <c r="F248">
        <v>70191</v>
      </c>
    </row>
    <row r="249" spans="1:6" x14ac:dyDescent="0.25">
      <c r="A249" t="s">
        <v>14</v>
      </c>
      <c r="B249" t="s">
        <v>107</v>
      </c>
      <c r="C249">
        <v>44.472119999999997</v>
      </c>
      <c r="D249">
        <v>89.482460000000003</v>
      </c>
      <c r="E249">
        <v>6.1306035901718757E-2</v>
      </c>
      <c r="F249">
        <v>70263</v>
      </c>
    </row>
    <row r="250" spans="1:6" x14ac:dyDescent="0.25">
      <c r="A250" t="s">
        <v>14</v>
      </c>
      <c r="B250" t="s">
        <v>107</v>
      </c>
      <c r="C250">
        <v>44.481119999999997</v>
      </c>
      <c r="D250">
        <v>89.479669999999999</v>
      </c>
      <c r="E250">
        <v>9.8181172924348456E-2</v>
      </c>
      <c r="F250">
        <v>70517</v>
      </c>
    </row>
    <row r="251" spans="1:6" x14ac:dyDescent="0.25">
      <c r="A251" t="s">
        <v>14</v>
      </c>
      <c r="B251" t="s">
        <v>107</v>
      </c>
      <c r="C251">
        <v>44.481119999999997</v>
      </c>
      <c r="D251">
        <v>89.479669999999999</v>
      </c>
      <c r="E251">
        <v>9.8290646161223252E-2</v>
      </c>
      <c r="F251">
        <v>70519</v>
      </c>
    </row>
    <row r="252" spans="1:6" x14ac:dyDescent="0.25">
      <c r="A252" t="s">
        <v>14</v>
      </c>
      <c r="B252" t="s">
        <v>107</v>
      </c>
      <c r="C252">
        <v>44.481119999999997</v>
      </c>
      <c r="D252">
        <v>89.479669999999999</v>
      </c>
      <c r="E252">
        <v>9.8505355671764119E-2</v>
      </c>
      <c r="F252">
        <v>70520</v>
      </c>
    </row>
    <row r="253" spans="1:6" x14ac:dyDescent="0.25">
      <c r="A253" t="s">
        <v>14</v>
      </c>
      <c r="B253" t="s">
        <v>107</v>
      </c>
      <c r="C253">
        <v>44.481119999999997</v>
      </c>
      <c r="D253">
        <v>89.479669999999999</v>
      </c>
      <c r="E253">
        <v>2.8566136067248706E-2</v>
      </c>
      <c r="F253">
        <v>70548</v>
      </c>
    </row>
    <row r="254" spans="1:6" x14ac:dyDescent="0.25">
      <c r="A254" t="s">
        <v>14</v>
      </c>
      <c r="B254" t="s">
        <v>107</v>
      </c>
      <c r="C254">
        <v>44.481520000000003</v>
      </c>
      <c r="D254">
        <v>89.479870000000005</v>
      </c>
      <c r="E254">
        <v>0.46509730675928995</v>
      </c>
      <c r="F254">
        <v>70881</v>
      </c>
    </row>
    <row r="255" spans="1:6" x14ac:dyDescent="0.25">
      <c r="A255" t="s">
        <v>14</v>
      </c>
      <c r="B255" t="s">
        <v>107</v>
      </c>
      <c r="C255">
        <v>44.482199999999999</v>
      </c>
      <c r="D255">
        <v>89.479680000000002</v>
      </c>
      <c r="E255">
        <v>0.19302825405392707</v>
      </c>
      <c r="F255">
        <v>70961</v>
      </c>
    </row>
    <row r="256" spans="1:6" x14ac:dyDescent="0.25">
      <c r="A256" t="s">
        <v>14</v>
      </c>
      <c r="B256" t="s">
        <v>107</v>
      </c>
      <c r="C256">
        <v>44.482199999999999</v>
      </c>
      <c r="D256">
        <v>89.479680000000002</v>
      </c>
      <c r="E256">
        <v>0.19291055092139772</v>
      </c>
      <c r="F256">
        <v>70974</v>
      </c>
    </row>
    <row r="257" spans="1:6" x14ac:dyDescent="0.25">
      <c r="A257" t="s">
        <v>14</v>
      </c>
      <c r="B257" t="s">
        <v>107</v>
      </c>
      <c r="C257">
        <v>44.482199999999999</v>
      </c>
      <c r="D257">
        <v>89.479680000000002</v>
      </c>
      <c r="E257">
        <v>0.19291055092139772</v>
      </c>
      <c r="F257">
        <v>70975</v>
      </c>
    </row>
    <row r="258" spans="1:6" x14ac:dyDescent="0.25">
      <c r="A258" t="s">
        <v>14</v>
      </c>
      <c r="B258" t="s">
        <v>107</v>
      </c>
      <c r="C258">
        <v>44.482399999999998</v>
      </c>
      <c r="D258">
        <v>89.479820000000004</v>
      </c>
      <c r="E258">
        <v>0.76403888909683237</v>
      </c>
      <c r="F258">
        <v>71044</v>
      </c>
    </row>
    <row r="259" spans="1:6" x14ac:dyDescent="0.25">
      <c r="A259" t="s">
        <v>14</v>
      </c>
      <c r="B259" t="s">
        <v>107</v>
      </c>
      <c r="C259">
        <v>44.468879999999999</v>
      </c>
      <c r="D259">
        <v>89.485780000000005</v>
      </c>
      <c r="E259">
        <v>0.1795843732796481</v>
      </c>
      <c r="F259">
        <v>71062</v>
      </c>
    </row>
    <row r="260" spans="1:6" x14ac:dyDescent="0.25">
      <c r="A260" t="s">
        <v>14</v>
      </c>
      <c r="B260" t="s">
        <v>107</v>
      </c>
      <c r="C260">
        <v>44.4679</v>
      </c>
      <c r="D260">
        <v>89.487129999999993</v>
      </c>
      <c r="E260">
        <v>0.20637655060697899</v>
      </c>
      <c r="F260">
        <v>71063</v>
      </c>
    </row>
    <row r="261" spans="1:6" x14ac:dyDescent="0.25">
      <c r="A261" t="s">
        <v>14</v>
      </c>
      <c r="B261" t="s">
        <v>107</v>
      </c>
      <c r="C261">
        <v>44.482399999999998</v>
      </c>
      <c r="D261">
        <v>89.479820000000004</v>
      </c>
      <c r="E261">
        <v>0.7704948718125143</v>
      </c>
      <c r="F261">
        <v>71109</v>
      </c>
    </row>
    <row r="262" spans="1:6" x14ac:dyDescent="0.25">
      <c r="A262" t="s">
        <v>14</v>
      </c>
      <c r="B262" t="s">
        <v>107</v>
      </c>
      <c r="C262">
        <v>44.482399999999998</v>
      </c>
      <c r="D262">
        <v>89.479820000000004</v>
      </c>
      <c r="E262">
        <v>0.74641585015269507</v>
      </c>
      <c r="F262">
        <v>71110</v>
      </c>
    </row>
    <row r="263" spans="1:6" x14ac:dyDescent="0.25">
      <c r="A263" t="s">
        <v>14</v>
      </c>
      <c r="B263" t="s">
        <v>107</v>
      </c>
      <c r="C263">
        <v>44.468020000000003</v>
      </c>
      <c r="D263">
        <v>89.486630000000005</v>
      </c>
      <c r="E263">
        <v>0.15629214702623767</v>
      </c>
      <c r="F263">
        <v>71117</v>
      </c>
    </row>
    <row r="264" spans="1:6" x14ac:dyDescent="0.25">
      <c r="A264" t="s">
        <v>14</v>
      </c>
      <c r="B264" t="s">
        <v>107</v>
      </c>
      <c r="C264">
        <v>44.475450000000002</v>
      </c>
      <c r="D264">
        <v>89.479529999999997</v>
      </c>
      <c r="E264">
        <v>4.1254582631306901E-2</v>
      </c>
      <c r="F264">
        <v>71156</v>
      </c>
    </row>
    <row r="265" spans="1:6" x14ac:dyDescent="0.25">
      <c r="A265" t="s">
        <v>14</v>
      </c>
      <c r="B265" t="s">
        <v>107</v>
      </c>
      <c r="C265">
        <v>44.482570000000003</v>
      </c>
      <c r="D265">
        <v>89.479969999999994</v>
      </c>
      <c r="E265">
        <v>0.24290085502256223</v>
      </c>
      <c r="F265">
        <v>71199</v>
      </c>
    </row>
    <row r="266" spans="1:6" x14ac:dyDescent="0.25">
      <c r="A266" t="s">
        <v>14</v>
      </c>
      <c r="B266" t="s">
        <v>107</v>
      </c>
      <c r="C266">
        <v>44.4681</v>
      </c>
      <c r="D266">
        <v>89.487700000000004</v>
      </c>
      <c r="E266">
        <v>0.36091719086995239</v>
      </c>
      <c r="F266">
        <v>71495</v>
      </c>
    </row>
    <row r="267" spans="1:6" x14ac:dyDescent="0.25">
      <c r="A267" t="s">
        <v>14</v>
      </c>
      <c r="B267" t="s">
        <v>107</v>
      </c>
      <c r="C267">
        <v>44.482460000000003</v>
      </c>
      <c r="D267">
        <v>89.479780000000005</v>
      </c>
      <c r="E267">
        <v>0.29635359466716937</v>
      </c>
      <c r="F267">
        <v>71935</v>
      </c>
    </row>
    <row r="268" spans="1:6" x14ac:dyDescent="0.25">
      <c r="A268" t="s">
        <v>14</v>
      </c>
      <c r="B268" t="s">
        <v>107</v>
      </c>
      <c r="C268">
        <v>44.472119999999997</v>
      </c>
      <c r="D268">
        <v>89.482460000000003</v>
      </c>
      <c r="E268">
        <v>6.1227774808533607E-2</v>
      </c>
      <c r="F268">
        <v>71998</v>
      </c>
    </row>
    <row r="269" spans="1:6" x14ac:dyDescent="0.25">
      <c r="A269" t="s">
        <v>14</v>
      </c>
      <c r="B269" t="s">
        <v>107</v>
      </c>
      <c r="C269">
        <v>44.468649999999997</v>
      </c>
      <c r="D269">
        <v>89.498069999999998</v>
      </c>
      <c r="E269">
        <v>0.26287251951960444</v>
      </c>
      <c r="F269">
        <v>72082</v>
      </c>
    </row>
    <row r="270" spans="1:6" x14ac:dyDescent="0.25">
      <c r="A270" t="s">
        <v>14</v>
      </c>
      <c r="B270" t="s">
        <v>107</v>
      </c>
      <c r="C270">
        <v>44.470410000000001</v>
      </c>
      <c r="D270">
        <v>89.511759999999995</v>
      </c>
      <c r="E270">
        <v>0.10910111853614356</v>
      </c>
      <c r="F270">
        <v>72094</v>
      </c>
    </row>
    <row r="271" spans="1:6" x14ac:dyDescent="0.25">
      <c r="A271" t="s">
        <v>14</v>
      </c>
      <c r="B271" t="s">
        <v>107</v>
      </c>
      <c r="C271">
        <v>44.470410000000001</v>
      </c>
      <c r="D271">
        <v>89.511759999999995</v>
      </c>
      <c r="E271">
        <v>0.10552721378062017</v>
      </c>
      <c r="F271">
        <v>72095</v>
      </c>
    </row>
    <row r="272" spans="1:6" x14ac:dyDescent="0.25">
      <c r="A272" t="s">
        <v>14</v>
      </c>
      <c r="B272" t="s">
        <v>107</v>
      </c>
      <c r="C272">
        <v>44.467849999999999</v>
      </c>
      <c r="D272">
        <v>89.487679999999997</v>
      </c>
      <c r="E272">
        <v>0.21001761667855523</v>
      </c>
      <c r="F272">
        <v>72269</v>
      </c>
    </row>
    <row r="273" spans="1:6" x14ac:dyDescent="0.25">
      <c r="A273" t="s">
        <v>14</v>
      </c>
      <c r="B273" t="s">
        <v>107</v>
      </c>
      <c r="C273">
        <v>44.481119999999997</v>
      </c>
      <c r="D273">
        <v>89.479669999999999</v>
      </c>
      <c r="E273">
        <v>0.14607475046286808</v>
      </c>
      <c r="F273">
        <v>72301</v>
      </c>
    </row>
    <row r="274" spans="1:6" x14ac:dyDescent="0.25">
      <c r="A274" t="s">
        <v>14</v>
      </c>
      <c r="B274" t="s">
        <v>107</v>
      </c>
      <c r="C274">
        <v>44.481119999999997</v>
      </c>
      <c r="D274">
        <v>89.479669999999999</v>
      </c>
      <c r="E274">
        <v>0.14716358193131338</v>
      </c>
      <c r="F274">
        <v>72304</v>
      </c>
    </row>
    <row r="275" spans="1:6" x14ac:dyDescent="0.25">
      <c r="A275" t="s">
        <v>14</v>
      </c>
      <c r="B275" t="s">
        <v>107</v>
      </c>
      <c r="C275">
        <v>44.481119999999997</v>
      </c>
      <c r="D275">
        <v>89.479669999999999</v>
      </c>
      <c r="E275">
        <v>8.2429397636967328E-2</v>
      </c>
      <c r="F275">
        <v>72421</v>
      </c>
    </row>
    <row r="276" spans="1:6" x14ac:dyDescent="0.25">
      <c r="A276" t="s">
        <v>14</v>
      </c>
      <c r="B276" t="s">
        <v>107</v>
      </c>
      <c r="C276">
        <v>44.481119999999997</v>
      </c>
      <c r="D276">
        <v>89.479669999999999</v>
      </c>
      <c r="E276">
        <v>7.5180094320514632E-2</v>
      </c>
      <c r="F276">
        <v>72422</v>
      </c>
    </row>
    <row r="277" spans="1:6" x14ac:dyDescent="0.25">
      <c r="A277" t="s">
        <v>14</v>
      </c>
      <c r="B277" t="s">
        <v>107</v>
      </c>
      <c r="C277">
        <v>44.469459999999998</v>
      </c>
      <c r="D277">
        <v>89.482420000000005</v>
      </c>
      <c r="E277">
        <v>0.15556201296731309</v>
      </c>
      <c r="F277">
        <v>72436</v>
      </c>
    </row>
    <row r="278" spans="1:6" x14ac:dyDescent="0.25">
      <c r="A278" t="s">
        <v>14</v>
      </c>
      <c r="B278" t="s">
        <v>107</v>
      </c>
      <c r="C278">
        <v>44.469459999999998</v>
      </c>
      <c r="D278">
        <v>89.482420000000005</v>
      </c>
      <c r="E278">
        <v>0.14777791162383033</v>
      </c>
      <c r="F278">
        <v>72437</v>
      </c>
    </row>
    <row r="279" spans="1:6" x14ac:dyDescent="0.25">
      <c r="A279" t="s">
        <v>14</v>
      </c>
      <c r="B279" t="s">
        <v>107</v>
      </c>
      <c r="C279">
        <v>44.4679</v>
      </c>
      <c r="D279">
        <v>89.487129999999993</v>
      </c>
      <c r="E279">
        <v>0.24282589394537277</v>
      </c>
      <c r="F279">
        <v>72607</v>
      </c>
    </row>
    <row r="280" spans="1:6" x14ac:dyDescent="0.25">
      <c r="A280" t="s">
        <v>14</v>
      </c>
      <c r="B280" t="s">
        <v>107</v>
      </c>
      <c r="C280">
        <v>44.467950000000002</v>
      </c>
      <c r="D280">
        <v>89.488330000000005</v>
      </c>
      <c r="E280">
        <v>0.48849713373363723</v>
      </c>
      <c r="F280">
        <v>72610</v>
      </c>
    </row>
    <row r="281" spans="1:6" x14ac:dyDescent="0.25">
      <c r="A281" t="s">
        <v>14</v>
      </c>
      <c r="B281" t="s">
        <v>107</v>
      </c>
      <c r="C281">
        <v>44.482480000000002</v>
      </c>
      <c r="D281">
        <v>89.480019999999996</v>
      </c>
      <c r="E281">
        <v>0.47124844848296538</v>
      </c>
      <c r="F281">
        <v>72713</v>
      </c>
    </row>
    <row r="282" spans="1:6" x14ac:dyDescent="0.25">
      <c r="A282" t="s">
        <v>14</v>
      </c>
      <c r="B282" t="s">
        <v>107</v>
      </c>
      <c r="C282">
        <v>44.482460000000003</v>
      </c>
      <c r="D282">
        <v>89.479770000000002</v>
      </c>
      <c r="E282">
        <v>0.35190222962840351</v>
      </c>
      <c r="F282">
        <v>72756</v>
      </c>
    </row>
    <row r="283" spans="1:6" x14ac:dyDescent="0.25">
      <c r="A283" t="s">
        <v>14</v>
      </c>
      <c r="B283" t="s">
        <v>107</v>
      </c>
      <c r="C283">
        <v>44.475769999999997</v>
      </c>
      <c r="D283">
        <v>89.479730000000004</v>
      </c>
      <c r="E283">
        <v>0.21543926586597401</v>
      </c>
      <c r="F283">
        <v>72983</v>
      </c>
    </row>
    <row r="284" spans="1:6" x14ac:dyDescent="0.25">
      <c r="A284" t="s">
        <v>14</v>
      </c>
      <c r="B284" t="s">
        <v>107</v>
      </c>
      <c r="C284">
        <v>44.482509999999998</v>
      </c>
      <c r="D284">
        <v>89.479879999999994</v>
      </c>
      <c r="E284">
        <v>0.20450809652996613</v>
      </c>
      <c r="F284">
        <v>73153</v>
      </c>
    </row>
    <row r="285" spans="1:6" x14ac:dyDescent="0.25">
      <c r="A285" t="s">
        <v>14</v>
      </c>
      <c r="B285" t="s">
        <v>107</v>
      </c>
      <c r="C285">
        <v>44.472119999999997</v>
      </c>
      <c r="D285">
        <v>89.482460000000003</v>
      </c>
      <c r="E285">
        <v>4.9435837908817448E-2</v>
      </c>
      <c r="F285">
        <v>73262</v>
      </c>
    </row>
    <row r="286" spans="1:6" x14ac:dyDescent="0.25">
      <c r="A286" t="s">
        <v>14</v>
      </c>
      <c r="B286" t="s">
        <v>107</v>
      </c>
      <c r="C286">
        <v>44.482559999999999</v>
      </c>
      <c r="D286">
        <v>89.479280000000003</v>
      </c>
      <c r="E286">
        <v>0.34202367103866321</v>
      </c>
      <c r="F286">
        <v>73280</v>
      </c>
    </row>
    <row r="287" spans="1:6" x14ac:dyDescent="0.25">
      <c r="A287" t="s">
        <v>14</v>
      </c>
      <c r="B287" t="s">
        <v>107</v>
      </c>
      <c r="C287">
        <v>44.482559999999999</v>
      </c>
      <c r="D287">
        <v>89.479280000000003</v>
      </c>
      <c r="E287">
        <v>0.34970386242295259</v>
      </c>
      <c r="F287">
        <v>73281</v>
      </c>
    </row>
    <row r="288" spans="1:6" x14ac:dyDescent="0.25">
      <c r="A288" t="s">
        <v>14</v>
      </c>
      <c r="B288" t="s">
        <v>107</v>
      </c>
      <c r="C288">
        <v>44.482199999999999</v>
      </c>
      <c r="D288">
        <v>89.479680000000002</v>
      </c>
      <c r="E288">
        <v>0.2012507814531159</v>
      </c>
      <c r="F288">
        <v>73372</v>
      </c>
    </row>
    <row r="289" spans="1:6" x14ac:dyDescent="0.25">
      <c r="A289" t="s">
        <v>14</v>
      </c>
      <c r="B289" t="s">
        <v>107</v>
      </c>
      <c r="C289">
        <v>44.467849999999999</v>
      </c>
      <c r="D289">
        <v>89.487679999999997</v>
      </c>
      <c r="E289">
        <v>0.11827298936285134</v>
      </c>
      <c r="F289">
        <v>73440</v>
      </c>
    </row>
    <row r="290" spans="1:6" x14ac:dyDescent="0.25">
      <c r="A290" t="s">
        <v>14</v>
      </c>
      <c r="B290" t="s">
        <v>107</v>
      </c>
      <c r="C290">
        <v>44.467849999999999</v>
      </c>
      <c r="D290">
        <v>89.487679999999997</v>
      </c>
      <c r="E290">
        <v>0.18854001296115266</v>
      </c>
      <c r="F290">
        <v>73481</v>
      </c>
    </row>
    <row r="291" spans="1:6" x14ac:dyDescent="0.25">
      <c r="A291" t="s">
        <v>14</v>
      </c>
      <c r="B291" t="s">
        <v>107</v>
      </c>
      <c r="C291">
        <v>44.481520000000003</v>
      </c>
      <c r="D291">
        <v>89.479870000000005</v>
      </c>
      <c r="E291">
        <v>0.61136105026587817</v>
      </c>
      <c r="F291">
        <v>73715</v>
      </c>
    </row>
    <row r="292" spans="1:6" x14ac:dyDescent="0.25">
      <c r="A292" t="s">
        <v>14</v>
      </c>
      <c r="B292" t="s">
        <v>107</v>
      </c>
      <c r="C292">
        <v>44.468020000000003</v>
      </c>
      <c r="D292">
        <v>89.486630000000005</v>
      </c>
      <c r="E292">
        <v>0.14773395506315692</v>
      </c>
      <c r="F292">
        <v>73737</v>
      </c>
    </row>
    <row r="293" spans="1:6" x14ac:dyDescent="0.25">
      <c r="A293" t="s">
        <v>14</v>
      </c>
      <c r="B293" t="s">
        <v>107</v>
      </c>
      <c r="C293">
        <v>44.481520000000003</v>
      </c>
      <c r="D293">
        <v>89.479870000000005</v>
      </c>
      <c r="E293">
        <v>0.48307451960283104</v>
      </c>
      <c r="F293">
        <v>73761</v>
      </c>
    </row>
    <row r="294" spans="1:6" x14ac:dyDescent="0.25">
      <c r="A294" t="s">
        <v>14</v>
      </c>
      <c r="B294" t="s">
        <v>107</v>
      </c>
      <c r="C294">
        <v>44.481520000000003</v>
      </c>
      <c r="D294">
        <v>89.479870000000005</v>
      </c>
      <c r="E294">
        <v>0.51276440348111718</v>
      </c>
      <c r="F294">
        <v>73762</v>
      </c>
    </row>
    <row r="295" spans="1:6" x14ac:dyDescent="0.25">
      <c r="A295" t="s">
        <v>14</v>
      </c>
      <c r="B295" t="s">
        <v>107</v>
      </c>
      <c r="C295">
        <v>44.476509999999998</v>
      </c>
      <c r="D295">
        <v>89.479929999999996</v>
      </c>
      <c r="E295">
        <v>0.1840926012478962</v>
      </c>
      <c r="F295">
        <v>73906</v>
      </c>
    </row>
    <row r="296" spans="1:6" x14ac:dyDescent="0.25">
      <c r="A296" t="s">
        <v>14</v>
      </c>
      <c r="B296" t="s">
        <v>107</v>
      </c>
      <c r="C296">
        <v>44.468879999999999</v>
      </c>
      <c r="D296">
        <v>89.485780000000005</v>
      </c>
      <c r="E296">
        <v>0.11157465586744117</v>
      </c>
      <c r="F296">
        <v>73940</v>
      </c>
    </row>
    <row r="297" spans="1:6" x14ac:dyDescent="0.25">
      <c r="A297" t="s">
        <v>14</v>
      </c>
      <c r="B297" t="s">
        <v>107</v>
      </c>
      <c r="C297">
        <v>44.468879999999999</v>
      </c>
      <c r="D297">
        <v>89.485780000000005</v>
      </c>
      <c r="E297">
        <v>0.11565215212598182</v>
      </c>
      <c r="F297">
        <v>73942</v>
      </c>
    </row>
    <row r="298" spans="1:6" x14ac:dyDescent="0.25">
      <c r="A298" t="s">
        <v>14</v>
      </c>
      <c r="B298" t="s">
        <v>107</v>
      </c>
      <c r="C298">
        <v>44.472119999999997</v>
      </c>
      <c r="D298">
        <v>89.482460000000003</v>
      </c>
      <c r="E298">
        <v>3.6621629654781808E-2</v>
      </c>
      <c r="F298">
        <v>74131</v>
      </c>
    </row>
    <row r="299" spans="1:6" x14ac:dyDescent="0.25">
      <c r="A299" t="s">
        <v>14</v>
      </c>
      <c r="B299" t="s">
        <v>107</v>
      </c>
      <c r="C299">
        <v>44.481119999999997</v>
      </c>
      <c r="D299">
        <v>89.479669999999999</v>
      </c>
      <c r="E299">
        <v>0.11205530220704993</v>
      </c>
      <c r="F299">
        <v>74280</v>
      </c>
    </row>
    <row r="300" spans="1:6" x14ac:dyDescent="0.25">
      <c r="A300" t="s">
        <v>14</v>
      </c>
      <c r="B300" t="s">
        <v>107</v>
      </c>
      <c r="C300">
        <v>44.469799999999999</v>
      </c>
      <c r="D300">
        <v>89.511669999999995</v>
      </c>
      <c r="E300">
        <v>0.24560102906256978</v>
      </c>
      <c r="F300">
        <v>84404</v>
      </c>
    </row>
    <row r="301" spans="1:6" x14ac:dyDescent="0.25">
      <c r="A301" t="s">
        <v>14</v>
      </c>
      <c r="B301" t="s">
        <v>107</v>
      </c>
      <c r="C301">
        <v>44.469230000000003</v>
      </c>
      <c r="D301">
        <v>89.502459999999999</v>
      </c>
      <c r="E301">
        <v>0.7217407233869233</v>
      </c>
      <c r="F301">
        <v>84409</v>
      </c>
    </row>
    <row r="302" spans="1:6" x14ac:dyDescent="0.25">
      <c r="A302" t="s">
        <v>14</v>
      </c>
      <c r="B302" t="s">
        <v>107</v>
      </c>
      <c r="C302">
        <v>44.469230000000003</v>
      </c>
      <c r="D302">
        <v>89.502459999999999</v>
      </c>
      <c r="E302">
        <v>0.7217407233869233</v>
      </c>
      <c r="F302">
        <v>84411</v>
      </c>
    </row>
    <row r="303" spans="1:6" x14ac:dyDescent="0.25">
      <c r="A303" t="s">
        <v>14</v>
      </c>
      <c r="B303" t="s">
        <v>107</v>
      </c>
      <c r="C303">
        <v>44.467849999999999</v>
      </c>
      <c r="D303">
        <v>89.487679999999997</v>
      </c>
      <c r="E303">
        <v>8.6520143819844741E-2</v>
      </c>
      <c r="F303">
        <v>91103</v>
      </c>
    </row>
    <row r="304" spans="1:6" x14ac:dyDescent="0.25">
      <c r="A304" t="s">
        <v>14</v>
      </c>
      <c r="B304" t="s">
        <v>107</v>
      </c>
      <c r="C304">
        <v>44.481119999999997</v>
      </c>
      <c r="D304">
        <v>89.479669999999999</v>
      </c>
      <c r="E304">
        <v>0.17761265410476923</v>
      </c>
      <c r="F304">
        <v>91173</v>
      </c>
    </row>
    <row r="305" spans="1:6" x14ac:dyDescent="0.25">
      <c r="A305" t="s">
        <v>14</v>
      </c>
      <c r="B305" t="s">
        <v>107</v>
      </c>
      <c r="C305">
        <v>44.472119999999997</v>
      </c>
      <c r="D305">
        <v>89.482460000000003</v>
      </c>
      <c r="E305">
        <v>5.5905898432203026E-2</v>
      </c>
      <c r="F305">
        <v>91808</v>
      </c>
    </row>
    <row r="306" spans="1:6" x14ac:dyDescent="0.25">
      <c r="A306" t="s">
        <v>14</v>
      </c>
      <c r="B306" t="s">
        <v>107</v>
      </c>
      <c r="C306">
        <v>44.469819999999999</v>
      </c>
      <c r="D306">
        <v>89.482579999999999</v>
      </c>
      <c r="E306">
        <v>0.10171557914631836</v>
      </c>
      <c r="F306">
        <v>91996</v>
      </c>
    </row>
    <row r="307" spans="1:6" x14ac:dyDescent="0.25">
      <c r="A307" t="s">
        <v>14</v>
      </c>
      <c r="B307" t="s">
        <v>107</v>
      </c>
      <c r="C307">
        <v>44.469819999999999</v>
      </c>
      <c r="D307">
        <v>89.482579999999999</v>
      </c>
      <c r="E307">
        <v>0.10641907829746736</v>
      </c>
      <c r="F307">
        <v>91997</v>
      </c>
    </row>
    <row r="308" spans="1:6" x14ac:dyDescent="0.25">
      <c r="A308" t="s">
        <v>14</v>
      </c>
      <c r="B308" t="s">
        <v>107</v>
      </c>
      <c r="C308">
        <v>44.467849999999999</v>
      </c>
      <c r="D308">
        <v>89.487679999999997</v>
      </c>
      <c r="E308">
        <v>0.1009587679299053</v>
      </c>
      <c r="F308">
        <v>92099</v>
      </c>
    </row>
    <row r="309" spans="1:6" x14ac:dyDescent="0.25">
      <c r="A309" t="s">
        <v>14</v>
      </c>
      <c r="B309" t="s">
        <v>107</v>
      </c>
      <c r="C309">
        <v>44.467680000000001</v>
      </c>
      <c r="D309">
        <v>89.487570000000005</v>
      </c>
      <c r="E309">
        <v>0.13339697477063284</v>
      </c>
      <c r="F309">
        <v>92184</v>
      </c>
    </row>
    <row r="310" spans="1:6" x14ac:dyDescent="0.25">
      <c r="A310" t="s">
        <v>14</v>
      </c>
      <c r="B310" t="s">
        <v>107</v>
      </c>
      <c r="C310">
        <v>44.469819999999999</v>
      </c>
      <c r="D310">
        <v>89.482579999999999</v>
      </c>
      <c r="E310">
        <v>9.5170889328930586E-2</v>
      </c>
      <c r="F310">
        <v>92299</v>
      </c>
    </row>
    <row r="311" spans="1:6" x14ac:dyDescent="0.25">
      <c r="A311" t="s">
        <v>14</v>
      </c>
      <c r="B311" t="s">
        <v>107</v>
      </c>
      <c r="C311">
        <v>44.472119999999997</v>
      </c>
      <c r="D311">
        <v>89.482460000000003</v>
      </c>
      <c r="E311">
        <v>2.8432598153366784E-2</v>
      </c>
      <c r="F311">
        <v>92696</v>
      </c>
    </row>
    <row r="312" spans="1:6" x14ac:dyDescent="0.25">
      <c r="A312" t="s">
        <v>14</v>
      </c>
      <c r="B312" t="s">
        <v>107</v>
      </c>
      <c r="C312">
        <v>44.468879999999999</v>
      </c>
      <c r="D312">
        <v>89.485780000000005</v>
      </c>
      <c r="E312">
        <v>0.12092873458250906</v>
      </c>
      <c r="F312">
        <v>92714</v>
      </c>
    </row>
    <row r="313" spans="1:6" x14ac:dyDescent="0.25">
      <c r="A313" t="s">
        <v>14</v>
      </c>
      <c r="B313" t="s">
        <v>107</v>
      </c>
      <c r="C313">
        <v>44.472119999999997</v>
      </c>
      <c r="D313">
        <v>89.482460000000003</v>
      </c>
      <c r="E313">
        <v>5.5939697694143538E-2</v>
      </c>
      <c r="F313">
        <v>92724</v>
      </c>
    </row>
    <row r="314" spans="1:6" x14ac:dyDescent="0.25">
      <c r="A314" t="s">
        <v>14</v>
      </c>
      <c r="B314" t="s">
        <v>107</v>
      </c>
      <c r="C314">
        <v>44.472119999999997</v>
      </c>
      <c r="D314">
        <v>89.482460000000003</v>
      </c>
      <c r="E314">
        <v>7.2865808612652086E-2</v>
      </c>
      <c r="F314">
        <v>92743</v>
      </c>
    </row>
    <row r="315" spans="1:6" x14ac:dyDescent="0.25">
      <c r="A315" t="s">
        <v>14</v>
      </c>
      <c r="B315" t="s">
        <v>107</v>
      </c>
      <c r="C315">
        <v>44.481119999999997</v>
      </c>
      <c r="D315">
        <v>89.479669999999999</v>
      </c>
      <c r="E315">
        <v>0.1257831830644455</v>
      </c>
      <c r="F315">
        <v>92808</v>
      </c>
    </row>
    <row r="316" spans="1:6" x14ac:dyDescent="0.25">
      <c r="A316" t="s">
        <v>14</v>
      </c>
      <c r="B316" t="s">
        <v>107</v>
      </c>
      <c r="C316">
        <v>44.482410000000002</v>
      </c>
      <c r="D316">
        <v>89.479749999999996</v>
      </c>
      <c r="E316">
        <v>0.27326494621306513</v>
      </c>
      <c r="F316">
        <v>92885</v>
      </c>
    </row>
    <row r="317" spans="1:6" x14ac:dyDescent="0.25">
      <c r="A317" t="s">
        <v>14</v>
      </c>
      <c r="B317" t="s">
        <v>107</v>
      </c>
      <c r="C317">
        <v>44.481119999999997</v>
      </c>
      <c r="D317">
        <v>89.479669999999999</v>
      </c>
      <c r="E317">
        <v>8.9550739792903636E-2</v>
      </c>
      <c r="F317">
        <v>92981</v>
      </c>
    </row>
    <row r="318" spans="1:6" x14ac:dyDescent="0.25">
      <c r="A318" t="s">
        <v>14</v>
      </c>
      <c r="B318" t="s">
        <v>107</v>
      </c>
      <c r="C318">
        <v>44.471400000000003</v>
      </c>
      <c r="D318">
        <v>89.517539999999997</v>
      </c>
      <c r="E318">
        <v>0.37815056288097065</v>
      </c>
      <c r="F318">
        <v>93142</v>
      </c>
    </row>
    <row r="319" spans="1:6" x14ac:dyDescent="0.25">
      <c r="A319" t="s">
        <v>14</v>
      </c>
      <c r="B319" t="s">
        <v>107</v>
      </c>
      <c r="C319">
        <v>44.471400000000003</v>
      </c>
      <c r="D319">
        <v>89.517539999999997</v>
      </c>
      <c r="E319">
        <v>0.38039922371855656</v>
      </c>
      <c r="F319">
        <v>93143</v>
      </c>
    </row>
    <row r="320" spans="1:6" x14ac:dyDescent="0.25">
      <c r="A320" t="s">
        <v>14</v>
      </c>
      <c r="B320" t="s">
        <v>107</v>
      </c>
      <c r="C320">
        <v>44.470410000000001</v>
      </c>
      <c r="D320">
        <v>89.511759999999995</v>
      </c>
      <c r="E320">
        <v>0.22681919414248691</v>
      </c>
      <c r="F320">
        <v>93349</v>
      </c>
    </row>
    <row r="321" spans="1:6" x14ac:dyDescent="0.25">
      <c r="A321" t="s">
        <v>14</v>
      </c>
      <c r="B321" t="s">
        <v>107</v>
      </c>
      <c r="C321">
        <v>44.472119999999997</v>
      </c>
      <c r="D321">
        <v>89.482460000000003</v>
      </c>
      <c r="E321">
        <v>6.3450109908403482E-2</v>
      </c>
      <c r="F321">
        <v>93422</v>
      </c>
    </row>
    <row r="322" spans="1:6" x14ac:dyDescent="0.25">
      <c r="A322" t="s">
        <v>14</v>
      </c>
      <c r="B322" t="s">
        <v>107</v>
      </c>
      <c r="C322">
        <v>44.472119999999997</v>
      </c>
      <c r="D322">
        <v>89.482460000000003</v>
      </c>
      <c r="E322">
        <v>6.3439434107322987E-2</v>
      </c>
      <c r="F322">
        <v>93423</v>
      </c>
    </row>
    <row r="323" spans="1:6" x14ac:dyDescent="0.25">
      <c r="A323" t="s">
        <v>14</v>
      </c>
      <c r="B323" t="s">
        <v>107</v>
      </c>
      <c r="C323">
        <v>44.472119999999997</v>
      </c>
      <c r="D323">
        <v>89.482460000000003</v>
      </c>
      <c r="E323">
        <v>6.6065748025952845E-2</v>
      </c>
      <c r="F323">
        <v>93424</v>
      </c>
    </row>
    <row r="324" spans="1:6" x14ac:dyDescent="0.25">
      <c r="A324" t="s">
        <v>14</v>
      </c>
      <c r="B324" t="s">
        <v>107</v>
      </c>
      <c r="C324">
        <v>44.481520000000003</v>
      </c>
      <c r="D324">
        <v>89.479870000000005</v>
      </c>
      <c r="E324">
        <v>0.58668521323377543</v>
      </c>
      <c r="F324">
        <v>93469</v>
      </c>
    </row>
    <row r="325" spans="1:6" x14ac:dyDescent="0.25">
      <c r="A325" t="s">
        <v>14</v>
      </c>
      <c r="B325" t="s">
        <v>107</v>
      </c>
      <c r="C325">
        <v>44.472119999999997</v>
      </c>
      <c r="D325">
        <v>89.482460000000003</v>
      </c>
      <c r="E325">
        <v>7.0306375162807341E-2</v>
      </c>
      <c r="F325">
        <v>93832</v>
      </c>
    </row>
    <row r="326" spans="1:6" x14ac:dyDescent="0.25">
      <c r="A326" t="s">
        <v>14</v>
      </c>
      <c r="B326" t="s">
        <v>107</v>
      </c>
      <c r="C326">
        <v>44.482489999999999</v>
      </c>
      <c r="D326">
        <v>89.479849999999999</v>
      </c>
      <c r="E326">
        <v>0.72802641088127606</v>
      </c>
      <c r="F326">
        <v>94302</v>
      </c>
    </row>
    <row r="327" spans="1:6" x14ac:dyDescent="0.25">
      <c r="A327" t="s">
        <v>14</v>
      </c>
      <c r="B327" t="s">
        <v>107</v>
      </c>
      <c r="C327">
        <v>44.481119999999997</v>
      </c>
      <c r="D327">
        <v>89.479669999999999</v>
      </c>
      <c r="E327">
        <v>0.14514257994634408</v>
      </c>
      <c r="F327">
        <v>94988</v>
      </c>
    </row>
    <row r="328" spans="1:6" x14ac:dyDescent="0.25">
      <c r="A328" t="s">
        <v>14</v>
      </c>
      <c r="B328" t="s">
        <v>107</v>
      </c>
      <c r="C328">
        <v>44.467849999999999</v>
      </c>
      <c r="D328">
        <v>89.487679999999997</v>
      </c>
      <c r="E328">
        <v>0.1643211293822576</v>
      </c>
      <c r="F328">
        <v>95068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4A55-546C-458C-B9B1-CEB846808A54}">
  <dimension ref="A1:F205"/>
  <sheetViews>
    <sheetView zoomScale="64" zoomScaleNormal="85" workbookViewId="0">
      <selection activeCell="G6" sqref="G6"/>
    </sheetView>
  </sheetViews>
  <sheetFormatPr defaultColWidth="8.85546875" defaultRowHeight="15" x14ac:dyDescent="0.25"/>
  <cols>
    <col min="1" max="1" width="13.42578125" bestFit="1" customWidth="1"/>
    <col min="2" max="2" width="14.42578125" bestFit="1" customWidth="1"/>
    <col min="3" max="3" width="12.140625" bestFit="1" customWidth="1"/>
    <col min="4" max="4" width="13.42578125" bestFit="1" customWidth="1"/>
    <col min="5" max="5" width="8.42578125" customWidth="1"/>
    <col min="6" max="6" width="9.570312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17</v>
      </c>
    </row>
    <row r="2" spans="1:6" x14ac:dyDescent="0.25">
      <c r="A2" t="s">
        <v>21</v>
      </c>
      <c r="B2" t="s">
        <v>22</v>
      </c>
      <c r="C2">
        <v>44.470880000000001</v>
      </c>
      <c r="D2">
        <v>89.336129999999997</v>
      </c>
      <c r="E2" s="3">
        <v>418</v>
      </c>
    </row>
    <row r="3" spans="1:6" x14ac:dyDescent="0.25">
      <c r="E3" s="3"/>
    </row>
    <row r="4" spans="1:6" x14ac:dyDescent="0.25">
      <c r="E4" s="3"/>
    </row>
    <row r="5" spans="1:6" x14ac:dyDescent="0.25">
      <c r="E5" s="3"/>
    </row>
    <row r="6" spans="1:6" x14ac:dyDescent="0.25">
      <c r="E6" s="3"/>
    </row>
    <row r="7" spans="1:6" x14ac:dyDescent="0.25">
      <c r="E7" s="3"/>
    </row>
    <row r="8" spans="1:6" x14ac:dyDescent="0.25">
      <c r="E8" s="3"/>
    </row>
    <row r="9" spans="1:6" x14ac:dyDescent="0.25">
      <c r="E9" s="3"/>
    </row>
    <row r="10" spans="1:6" x14ac:dyDescent="0.25">
      <c r="E10" s="3"/>
    </row>
    <row r="11" spans="1:6" x14ac:dyDescent="0.25">
      <c r="E11" s="3"/>
    </row>
    <row r="12" spans="1:6" x14ac:dyDescent="0.25">
      <c r="E12" s="3"/>
    </row>
    <row r="13" spans="1:6" x14ac:dyDescent="0.25">
      <c r="E13" s="3"/>
    </row>
    <row r="14" spans="1:6" x14ac:dyDescent="0.25">
      <c r="E14" s="3"/>
    </row>
    <row r="15" spans="1:6" x14ac:dyDescent="0.25">
      <c r="E15" s="3"/>
    </row>
    <row r="16" spans="1:6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</sheetData>
  <phoneticPr fontId="1" type="noConversion"/>
  <conditionalFormatting sqref="E2:E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D61-FEEE-4BFA-B284-95DF8F98BB34}">
  <dimension ref="A1"/>
  <sheetViews>
    <sheetView workbookViewId="0">
      <selection activeCell="B6" sqref="B6"/>
    </sheetView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Global_Inputs</vt:lpstr>
      <vt:lpstr>HCW_Inputs</vt:lpstr>
      <vt:lpstr>Depletion_Inputs</vt:lpstr>
      <vt:lpstr>Drawdown_Inputs</vt:lpstr>
      <vt:lpstr>Aerial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Freihoefer</dc:creator>
  <cp:lastModifiedBy>Carvalho, Jessica - (jeffreycarvalho)</cp:lastModifiedBy>
  <dcterms:created xsi:type="dcterms:W3CDTF">2022-04-28T20:45:51Z</dcterms:created>
  <dcterms:modified xsi:type="dcterms:W3CDTF">2026-02-24T02:16:21Z</dcterms:modified>
</cp:coreProperties>
</file>