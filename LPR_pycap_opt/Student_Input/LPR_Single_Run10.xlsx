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80" documentId="8_{4AF0D818-A22C-4121-9F68-76B994BB3D36}" xr6:coauthVersionLast="47" xr6:coauthVersionMax="47" xr10:uidLastSave="{F32D6BD6-20DC-4940-820B-6B853B2DB7E9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5" l="1"/>
  <c r="N3" i="5"/>
  <c r="O3" i="5"/>
  <c r="P3" i="5"/>
  <c r="Q3" i="5"/>
  <c r="R3" i="5"/>
  <c r="S3" i="5"/>
  <c r="T3" i="5"/>
  <c r="U3" i="5"/>
  <c r="M4" i="5"/>
  <c r="H4" i="5" s="1"/>
  <c r="N4" i="5"/>
  <c r="O4" i="5"/>
  <c r="P4" i="5"/>
  <c r="Q4" i="5"/>
  <c r="R4" i="5"/>
  <c r="S4" i="5"/>
  <c r="T4" i="5"/>
  <c r="U4" i="5"/>
  <c r="M5" i="5"/>
  <c r="H5" i="5" s="1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H8" i="5" s="1"/>
  <c r="N8" i="5"/>
  <c r="O8" i="5"/>
  <c r="P8" i="5"/>
  <c r="Q8" i="5"/>
  <c r="R8" i="5"/>
  <c r="S8" i="5"/>
  <c r="T8" i="5"/>
  <c r="U8" i="5"/>
  <c r="M9" i="5"/>
  <c r="H9" i="5" s="1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H12" i="5" s="1"/>
  <c r="N12" i="5"/>
  <c r="O12" i="5"/>
  <c r="P12" i="5"/>
  <c r="Q12" i="5"/>
  <c r="R12" i="5"/>
  <c r="S12" i="5"/>
  <c r="T12" i="5"/>
  <c r="U12" i="5"/>
  <c r="M13" i="5"/>
  <c r="H13" i="5" s="1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H16" i="5" s="1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H20" i="5" s="1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H24" i="5" s="1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H28" i="5" s="1"/>
  <c r="N28" i="5"/>
  <c r="O28" i="5"/>
  <c r="P28" i="5"/>
  <c r="Q28" i="5"/>
  <c r="R28" i="5"/>
  <c r="S28" i="5"/>
  <c r="T28" i="5"/>
  <c r="U28" i="5"/>
  <c r="M29" i="5"/>
  <c r="H29" i="5" s="1"/>
  <c r="N29" i="5"/>
  <c r="O29" i="5"/>
  <c r="P29" i="5"/>
  <c r="Q29" i="5"/>
  <c r="R29" i="5"/>
  <c r="S29" i="5"/>
  <c r="T29" i="5"/>
  <c r="U29" i="5"/>
  <c r="M30" i="5"/>
  <c r="H30" i="5" s="1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H32" i="5" s="1"/>
  <c r="N32" i="5"/>
  <c r="O32" i="5"/>
  <c r="P32" i="5"/>
  <c r="Q32" i="5"/>
  <c r="R32" i="5"/>
  <c r="S32" i="5"/>
  <c r="T32" i="5"/>
  <c r="U32" i="5"/>
  <c r="M33" i="5"/>
  <c r="H33" i="5" s="1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H36" i="5" s="1"/>
  <c r="N36" i="5"/>
  <c r="O36" i="5"/>
  <c r="P36" i="5"/>
  <c r="Q36" i="5"/>
  <c r="R36" i="5"/>
  <c r="S36" i="5"/>
  <c r="T36" i="5"/>
  <c r="U36" i="5"/>
  <c r="M37" i="5"/>
  <c r="H37" i="5" s="1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H40" i="5" s="1"/>
  <c r="N40" i="5"/>
  <c r="O40" i="5"/>
  <c r="P40" i="5"/>
  <c r="Q40" i="5"/>
  <c r="R40" i="5"/>
  <c r="S40" i="5"/>
  <c r="T40" i="5"/>
  <c r="U40" i="5"/>
  <c r="M41" i="5"/>
  <c r="H41" i="5" s="1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H44" i="5" s="1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H48" i="5" s="1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H50" i="5" s="1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H52" i="5" s="1"/>
  <c r="N52" i="5"/>
  <c r="O52" i="5"/>
  <c r="P52" i="5"/>
  <c r="Q52" i="5"/>
  <c r="R52" i="5"/>
  <c r="S52" i="5"/>
  <c r="T52" i="5"/>
  <c r="U52" i="5"/>
  <c r="M53" i="5"/>
  <c r="H53" i="5" s="1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H57" i="5" s="1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H60" i="5" s="1"/>
  <c r="N60" i="5"/>
  <c r="O60" i="5"/>
  <c r="P60" i="5"/>
  <c r="Q60" i="5"/>
  <c r="R60" i="5"/>
  <c r="S60" i="5"/>
  <c r="T60" i="5"/>
  <c r="U60" i="5"/>
  <c r="M61" i="5"/>
  <c r="H61" i="5" s="1"/>
  <c r="N61" i="5"/>
  <c r="O61" i="5"/>
  <c r="P61" i="5"/>
  <c r="Q61" i="5"/>
  <c r="R61" i="5"/>
  <c r="S61" i="5"/>
  <c r="T61" i="5"/>
  <c r="U61" i="5"/>
  <c r="M62" i="5"/>
  <c r="H62" i="5" s="1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H64" i="5" s="1"/>
  <c r="N64" i="5"/>
  <c r="O64" i="5"/>
  <c r="P64" i="5"/>
  <c r="Q64" i="5"/>
  <c r="R64" i="5"/>
  <c r="S64" i="5"/>
  <c r="T64" i="5"/>
  <c r="U64" i="5"/>
  <c r="M65" i="5"/>
  <c r="H65" i="5" s="1"/>
  <c r="N65" i="5"/>
  <c r="O65" i="5"/>
  <c r="P65" i="5"/>
  <c r="Q65" i="5"/>
  <c r="R65" i="5"/>
  <c r="S65" i="5"/>
  <c r="T65" i="5"/>
  <c r="U65" i="5"/>
  <c r="M66" i="5"/>
  <c r="H66" i="5" s="1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H68" i="5" s="1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H72" i="5" s="1"/>
  <c r="N72" i="5"/>
  <c r="O72" i="5"/>
  <c r="P72" i="5"/>
  <c r="Q72" i="5"/>
  <c r="R72" i="5"/>
  <c r="S72" i="5"/>
  <c r="T72" i="5"/>
  <c r="U72" i="5"/>
  <c r="M73" i="5"/>
  <c r="H73" i="5" s="1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H76" i="5" s="1"/>
  <c r="N76" i="5"/>
  <c r="O76" i="5"/>
  <c r="P76" i="5"/>
  <c r="Q76" i="5"/>
  <c r="R76" i="5"/>
  <c r="S76" i="5"/>
  <c r="T76" i="5"/>
  <c r="U76" i="5"/>
  <c r="M77" i="5"/>
  <c r="H77" i="5" s="1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H80" i="5" s="1"/>
  <c r="N80" i="5"/>
  <c r="O80" i="5"/>
  <c r="P80" i="5"/>
  <c r="Q80" i="5"/>
  <c r="R80" i="5"/>
  <c r="S80" i="5"/>
  <c r="T80" i="5"/>
  <c r="U80" i="5"/>
  <c r="M81" i="5"/>
  <c r="H81" i="5" s="1"/>
  <c r="N81" i="5"/>
  <c r="O81" i="5"/>
  <c r="P81" i="5"/>
  <c r="Q81" i="5"/>
  <c r="R81" i="5"/>
  <c r="S81" i="5"/>
  <c r="T81" i="5"/>
  <c r="U81" i="5"/>
  <c r="M82" i="5"/>
  <c r="H82" i="5" s="1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H84" i="5" s="1"/>
  <c r="N84" i="5"/>
  <c r="O84" i="5"/>
  <c r="P84" i="5"/>
  <c r="Q84" i="5"/>
  <c r="R84" i="5"/>
  <c r="S84" i="5"/>
  <c r="T84" i="5"/>
  <c r="U84" i="5"/>
  <c r="M85" i="5"/>
  <c r="H85" i="5" s="1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H88" i="5" s="1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H92" i="5" s="1"/>
  <c r="N92" i="5"/>
  <c r="O92" i="5"/>
  <c r="P92" i="5"/>
  <c r="Q92" i="5"/>
  <c r="R92" i="5"/>
  <c r="S92" i="5"/>
  <c r="T92" i="5"/>
  <c r="U92" i="5"/>
  <c r="M93" i="5"/>
  <c r="H93" i="5" s="1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H96" i="5" s="1"/>
  <c r="N96" i="5"/>
  <c r="O96" i="5"/>
  <c r="P96" i="5"/>
  <c r="Q96" i="5"/>
  <c r="R96" i="5"/>
  <c r="S96" i="5"/>
  <c r="T96" i="5"/>
  <c r="U96" i="5"/>
  <c r="M97" i="5"/>
  <c r="H97" i="5" s="1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H100" i="5" s="1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H102" i="5" s="1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H104" i="5" s="1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H106" i="5" s="1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H108" i="5" s="1"/>
  <c r="N108" i="5"/>
  <c r="O108" i="5"/>
  <c r="P108" i="5"/>
  <c r="Q108" i="5"/>
  <c r="R108" i="5"/>
  <c r="S108" i="5"/>
  <c r="T108" i="5"/>
  <c r="U108" i="5"/>
  <c r="M109" i="5"/>
  <c r="H109" i="5" s="1"/>
  <c r="N109" i="5"/>
  <c r="O109" i="5"/>
  <c r="P109" i="5"/>
  <c r="Q109" i="5"/>
  <c r="R109" i="5"/>
  <c r="S109" i="5"/>
  <c r="T109" i="5"/>
  <c r="U109" i="5"/>
  <c r="M110" i="5"/>
  <c r="H110" i="5" s="1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H112" i="5" s="1"/>
  <c r="N112" i="5"/>
  <c r="O112" i="5"/>
  <c r="P112" i="5"/>
  <c r="Q112" i="5"/>
  <c r="R112" i="5"/>
  <c r="S112" i="5"/>
  <c r="T112" i="5"/>
  <c r="U112" i="5"/>
  <c r="M113" i="5"/>
  <c r="H113" i="5" s="1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H116" i="5" s="1"/>
  <c r="N116" i="5"/>
  <c r="O116" i="5"/>
  <c r="P116" i="5"/>
  <c r="Q116" i="5"/>
  <c r="R116" i="5"/>
  <c r="S116" i="5"/>
  <c r="T116" i="5"/>
  <c r="U116" i="5"/>
  <c r="M117" i="5"/>
  <c r="H117" i="5" s="1"/>
  <c r="N117" i="5"/>
  <c r="O117" i="5"/>
  <c r="P117" i="5"/>
  <c r="Q117" i="5"/>
  <c r="R117" i="5"/>
  <c r="S117" i="5"/>
  <c r="T117" i="5"/>
  <c r="U117" i="5"/>
  <c r="M118" i="5"/>
  <c r="H118" i="5" s="1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H122" i="5" s="1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H124" i="5" s="1"/>
  <c r="N124" i="5"/>
  <c r="O124" i="5"/>
  <c r="P124" i="5"/>
  <c r="Q124" i="5"/>
  <c r="R124" i="5"/>
  <c r="S124" i="5"/>
  <c r="T124" i="5"/>
  <c r="U124" i="5"/>
  <c r="M125" i="5"/>
  <c r="H125" i="5" s="1"/>
  <c r="N125" i="5"/>
  <c r="O125" i="5"/>
  <c r="P125" i="5"/>
  <c r="Q125" i="5"/>
  <c r="R125" i="5"/>
  <c r="S125" i="5"/>
  <c r="T125" i="5"/>
  <c r="U125" i="5"/>
  <c r="M126" i="5"/>
  <c r="H126" i="5" s="1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H128" i="5" s="1"/>
  <c r="N128" i="5"/>
  <c r="O128" i="5"/>
  <c r="P128" i="5"/>
  <c r="Q128" i="5"/>
  <c r="R128" i="5"/>
  <c r="S128" i="5"/>
  <c r="T128" i="5"/>
  <c r="U128" i="5"/>
  <c r="M129" i="5"/>
  <c r="H129" i="5" s="1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H132" i="5" s="1"/>
  <c r="N132" i="5"/>
  <c r="O132" i="5"/>
  <c r="P132" i="5"/>
  <c r="Q132" i="5"/>
  <c r="R132" i="5"/>
  <c r="S132" i="5"/>
  <c r="T132" i="5"/>
  <c r="U132" i="5"/>
  <c r="M133" i="5"/>
  <c r="H133" i="5" s="1"/>
  <c r="N133" i="5"/>
  <c r="O133" i="5"/>
  <c r="P133" i="5"/>
  <c r="Q133" i="5"/>
  <c r="R133" i="5"/>
  <c r="S133" i="5"/>
  <c r="T133" i="5"/>
  <c r="U133" i="5"/>
  <c r="M134" i="5"/>
  <c r="H134" i="5" s="1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H136" i="5" s="1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H138" i="5" s="1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H140" i="5" s="1"/>
  <c r="N140" i="5"/>
  <c r="O140" i="5"/>
  <c r="P140" i="5"/>
  <c r="Q140" i="5"/>
  <c r="R140" i="5"/>
  <c r="S140" i="5"/>
  <c r="T140" i="5"/>
  <c r="U140" i="5"/>
  <c r="M141" i="5"/>
  <c r="H141" i="5" s="1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H144" i="5" s="1"/>
  <c r="N144" i="5"/>
  <c r="O144" i="5"/>
  <c r="P144" i="5"/>
  <c r="Q144" i="5"/>
  <c r="R144" i="5"/>
  <c r="S144" i="5"/>
  <c r="T144" i="5"/>
  <c r="U144" i="5"/>
  <c r="M145" i="5"/>
  <c r="H145" i="5" s="1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H148" i="5" s="1"/>
  <c r="N148" i="5"/>
  <c r="O148" i="5"/>
  <c r="P148" i="5"/>
  <c r="Q148" i="5"/>
  <c r="R148" i="5"/>
  <c r="S148" i="5"/>
  <c r="T148" i="5"/>
  <c r="U148" i="5"/>
  <c r="M149" i="5"/>
  <c r="H149" i="5" s="1"/>
  <c r="N149" i="5"/>
  <c r="O149" i="5"/>
  <c r="P149" i="5"/>
  <c r="Q149" i="5"/>
  <c r="R149" i="5"/>
  <c r="S149" i="5"/>
  <c r="T149" i="5"/>
  <c r="U149" i="5"/>
  <c r="M150" i="5"/>
  <c r="H150" i="5" s="1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H152" i="5" s="1"/>
  <c r="N152" i="5"/>
  <c r="O152" i="5"/>
  <c r="P152" i="5"/>
  <c r="Q152" i="5"/>
  <c r="R152" i="5"/>
  <c r="S152" i="5"/>
  <c r="T152" i="5"/>
  <c r="U152" i="5"/>
  <c r="M153" i="5"/>
  <c r="H153" i="5" s="1"/>
  <c r="N153" i="5"/>
  <c r="O153" i="5"/>
  <c r="P153" i="5"/>
  <c r="Q153" i="5"/>
  <c r="R153" i="5"/>
  <c r="S153" i="5"/>
  <c r="T153" i="5"/>
  <c r="U153" i="5"/>
  <c r="M154" i="5"/>
  <c r="H154" i="5" s="1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H156" i="5" s="1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H158" i="5" s="1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H160" i="5" s="1"/>
  <c r="N160" i="5"/>
  <c r="O160" i="5"/>
  <c r="P160" i="5"/>
  <c r="Q160" i="5"/>
  <c r="R160" i="5"/>
  <c r="S160" i="5"/>
  <c r="T160" i="5"/>
  <c r="U160" i="5"/>
  <c r="M161" i="5"/>
  <c r="H161" i="5" s="1"/>
  <c r="N161" i="5"/>
  <c r="O161" i="5"/>
  <c r="P161" i="5"/>
  <c r="Q161" i="5"/>
  <c r="R161" i="5"/>
  <c r="S161" i="5"/>
  <c r="T161" i="5"/>
  <c r="U161" i="5"/>
  <c r="M162" i="5"/>
  <c r="H162" i="5" s="1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H164" i="5" s="1"/>
  <c r="N164" i="5"/>
  <c r="O164" i="5"/>
  <c r="P164" i="5"/>
  <c r="Q164" i="5"/>
  <c r="R164" i="5"/>
  <c r="S164" i="5"/>
  <c r="T164" i="5"/>
  <c r="U164" i="5"/>
  <c r="M165" i="5"/>
  <c r="H165" i="5" s="1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H168" i="5" s="1"/>
  <c r="N168" i="5"/>
  <c r="O168" i="5"/>
  <c r="P168" i="5"/>
  <c r="Q168" i="5"/>
  <c r="R168" i="5"/>
  <c r="S168" i="5"/>
  <c r="T168" i="5"/>
  <c r="U168" i="5"/>
  <c r="M169" i="5"/>
  <c r="H169" i="5" s="1"/>
  <c r="N169" i="5"/>
  <c r="O169" i="5"/>
  <c r="P169" i="5"/>
  <c r="Q169" i="5"/>
  <c r="R169" i="5"/>
  <c r="S169" i="5"/>
  <c r="T169" i="5"/>
  <c r="U169" i="5"/>
  <c r="M170" i="5"/>
  <c r="H170" i="5" s="1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H172" i="5" s="1"/>
  <c r="N172" i="5"/>
  <c r="O172" i="5"/>
  <c r="P172" i="5"/>
  <c r="Q172" i="5"/>
  <c r="R172" i="5"/>
  <c r="S172" i="5"/>
  <c r="T172" i="5"/>
  <c r="U172" i="5"/>
  <c r="M173" i="5"/>
  <c r="H173" i="5" s="1"/>
  <c r="N173" i="5"/>
  <c r="O173" i="5"/>
  <c r="P173" i="5"/>
  <c r="Q173" i="5"/>
  <c r="R173" i="5"/>
  <c r="S173" i="5"/>
  <c r="T173" i="5"/>
  <c r="U173" i="5"/>
  <c r="M174" i="5"/>
  <c r="H174" i="5" s="1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H176" i="5" s="1"/>
  <c r="N176" i="5"/>
  <c r="O176" i="5"/>
  <c r="P176" i="5"/>
  <c r="Q176" i="5"/>
  <c r="R176" i="5"/>
  <c r="S176" i="5"/>
  <c r="T176" i="5"/>
  <c r="U176" i="5"/>
  <c r="M177" i="5"/>
  <c r="H177" i="5" s="1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H180" i="5" s="1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H182" i="5" s="1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H185" i="5" s="1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H188" i="5" s="1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H190" i="5" s="1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H192" i="5" s="1"/>
  <c r="N192" i="5"/>
  <c r="O192" i="5"/>
  <c r="P192" i="5"/>
  <c r="Q192" i="5"/>
  <c r="R192" i="5"/>
  <c r="S192" i="5"/>
  <c r="T192" i="5"/>
  <c r="U192" i="5"/>
  <c r="M193" i="5"/>
  <c r="H193" i="5" s="1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H196" i="5" s="1"/>
  <c r="N196" i="5"/>
  <c r="O196" i="5"/>
  <c r="P196" i="5"/>
  <c r="Q196" i="5"/>
  <c r="R196" i="5"/>
  <c r="S196" i="5"/>
  <c r="T196" i="5"/>
  <c r="U196" i="5"/>
  <c r="M197" i="5"/>
  <c r="H197" i="5" s="1"/>
  <c r="N197" i="5"/>
  <c r="O197" i="5"/>
  <c r="P197" i="5"/>
  <c r="Q197" i="5"/>
  <c r="R197" i="5"/>
  <c r="S197" i="5"/>
  <c r="T197" i="5"/>
  <c r="U197" i="5"/>
  <c r="M198" i="5"/>
  <c r="H198" i="5" s="1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H200" i="5" s="1"/>
  <c r="N200" i="5"/>
  <c r="O200" i="5"/>
  <c r="P200" i="5"/>
  <c r="Q200" i="5"/>
  <c r="R200" i="5"/>
  <c r="S200" i="5"/>
  <c r="T200" i="5"/>
  <c r="U200" i="5"/>
  <c r="M201" i="5"/>
  <c r="H201" i="5" s="1"/>
  <c r="N201" i="5"/>
  <c r="O201" i="5"/>
  <c r="P201" i="5"/>
  <c r="Q201" i="5"/>
  <c r="R201" i="5"/>
  <c r="S201" i="5"/>
  <c r="T201" i="5"/>
  <c r="U201" i="5"/>
  <c r="M202" i="5"/>
  <c r="H202" i="5" s="1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H204" i="5" s="1"/>
  <c r="N204" i="5"/>
  <c r="O204" i="5"/>
  <c r="P204" i="5"/>
  <c r="Q204" i="5"/>
  <c r="R204" i="5"/>
  <c r="S204" i="5"/>
  <c r="T204" i="5"/>
  <c r="U204" i="5"/>
  <c r="M205" i="5"/>
  <c r="H205" i="5" s="1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H208" i="5" s="1"/>
  <c r="N208" i="5"/>
  <c r="O208" i="5"/>
  <c r="P208" i="5"/>
  <c r="Q208" i="5"/>
  <c r="R208" i="5"/>
  <c r="S208" i="5"/>
  <c r="T208" i="5"/>
  <c r="U208" i="5"/>
  <c r="M209" i="5"/>
  <c r="H209" i="5" s="1"/>
  <c r="N209" i="5"/>
  <c r="O209" i="5"/>
  <c r="P209" i="5"/>
  <c r="Q209" i="5"/>
  <c r="R209" i="5"/>
  <c r="S209" i="5"/>
  <c r="T209" i="5"/>
  <c r="U209" i="5"/>
  <c r="M210" i="5"/>
  <c r="H210" i="5" s="1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H212" i="5" s="1"/>
  <c r="N212" i="5"/>
  <c r="O212" i="5"/>
  <c r="P212" i="5"/>
  <c r="Q212" i="5"/>
  <c r="R212" i="5"/>
  <c r="S212" i="5"/>
  <c r="T212" i="5"/>
  <c r="U212" i="5"/>
  <c r="M213" i="5"/>
  <c r="H213" i="5" s="1"/>
  <c r="N213" i="5"/>
  <c r="O213" i="5"/>
  <c r="P213" i="5"/>
  <c r="Q213" i="5"/>
  <c r="R213" i="5"/>
  <c r="S213" i="5"/>
  <c r="T213" i="5"/>
  <c r="U213" i="5"/>
  <c r="M214" i="5"/>
  <c r="H214" i="5" s="1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H216" i="5" s="1"/>
  <c r="N216" i="5"/>
  <c r="O216" i="5"/>
  <c r="P216" i="5"/>
  <c r="Q216" i="5"/>
  <c r="R216" i="5"/>
  <c r="S216" i="5"/>
  <c r="T216" i="5"/>
  <c r="U216" i="5"/>
  <c r="M217" i="5"/>
  <c r="H217" i="5" s="1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H220" i="5" s="1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H222" i="5" s="1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H224" i="5" s="1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H228" i="5" s="1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H230" i="5" s="1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H233" i="5" s="1"/>
  <c r="N233" i="5"/>
  <c r="O233" i="5"/>
  <c r="P233" i="5"/>
  <c r="Q233" i="5"/>
  <c r="R233" i="5"/>
  <c r="S233" i="5"/>
  <c r="T233" i="5"/>
  <c r="U233" i="5"/>
  <c r="M234" i="5"/>
  <c r="H234" i="5" s="1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H236" i="5" s="1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H240" i="5" s="1"/>
  <c r="N240" i="5"/>
  <c r="O240" i="5"/>
  <c r="P240" i="5"/>
  <c r="Q240" i="5"/>
  <c r="R240" i="5"/>
  <c r="S240" i="5"/>
  <c r="T240" i="5"/>
  <c r="U240" i="5"/>
  <c r="M241" i="5"/>
  <c r="H241" i="5" s="1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H244" i="5" s="1"/>
  <c r="N244" i="5"/>
  <c r="O244" i="5"/>
  <c r="P244" i="5"/>
  <c r="Q244" i="5"/>
  <c r="R244" i="5"/>
  <c r="S244" i="5"/>
  <c r="T244" i="5"/>
  <c r="U244" i="5"/>
  <c r="M245" i="5"/>
  <c r="H245" i="5" s="1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H248" i="5" s="1"/>
  <c r="N248" i="5"/>
  <c r="O248" i="5"/>
  <c r="P248" i="5"/>
  <c r="Q248" i="5"/>
  <c r="R248" i="5"/>
  <c r="S248" i="5"/>
  <c r="T248" i="5"/>
  <c r="U248" i="5"/>
  <c r="M249" i="5"/>
  <c r="H249" i="5" s="1"/>
  <c r="N249" i="5"/>
  <c r="O249" i="5"/>
  <c r="P249" i="5"/>
  <c r="Q249" i="5"/>
  <c r="R249" i="5"/>
  <c r="S249" i="5"/>
  <c r="T249" i="5"/>
  <c r="U249" i="5"/>
  <c r="M250" i="5"/>
  <c r="H250" i="5" s="1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H252" i="5" s="1"/>
  <c r="N252" i="5"/>
  <c r="O252" i="5"/>
  <c r="P252" i="5"/>
  <c r="Q252" i="5"/>
  <c r="R252" i="5"/>
  <c r="S252" i="5"/>
  <c r="T252" i="5"/>
  <c r="U252" i="5"/>
  <c r="M253" i="5"/>
  <c r="H253" i="5" s="1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H256" i="5" s="1"/>
  <c r="N256" i="5"/>
  <c r="O256" i="5"/>
  <c r="P256" i="5"/>
  <c r="Q256" i="5"/>
  <c r="R256" i="5"/>
  <c r="S256" i="5"/>
  <c r="T256" i="5"/>
  <c r="U256" i="5"/>
  <c r="M257" i="5"/>
  <c r="H257" i="5" s="1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H260" i="5" s="1"/>
  <c r="N260" i="5"/>
  <c r="O260" i="5"/>
  <c r="P260" i="5"/>
  <c r="Q260" i="5"/>
  <c r="R260" i="5"/>
  <c r="S260" i="5"/>
  <c r="T260" i="5"/>
  <c r="U260" i="5"/>
  <c r="M261" i="5"/>
  <c r="H261" i="5" s="1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H264" i="5" s="1"/>
  <c r="N264" i="5"/>
  <c r="O264" i="5"/>
  <c r="P264" i="5"/>
  <c r="Q264" i="5"/>
  <c r="R264" i="5"/>
  <c r="S264" i="5"/>
  <c r="T264" i="5"/>
  <c r="U264" i="5"/>
  <c r="M265" i="5"/>
  <c r="H265" i="5" s="1"/>
  <c r="N265" i="5"/>
  <c r="O265" i="5"/>
  <c r="P265" i="5"/>
  <c r="Q265" i="5"/>
  <c r="R265" i="5"/>
  <c r="S265" i="5"/>
  <c r="T265" i="5"/>
  <c r="U265" i="5"/>
  <c r="M266" i="5"/>
  <c r="H266" i="5" s="1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H268" i="5" s="1"/>
  <c r="N268" i="5"/>
  <c r="O268" i="5"/>
  <c r="P268" i="5"/>
  <c r="Q268" i="5"/>
  <c r="R268" i="5"/>
  <c r="S268" i="5"/>
  <c r="T268" i="5"/>
  <c r="U268" i="5"/>
  <c r="M269" i="5"/>
  <c r="H269" i="5" s="1"/>
  <c r="N269" i="5"/>
  <c r="O269" i="5"/>
  <c r="P269" i="5"/>
  <c r="Q269" i="5"/>
  <c r="R269" i="5"/>
  <c r="S269" i="5"/>
  <c r="T269" i="5"/>
  <c r="U269" i="5"/>
  <c r="M270" i="5"/>
  <c r="H270" i="5" s="1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H272" i="5" s="1"/>
  <c r="N272" i="5"/>
  <c r="O272" i="5"/>
  <c r="P272" i="5"/>
  <c r="Q272" i="5"/>
  <c r="R272" i="5"/>
  <c r="S272" i="5"/>
  <c r="T272" i="5"/>
  <c r="U272" i="5"/>
  <c r="M273" i="5"/>
  <c r="H273" i="5" s="1"/>
  <c r="N273" i="5"/>
  <c r="O273" i="5"/>
  <c r="P273" i="5"/>
  <c r="Q273" i="5"/>
  <c r="R273" i="5"/>
  <c r="S273" i="5"/>
  <c r="T273" i="5"/>
  <c r="U273" i="5"/>
  <c r="M274" i="5"/>
  <c r="H274" i="5" s="1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H276" i="5" s="1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H278" i="5" s="1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H280" i="5" s="1"/>
  <c r="N280" i="5"/>
  <c r="O280" i="5"/>
  <c r="P280" i="5"/>
  <c r="Q280" i="5"/>
  <c r="R280" i="5"/>
  <c r="S280" i="5"/>
  <c r="T280" i="5"/>
  <c r="U280" i="5"/>
  <c r="M281" i="5"/>
  <c r="H281" i="5" s="1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H284" i="5" s="1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H286" i="5" s="1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H288" i="5" s="1"/>
  <c r="N288" i="5"/>
  <c r="O288" i="5"/>
  <c r="P288" i="5"/>
  <c r="Q288" i="5"/>
  <c r="R288" i="5"/>
  <c r="S288" i="5"/>
  <c r="T288" i="5"/>
  <c r="U288" i="5"/>
  <c r="M289" i="5"/>
  <c r="H289" i="5" s="1"/>
  <c r="N289" i="5"/>
  <c r="O289" i="5"/>
  <c r="P289" i="5"/>
  <c r="Q289" i="5"/>
  <c r="R289" i="5"/>
  <c r="S289" i="5"/>
  <c r="T289" i="5"/>
  <c r="U289" i="5"/>
  <c r="M290" i="5"/>
  <c r="H290" i="5" s="1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H292" i="5" s="1"/>
  <c r="N292" i="5"/>
  <c r="O292" i="5"/>
  <c r="P292" i="5"/>
  <c r="Q292" i="5"/>
  <c r="R292" i="5"/>
  <c r="S292" i="5"/>
  <c r="T292" i="5"/>
  <c r="U292" i="5"/>
  <c r="M293" i="5"/>
  <c r="H293" i="5" s="1"/>
  <c r="N293" i="5"/>
  <c r="O293" i="5"/>
  <c r="P293" i="5"/>
  <c r="Q293" i="5"/>
  <c r="R293" i="5"/>
  <c r="S293" i="5"/>
  <c r="T293" i="5"/>
  <c r="U293" i="5"/>
  <c r="M294" i="5"/>
  <c r="H294" i="5" s="1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H296" i="5" s="1"/>
  <c r="N296" i="5"/>
  <c r="O296" i="5"/>
  <c r="P296" i="5"/>
  <c r="Q296" i="5"/>
  <c r="R296" i="5"/>
  <c r="S296" i="5"/>
  <c r="T296" i="5"/>
  <c r="U296" i="5"/>
  <c r="M297" i="5"/>
  <c r="H297" i="5" s="1"/>
  <c r="N297" i="5"/>
  <c r="O297" i="5"/>
  <c r="P297" i="5"/>
  <c r="Q297" i="5"/>
  <c r="R297" i="5"/>
  <c r="S297" i="5"/>
  <c r="T297" i="5"/>
  <c r="U297" i="5"/>
  <c r="M298" i="5"/>
  <c r="H298" i="5" s="1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H300" i="5" s="1"/>
  <c r="N300" i="5"/>
  <c r="O300" i="5"/>
  <c r="P300" i="5"/>
  <c r="Q300" i="5"/>
  <c r="R300" i="5"/>
  <c r="S300" i="5"/>
  <c r="T300" i="5"/>
  <c r="U300" i="5"/>
  <c r="M301" i="5"/>
  <c r="H301" i="5" s="1"/>
  <c r="N301" i="5"/>
  <c r="O301" i="5"/>
  <c r="P301" i="5"/>
  <c r="Q301" i="5"/>
  <c r="R301" i="5"/>
  <c r="S301" i="5"/>
  <c r="T301" i="5"/>
  <c r="U301" i="5"/>
  <c r="M302" i="5"/>
  <c r="H302" i="5" s="1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H304" i="5" s="1"/>
  <c r="N304" i="5"/>
  <c r="O304" i="5"/>
  <c r="P304" i="5"/>
  <c r="Q304" i="5"/>
  <c r="R304" i="5"/>
  <c r="S304" i="5"/>
  <c r="T304" i="5"/>
  <c r="U304" i="5"/>
  <c r="M305" i="5"/>
  <c r="H305" i="5" s="1"/>
  <c r="N305" i="5"/>
  <c r="O305" i="5"/>
  <c r="P305" i="5"/>
  <c r="Q305" i="5"/>
  <c r="R305" i="5"/>
  <c r="S305" i="5"/>
  <c r="T305" i="5"/>
  <c r="U305" i="5"/>
  <c r="M306" i="5"/>
  <c r="H306" i="5" s="1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H308" i="5" s="1"/>
  <c r="N308" i="5"/>
  <c r="O308" i="5"/>
  <c r="P308" i="5"/>
  <c r="Q308" i="5"/>
  <c r="R308" i="5"/>
  <c r="S308" i="5"/>
  <c r="T308" i="5"/>
  <c r="U308" i="5"/>
  <c r="M309" i="5"/>
  <c r="H309" i="5" s="1"/>
  <c r="N309" i="5"/>
  <c r="O309" i="5"/>
  <c r="P309" i="5"/>
  <c r="Q309" i="5"/>
  <c r="R309" i="5"/>
  <c r="S309" i="5"/>
  <c r="T309" i="5"/>
  <c r="U309" i="5"/>
  <c r="M310" i="5"/>
  <c r="H310" i="5" s="1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H312" i="5" s="1"/>
  <c r="N312" i="5"/>
  <c r="O312" i="5"/>
  <c r="P312" i="5"/>
  <c r="Q312" i="5"/>
  <c r="R312" i="5"/>
  <c r="S312" i="5"/>
  <c r="T312" i="5"/>
  <c r="U312" i="5"/>
  <c r="M313" i="5"/>
  <c r="H313" i="5" s="1"/>
  <c r="N313" i="5"/>
  <c r="O313" i="5"/>
  <c r="P313" i="5"/>
  <c r="Q313" i="5"/>
  <c r="R313" i="5"/>
  <c r="S313" i="5"/>
  <c r="T313" i="5"/>
  <c r="U313" i="5"/>
  <c r="M314" i="5"/>
  <c r="H314" i="5" s="1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H316" i="5" s="1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H320" i="5" s="1"/>
  <c r="N320" i="5"/>
  <c r="O320" i="5"/>
  <c r="P320" i="5"/>
  <c r="Q320" i="5"/>
  <c r="R320" i="5"/>
  <c r="S320" i="5"/>
  <c r="T320" i="5"/>
  <c r="U320" i="5"/>
  <c r="M321" i="5"/>
  <c r="H321" i="5" s="1"/>
  <c r="N321" i="5"/>
  <c r="O321" i="5"/>
  <c r="P321" i="5"/>
  <c r="Q321" i="5"/>
  <c r="R321" i="5"/>
  <c r="S321" i="5"/>
  <c r="T321" i="5"/>
  <c r="U321" i="5"/>
  <c r="M322" i="5"/>
  <c r="H322" i="5" s="1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H324" i="5" s="1"/>
  <c r="N324" i="5"/>
  <c r="O324" i="5"/>
  <c r="P324" i="5"/>
  <c r="Q324" i="5"/>
  <c r="R324" i="5"/>
  <c r="S324" i="5"/>
  <c r="T324" i="5"/>
  <c r="U324" i="5"/>
  <c r="M325" i="5"/>
  <c r="H325" i="5" s="1"/>
  <c r="N325" i="5"/>
  <c r="O325" i="5"/>
  <c r="P325" i="5"/>
  <c r="Q325" i="5"/>
  <c r="R325" i="5"/>
  <c r="S325" i="5"/>
  <c r="T325" i="5"/>
  <c r="U325" i="5"/>
  <c r="M326" i="5"/>
  <c r="H326" i="5" s="1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H328" i="5" s="1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H11" i="5"/>
  <c r="H18" i="5"/>
  <c r="H23" i="5"/>
  <c r="H25" i="5"/>
  <c r="H47" i="5"/>
  <c r="H49" i="5"/>
  <c r="H54" i="5"/>
  <c r="H56" i="5"/>
  <c r="H59" i="5"/>
  <c r="H83" i="5"/>
  <c r="H90" i="5"/>
  <c r="H107" i="5"/>
  <c r="H114" i="5"/>
  <c r="H119" i="5"/>
  <c r="H120" i="5"/>
  <c r="H121" i="5"/>
  <c r="H131" i="5"/>
  <c r="H143" i="5"/>
  <c r="H167" i="5"/>
  <c r="H181" i="5"/>
  <c r="H184" i="5"/>
  <c r="H186" i="5"/>
  <c r="H191" i="5"/>
  <c r="H203" i="5"/>
  <c r="H211" i="5"/>
  <c r="H223" i="5"/>
  <c r="H225" i="5"/>
  <c r="H227" i="5"/>
  <c r="H229" i="5"/>
  <c r="H232" i="5"/>
  <c r="H251" i="5"/>
  <c r="H258" i="5"/>
  <c r="H263" i="5"/>
  <c r="H275" i="5"/>
  <c r="H277" i="5"/>
  <c r="H282" i="5"/>
  <c r="H285" i="5"/>
  <c r="H287" i="5"/>
  <c r="H307" i="5"/>
  <c r="H311" i="5"/>
  <c r="H318" i="5"/>
  <c r="M2" i="5"/>
  <c r="H2" i="5" s="1"/>
  <c r="H6" i="5"/>
  <c r="H14" i="5"/>
  <c r="H26" i="5"/>
  <c r="H38" i="5"/>
  <c r="H42" i="5"/>
  <c r="H74" i="5"/>
  <c r="H78" i="5"/>
  <c r="H86" i="5"/>
  <c r="H89" i="5"/>
  <c r="H98" i="5"/>
  <c r="H101" i="5"/>
  <c r="H137" i="5"/>
  <c r="H146" i="5"/>
  <c r="H194" i="5"/>
  <c r="H206" i="5"/>
  <c r="H218" i="5"/>
  <c r="H221" i="5"/>
  <c r="H242" i="5"/>
  <c r="H246" i="5"/>
  <c r="H254" i="5"/>
  <c r="H317" i="5"/>
  <c r="K9" i="5"/>
  <c r="K7" i="5"/>
  <c r="K5" i="5"/>
  <c r="K3" i="5"/>
  <c r="H3" i="5"/>
  <c r="H7" i="5"/>
  <c r="H10" i="5"/>
  <c r="H15" i="5"/>
  <c r="H17" i="5"/>
  <c r="H19" i="5"/>
  <c r="H21" i="5"/>
  <c r="H22" i="5"/>
  <c r="H27" i="5"/>
  <c r="H31" i="5"/>
  <c r="H34" i="5"/>
  <c r="H35" i="5"/>
  <c r="H39" i="5"/>
  <c r="H43" i="5"/>
  <c r="H45" i="5"/>
  <c r="H46" i="5"/>
  <c r="H51" i="5"/>
  <c r="H55" i="5"/>
  <c r="H58" i="5"/>
  <c r="H63" i="5"/>
  <c r="H67" i="5"/>
  <c r="H69" i="5"/>
  <c r="H70" i="5"/>
  <c r="H71" i="5"/>
  <c r="H75" i="5"/>
  <c r="H79" i="5"/>
  <c r="H87" i="5"/>
  <c r="H91" i="5"/>
  <c r="H94" i="5"/>
  <c r="H95" i="5"/>
  <c r="H99" i="5"/>
  <c r="H103" i="5"/>
  <c r="H105" i="5"/>
  <c r="H111" i="5"/>
  <c r="H115" i="5"/>
  <c r="H123" i="5"/>
  <c r="H127" i="5"/>
  <c r="H130" i="5"/>
  <c r="H135" i="5"/>
  <c r="H139" i="5"/>
  <c r="H142" i="5"/>
  <c r="H147" i="5"/>
  <c r="H151" i="5"/>
  <c r="H155" i="5"/>
  <c r="H157" i="5"/>
  <c r="H159" i="5"/>
  <c r="H163" i="5"/>
  <c r="H166" i="5"/>
  <c r="H171" i="5"/>
  <c r="H175" i="5"/>
  <c r="H178" i="5"/>
  <c r="H179" i="5"/>
  <c r="H183" i="5"/>
  <c r="H187" i="5"/>
  <c r="H189" i="5"/>
  <c r="H195" i="5"/>
  <c r="H199" i="5"/>
  <c r="H207" i="5"/>
  <c r="H215" i="5"/>
  <c r="H219" i="5"/>
  <c r="H226" i="5"/>
  <c r="H231" i="5"/>
  <c r="H235" i="5"/>
  <c r="H237" i="5"/>
  <c r="H238" i="5"/>
  <c r="H239" i="5"/>
  <c r="H243" i="5"/>
  <c r="H247" i="5"/>
  <c r="H255" i="5"/>
  <c r="H259" i="5"/>
  <c r="H262" i="5"/>
  <c r="H267" i="5"/>
  <c r="H271" i="5"/>
  <c r="H279" i="5"/>
  <c r="H283" i="5"/>
  <c r="H291" i="5"/>
  <c r="H295" i="5"/>
  <c r="H299" i="5"/>
  <c r="H303" i="5"/>
  <c r="H315" i="5"/>
  <c r="H319" i="5"/>
  <c r="H323" i="5"/>
  <c r="H327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<sst xmlns="http://schemas.openxmlformats.org/spreadsheetml/2006/main" count="1358" uniqueCount="125">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</sst>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K18" sqref="K1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M2</f>
        <v>98.55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>M3</f>
        <v>284.31</v>
      </c>
      <c r="I3" s="5">
        <v>330</v>
      </c>
      <c r="K3" s="13">
        <f>AVERAGE(G2:G328)</f>
        <v>150.75902140672773</v>
      </c>
      <c r="M3" s="5">
        <f t="shared" ref="M3:M66" si="0">IF($G3&gt;=50, $G3*0.9,$G3)</f>
        <v>284.31</v>
      </c>
      <c r="N3" s="5">
        <f t="shared" ref="N3:N66" si="1">IF($G3&gt;=50, $G3*0.8,$G3)</f>
        <v>252.72</v>
      </c>
      <c r="O3" s="5">
        <f t="shared" ref="O3:O66" si="2">IF($G3&gt;=50, $G3*0.7,$G3)</f>
        <v>221.12999999999997</v>
      </c>
      <c r="P3" s="5">
        <f t="shared" ref="P3:P66" si="3">IF($G3&gt;=50, $G3*0.6,$G3)</f>
        <v>189.54</v>
      </c>
      <c r="Q3" s="5">
        <f t="shared" ref="Q3:Q66" si="4">IF($G3&gt;=50, $G3*0.5,$G3)</f>
        <v>157.94999999999999</v>
      </c>
      <c r="R3" s="5">
        <f t="shared" ref="R3:R66" si="5">IF($G3&gt;=50, $G3*0.4,$G3)</f>
        <v>126.36</v>
      </c>
      <c r="S3" s="5">
        <f t="shared" ref="S3:S66" si="6">IF($G3&gt;=50, $G3*0.3,$G3)</f>
        <v>94.77</v>
      </c>
      <c r="T3" s="5">
        <f t="shared" ref="T3:T66" si="7">IF($G3&gt;=50, $G3*0.2,$G3)</f>
        <v>63.18</v>
      </c>
      <c r="U3" s="5">
        <f t="shared" ref="U3:U66" si="8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>M4</f>
        <v>267.20999999999998</v>
      </c>
      <c r="I4" s="5">
        <v>330</v>
      </c>
      <c r="K4" s="12" t="s">
        <v>117</v>
      </c>
      <c r="M4" s="5">
        <f t="shared" si="0"/>
        <v>267.20999999999998</v>
      </c>
      <c r="N4" s="5">
        <f t="shared" si="1"/>
        <v>237.51999999999998</v>
      </c>
      <c r="O4" s="5">
        <f t="shared" si="2"/>
        <v>207.82999999999998</v>
      </c>
      <c r="P4" s="5">
        <f t="shared" si="3"/>
        <v>178.14</v>
      </c>
      <c r="Q4" s="5">
        <f t="shared" si="4"/>
        <v>148.44999999999999</v>
      </c>
      <c r="R4" s="5">
        <f t="shared" si="5"/>
        <v>118.75999999999999</v>
      </c>
      <c r="S4" s="5">
        <f t="shared" si="6"/>
        <v>89.07</v>
      </c>
      <c r="T4" s="5">
        <f t="shared" si="7"/>
        <v>59.379999999999995</v>
      </c>
      <c r="U4" s="5">
        <f t="shared" si="8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>M5</f>
        <v>27.7</v>
      </c>
      <c r="I5" s="5">
        <v>330</v>
      </c>
      <c r="K5" s="13">
        <f>MAX(G2:G328)</f>
        <v>1133.7</v>
      </c>
      <c r="M5" s="5">
        <f t="shared" si="0"/>
        <v>27.7</v>
      </c>
      <c r="N5" s="5">
        <f t="shared" si="1"/>
        <v>27.7</v>
      </c>
      <c r="O5" s="5">
        <f t="shared" si="2"/>
        <v>27.7</v>
      </c>
      <c r="P5" s="5">
        <f t="shared" si="3"/>
        <v>27.7</v>
      </c>
      <c r="Q5" s="5">
        <f t="shared" si="4"/>
        <v>27.7</v>
      </c>
      <c r="R5" s="5">
        <f t="shared" si="5"/>
        <v>27.7</v>
      </c>
      <c r="S5" s="5">
        <f t="shared" si="6"/>
        <v>27.7</v>
      </c>
      <c r="T5" s="5">
        <f t="shared" si="7"/>
        <v>27.7</v>
      </c>
      <c r="U5" s="5">
        <f t="shared" si="8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>M6</f>
        <v>0.1</v>
      </c>
      <c r="I6" s="5">
        <v>60</v>
      </c>
      <c r="K6" s="12" t="s">
        <v>118</v>
      </c>
      <c r="M6" s="5">
        <f t="shared" si="0"/>
        <v>0.1</v>
      </c>
      <c r="N6" s="5">
        <f t="shared" si="1"/>
        <v>0.1</v>
      </c>
      <c r="O6" s="5">
        <f t="shared" si="2"/>
        <v>0.1</v>
      </c>
      <c r="P6" s="5">
        <f t="shared" si="3"/>
        <v>0.1</v>
      </c>
      <c r="Q6" s="5">
        <f t="shared" si="4"/>
        <v>0.1</v>
      </c>
      <c r="R6" s="5">
        <f t="shared" si="5"/>
        <v>0.1</v>
      </c>
      <c r="S6" s="5">
        <f t="shared" si="6"/>
        <v>0.1</v>
      </c>
      <c r="T6" s="5">
        <f t="shared" si="7"/>
        <v>0.1</v>
      </c>
      <c r="U6" s="5">
        <f t="shared" si="8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>M7</f>
        <v>0.5</v>
      </c>
      <c r="I7" s="5">
        <v>365</v>
      </c>
      <c r="K7" s="13">
        <f>MIN(G2:G328)</f>
        <v>0.1</v>
      </c>
      <c r="M7" s="5">
        <f t="shared" si="0"/>
        <v>0.5</v>
      </c>
      <c r="N7" s="5">
        <f t="shared" si="1"/>
        <v>0.5</v>
      </c>
      <c r="O7" s="5">
        <f t="shared" si="2"/>
        <v>0.5</v>
      </c>
      <c r="P7" s="5">
        <f t="shared" si="3"/>
        <v>0.5</v>
      </c>
      <c r="Q7" s="5">
        <f t="shared" si="4"/>
        <v>0.5</v>
      </c>
      <c r="R7" s="5">
        <f t="shared" si="5"/>
        <v>0.5</v>
      </c>
      <c r="S7" s="5">
        <f t="shared" si="6"/>
        <v>0.5</v>
      </c>
      <c r="T7" s="5">
        <f t="shared" si="7"/>
        <v>0.5</v>
      </c>
      <c r="U7" s="5">
        <f t="shared" si="8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>M8</f>
        <v>0.2</v>
      </c>
      <c r="I8" s="5">
        <v>365</v>
      </c>
      <c r="K8" s="12" t="s">
        <v>119</v>
      </c>
      <c r="M8" s="5">
        <f t="shared" si="0"/>
        <v>0.2</v>
      </c>
      <c r="N8" s="5">
        <f t="shared" si="1"/>
        <v>0.2</v>
      </c>
      <c r="O8" s="5">
        <f t="shared" si="2"/>
        <v>0.2</v>
      </c>
      <c r="P8" s="5">
        <f t="shared" si="3"/>
        <v>0.2</v>
      </c>
      <c r="Q8" s="5">
        <f t="shared" si="4"/>
        <v>0.2</v>
      </c>
      <c r="R8" s="5">
        <f t="shared" si="5"/>
        <v>0.2</v>
      </c>
      <c r="S8" s="5">
        <f t="shared" si="6"/>
        <v>0.2</v>
      </c>
      <c r="T8" s="5">
        <f t="shared" si="7"/>
        <v>0.2</v>
      </c>
      <c r="U8" s="5">
        <f t="shared" si="8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>M9</f>
        <v>122.03999999999999</v>
      </c>
      <c r="I9" s="5">
        <v>120</v>
      </c>
      <c r="K9" s="13">
        <f>MEDIAN(G2:G328)</f>
        <v>124.9</v>
      </c>
      <c r="M9" s="5">
        <f t="shared" si="0"/>
        <v>122.03999999999999</v>
      </c>
      <c r="N9" s="5">
        <f t="shared" si="1"/>
        <v>108.48</v>
      </c>
      <c r="O9" s="5">
        <f t="shared" si="2"/>
        <v>94.919999999999987</v>
      </c>
      <c r="P9" s="5">
        <f t="shared" si="3"/>
        <v>81.36</v>
      </c>
      <c r="Q9" s="5">
        <f t="shared" si="4"/>
        <v>67.8</v>
      </c>
      <c r="R9" s="5">
        <f t="shared" si="5"/>
        <v>54.24</v>
      </c>
      <c r="S9" s="5">
        <f t="shared" si="6"/>
        <v>40.68</v>
      </c>
      <c r="T9" s="5">
        <f t="shared" si="7"/>
        <v>27.12</v>
      </c>
      <c r="U9" s="5">
        <f t="shared" si="8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>M10</f>
        <v>74.34</v>
      </c>
      <c r="I10" s="5">
        <v>90</v>
      </c>
      <c r="K10" s="12" t="s">
        <v>120</v>
      </c>
      <c r="M10" s="5">
        <f t="shared" si="0"/>
        <v>74.34</v>
      </c>
      <c r="N10" s="5">
        <f t="shared" si="1"/>
        <v>66.08</v>
      </c>
      <c r="O10" s="5">
        <f t="shared" si="2"/>
        <v>57.819999999999993</v>
      </c>
      <c r="P10" s="5">
        <f t="shared" si="3"/>
        <v>49.559999999999995</v>
      </c>
      <c r="Q10" s="5">
        <f t="shared" si="4"/>
        <v>41.3</v>
      </c>
      <c r="R10" s="5">
        <f t="shared" si="5"/>
        <v>33.04</v>
      </c>
      <c r="S10" s="5">
        <f t="shared" si="6"/>
        <v>24.779999999999998</v>
      </c>
      <c r="T10" s="5">
        <f t="shared" si="7"/>
        <v>16.52</v>
      </c>
      <c r="U10" s="5">
        <f t="shared" si="8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>M11</f>
        <v>96.48</v>
      </c>
      <c r="I11" s="5">
        <v>120</v>
      </c>
      <c r="K11" s="13">
        <f>STDEV(G:G)</f>
        <v>149.06739768239117</v>
      </c>
      <c r="M11" s="5">
        <f t="shared" si="0"/>
        <v>96.48</v>
      </c>
      <c r="N11" s="5">
        <f t="shared" si="1"/>
        <v>85.76</v>
      </c>
      <c r="O11" s="5">
        <f t="shared" si="2"/>
        <v>75.039999999999992</v>
      </c>
      <c r="P11" s="5">
        <f t="shared" si="3"/>
        <v>64.319999999999993</v>
      </c>
      <c r="Q11" s="5">
        <f t="shared" si="4"/>
        <v>53.6</v>
      </c>
      <c r="R11" s="5">
        <f t="shared" si="5"/>
        <v>42.88</v>
      </c>
      <c r="S11" s="5">
        <f t="shared" si="6"/>
        <v>32.159999999999997</v>
      </c>
      <c r="T11" s="5">
        <f t="shared" si="7"/>
        <v>21.44</v>
      </c>
      <c r="U11" s="5">
        <f t="shared" si="8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>M12</f>
        <v>4.5999999999999996</v>
      </c>
      <c r="I12" s="5">
        <v>365</v>
      </c>
      <c r="M12" s="5">
        <f t="shared" si="0"/>
        <v>4.5999999999999996</v>
      </c>
      <c r="N12" s="5">
        <f t="shared" si="1"/>
        <v>4.5999999999999996</v>
      </c>
      <c r="O12" s="5">
        <f t="shared" si="2"/>
        <v>4.5999999999999996</v>
      </c>
      <c r="P12" s="5">
        <f t="shared" si="3"/>
        <v>4.5999999999999996</v>
      </c>
      <c r="Q12" s="5">
        <f t="shared" si="4"/>
        <v>4.5999999999999996</v>
      </c>
      <c r="R12" s="5">
        <f t="shared" si="5"/>
        <v>4.5999999999999996</v>
      </c>
      <c r="S12" s="5">
        <f t="shared" si="6"/>
        <v>4.5999999999999996</v>
      </c>
      <c r="T12" s="5">
        <f t="shared" si="7"/>
        <v>4.5999999999999996</v>
      </c>
      <c r="U12" s="5">
        <f t="shared" si="8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>M13</f>
        <v>112.59</v>
      </c>
      <c r="I13" s="5">
        <v>90</v>
      </c>
      <c r="M13" s="5">
        <f t="shared" si="0"/>
        <v>112.59</v>
      </c>
      <c r="N13" s="5">
        <f t="shared" si="1"/>
        <v>100.08</v>
      </c>
      <c r="O13" s="5">
        <f t="shared" si="2"/>
        <v>87.57</v>
      </c>
      <c r="P13" s="5">
        <f t="shared" si="3"/>
        <v>75.059999999999988</v>
      </c>
      <c r="Q13" s="5">
        <f t="shared" si="4"/>
        <v>62.55</v>
      </c>
      <c r="R13" s="5">
        <f t="shared" si="5"/>
        <v>50.04</v>
      </c>
      <c r="S13" s="5">
        <f t="shared" si="6"/>
        <v>37.529999999999994</v>
      </c>
      <c r="T13" s="5">
        <f t="shared" si="7"/>
        <v>25.02</v>
      </c>
      <c r="U13" s="5">
        <f t="shared" si="8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>M14</f>
        <v>79.38000000000001</v>
      </c>
      <c r="I14" s="5">
        <v>90</v>
      </c>
      <c r="M14" s="5">
        <f t="shared" si="0"/>
        <v>79.38000000000001</v>
      </c>
      <c r="N14" s="5">
        <f t="shared" si="1"/>
        <v>70.56</v>
      </c>
      <c r="O14" s="5">
        <f t="shared" si="2"/>
        <v>61.739999999999995</v>
      </c>
      <c r="P14" s="5">
        <f t="shared" si="3"/>
        <v>52.92</v>
      </c>
      <c r="Q14" s="5">
        <f t="shared" si="4"/>
        <v>44.1</v>
      </c>
      <c r="R14" s="5">
        <f t="shared" si="5"/>
        <v>35.28</v>
      </c>
      <c r="S14" s="5">
        <f t="shared" si="6"/>
        <v>26.46</v>
      </c>
      <c r="T14" s="5">
        <f t="shared" si="7"/>
        <v>17.64</v>
      </c>
      <c r="U14" s="5">
        <f t="shared" si="8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>M15</f>
        <v>68.58</v>
      </c>
      <c r="I15" s="5">
        <v>30</v>
      </c>
      <c r="M15" s="5">
        <f t="shared" si="0"/>
        <v>68.58</v>
      </c>
      <c r="N15" s="5">
        <f t="shared" si="1"/>
        <v>60.960000000000008</v>
      </c>
      <c r="O15" s="5">
        <f t="shared" si="2"/>
        <v>53.339999999999996</v>
      </c>
      <c r="P15" s="5">
        <f t="shared" si="3"/>
        <v>45.72</v>
      </c>
      <c r="Q15" s="5">
        <f t="shared" si="4"/>
        <v>38.1</v>
      </c>
      <c r="R15" s="5">
        <f t="shared" si="5"/>
        <v>30.480000000000004</v>
      </c>
      <c r="S15" s="5">
        <f t="shared" si="6"/>
        <v>22.86</v>
      </c>
      <c r="T15" s="5">
        <f t="shared" si="7"/>
        <v>15.240000000000002</v>
      </c>
      <c r="U15" s="5">
        <f t="shared" si="8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>M16</f>
        <v>200.52</v>
      </c>
      <c r="I16" s="5">
        <v>90</v>
      </c>
      <c r="M16" s="5">
        <f t="shared" si="0"/>
        <v>200.52</v>
      </c>
      <c r="N16" s="5">
        <f t="shared" si="1"/>
        <v>178.24</v>
      </c>
      <c r="O16" s="5">
        <f t="shared" si="2"/>
        <v>155.96</v>
      </c>
      <c r="P16" s="5">
        <f t="shared" si="3"/>
        <v>133.68</v>
      </c>
      <c r="Q16" s="5">
        <f t="shared" si="4"/>
        <v>111.4</v>
      </c>
      <c r="R16" s="5">
        <f t="shared" si="5"/>
        <v>89.12</v>
      </c>
      <c r="S16" s="5">
        <f t="shared" si="6"/>
        <v>66.84</v>
      </c>
      <c r="T16" s="5">
        <f t="shared" si="7"/>
        <v>44.56</v>
      </c>
      <c r="U16" s="5">
        <f t="shared" si="8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>M17</f>
        <v>135.45000000000002</v>
      </c>
      <c r="I17" s="5">
        <v>90</v>
      </c>
      <c r="M17" s="5">
        <f t="shared" si="0"/>
        <v>135.45000000000002</v>
      </c>
      <c r="N17" s="5">
        <f t="shared" si="1"/>
        <v>120.4</v>
      </c>
      <c r="O17" s="5">
        <f t="shared" si="2"/>
        <v>105.35</v>
      </c>
      <c r="P17" s="5">
        <f t="shared" si="3"/>
        <v>90.3</v>
      </c>
      <c r="Q17" s="5">
        <f t="shared" si="4"/>
        <v>75.25</v>
      </c>
      <c r="R17" s="5">
        <f t="shared" si="5"/>
        <v>60.2</v>
      </c>
      <c r="S17" s="5">
        <f t="shared" si="6"/>
        <v>45.15</v>
      </c>
      <c r="T17" s="5">
        <f t="shared" si="7"/>
        <v>30.1</v>
      </c>
      <c r="U17" s="5">
        <f t="shared" si="8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>M18</f>
        <v>237.69000000000003</v>
      </c>
      <c r="I18" s="5">
        <v>120</v>
      </c>
      <c r="M18" s="5">
        <f t="shared" si="0"/>
        <v>237.69000000000003</v>
      </c>
      <c r="N18" s="5">
        <f t="shared" si="1"/>
        <v>211.28000000000003</v>
      </c>
      <c r="O18" s="5">
        <f t="shared" si="2"/>
        <v>184.87</v>
      </c>
      <c r="P18" s="5">
        <f t="shared" si="3"/>
        <v>158.46</v>
      </c>
      <c r="Q18" s="5">
        <f t="shared" si="4"/>
        <v>132.05000000000001</v>
      </c>
      <c r="R18" s="5">
        <f t="shared" si="5"/>
        <v>105.64000000000001</v>
      </c>
      <c r="S18" s="5">
        <f t="shared" si="6"/>
        <v>79.23</v>
      </c>
      <c r="T18" s="5">
        <f t="shared" si="7"/>
        <v>52.820000000000007</v>
      </c>
      <c r="U18" s="5">
        <f t="shared" si="8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>M19</f>
        <v>103.05</v>
      </c>
      <c r="I19" s="5">
        <v>90</v>
      </c>
      <c r="M19" s="5">
        <f t="shared" si="0"/>
        <v>103.05</v>
      </c>
      <c r="N19" s="5">
        <f t="shared" si="1"/>
        <v>91.600000000000009</v>
      </c>
      <c r="O19" s="5">
        <f t="shared" si="2"/>
        <v>80.149999999999991</v>
      </c>
      <c r="P19" s="5">
        <f t="shared" si="3"/>
        <v>68.7</v>
      </c>
      <c r="Q19" s="5">
        <f t="shared" si="4"/>
        <v>57.25</v>
      </c>
      <c r="R19" s="5">
        <f t="shared" si="5"/>
        <v>45.800000000000004</v>
      </c>
      <c r="S19" s="5">
        <f t="shared" si="6"/>
        <v>34.35</v>
      </c>
      <c r="T19" s="5">
        <f t="shared" si="7"/>
        <v>22.900000000000002</v>
      </c>
      <c r="U19" s="5">
        <f t="shared" si="8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>M20</f>
        <v>234.54000000000002</v>
      </c>
      <c r="I20" s="5">
        <v>150</v>
      </c>
      <c r="M20" s="5">
        <f t="shared" si="0"/>
        <v>234.54000000000002</v>
      </c>
      <c r="N20" s="5">
        <f t="shared" si="1"/>
        <v>208.48000000000002</v>
      </c>
      <c r="O20" s="5">
        <f t="shared" si="2"/>
        <v>182.42000000000002</v>
      </c>
      <c r="P20" s="5">
        <f t="shared" si="3"/>
        <v>156.36000000000001</v>
      </c>
      <c r="Q20" s="5">
        <f t="shared" si="4"/>
        <v>130.30000000000001</v>
      </c>
      <c r="R20" s="5">
        <f t="shared" si="5"/>
        <v>104.24000000000001</v>
      </c>
      <c r="S20" s="5">
        <f t="shared" si="6"/>
        <v>78.180000000000007</v>
      </c>
      <c r="T20" s="5">
        <f t="shared" si="7"/>
        <v>52.120000000000005</v>
      </c>
      <c r="U20" s="5">
        <f t="shared" si="8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>M21</f>
        <v>176.13</v>
      </c>
      <c r="I21" s="5">
        <v>120</v>
      </c>
      <c r="M21" s="5">
        <f t="shared" si="0"/>
        <v>176.13</v>
      </c>
      <c r="N21" s="5">
        <f t="shared" si="1"/>
        <v>156.56</v>
      </c>
      <c r="O21" s="5">
        <f t="shared" si="2"/>
        <v>136.98999999999998</v>
      </c>
      <c r="P21" s="5">
        <f t="shared" si="3"/>
        <v>117.41999999999999</v>
      </c>
      <c r="Q21" s="5">
        <f t="shared" si="4"/>
        <v>97.85</v>
      </c>
      <c r="R21" s="5">
        <f t="shared" si="5"/>
        <v>78.28</v>
      </c>
      <c r="S21" s="5">
        <f t="shared" si="6"/>
        <v>58.709999999999994</v>
      </c>
      <c r="T21" s="5">
        <f t="shared" si="7"/>
        <v>39.14</v>
      </c>
      <c r="U21" s="5">
        <f t="shared" si="8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>M22</f>
        <v>8.1999999999999993</v>
      </c>
      <c r="I22" s="5">
        <v>180</v>
      </c>
      <c r="M22" s="5">
        <f t="shared" si="0"/>
        <v>8.1999999999999993</v>
      </c>
      <c r="N22" s="5">
        <f t="shared" si="1"/>
        <v>8.1999999999999993</v>
      </c>
      <c r="O22" s="5">
        <f t="shared" si="2"/>
        <v>8.1999999999999993</v>
      </c>
      <c r="P22" s="5">
        <f t="shared" si="3"/>
        <v>8.1999999999999993</v>
      </c>
      <c r="Q22" s="5">
        <f t="shared" si="4"/>
        <v>8.1999999999999993</v>
      </c>
      <c r="R22" s="5">
        <f t="shared" si="5"/>
        <v>8.1999999999999993</v>
      </c>
      <c r="S22" s="5">
        <f t="shared" si="6"/>
        <v>8.1999999999999993</v>
      </c>
      <c r="T22" s="5">
        <f t="shared" si="7"/>
        <v>8.1999999999999993</v>
      </c>
      <c r="U22" s="5">
        <f t="shared" si="8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>M23</f>
        <v>108.63000000000001</v>
      </c>
      <c r="I23" s="5">
        <v>120</v>
      </c>
      <c r="M23" s="5">
        <f t="shared" si="0"/>
        <v>108.63000000000001</v>
      </c>
      <c r="N23" s="5">
        <f t="shared" si="1"/>
        <v>96.56</v>
      </c>
      <c r="O23" s="5">
        <f t="shared" si="2"/>
        <v>84.49</v>
      </c>
      <c r="P23" s="5">
        <f t="shared" si="3"/>
        <v>72.42</v>
      </c>
      <c r="Q23" s="5">
        <f t="shared" si="4"/>
        <v>60.35</v>
      </c>
      <c r="R23" s="5">
        <f t="shared" si="5"/>
        <v>48.28</v>
      </c>
      <c r="S23" s="5">
        <f t="shared" si="6"/>
        <v>36.21</v>
      </c>
      <c r="T23" s="5">
        <f t="shared" si="7"/>
        <v>24.14</v>
      </c>
      <c r="U23" s="5">
        <f t="shared" si="8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>M24</f>
        <v>639.45000000000005</v>
      </c>
      <c r="I24" s="5">
        <v>365</v>
      </c>
      <c r="M24" s="5">
        <f t="shared" si="0"/>
        <v>639.45000000000005</v>
      </c>
      <c r="N24" s="5">
        <f t="shared" si="1"/>
        <v>568.4</v>
      </c>
      <c r="O24" s="5">
        <f t="shared" si="2"/>
        <v>497.34999999999997</v>
      </c>
      <c r="P24" s="5">
        <f t="shared" si="3"/>
        <v>426.3</v>
      </c>
      <c r="Q24" s="5">
        <f t="shared" si="4"/>
        <v>355.25</v>
      </c>
      <c r="R24" s="5">
        <f t="shared" si="5"/>
        <v>284.2</v>
      </c>
      <c r="S24" s="5">
        <f t="shared" si="6"/>
        <v>213.15</v>
      </c>
      <c r="T24" s="5">
        <f t="shared" si="7"/>
        <v>142.1</v>
      </c>
      <c r="U24" s="5">
        <f t="shared" si="8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>M25</f>
        <v>74.97</v>
      </c>
      <c r="I25" s="5">
        <v>120</v>
      </c>
      <c r="M25" s="5">
        <f t="shared" si="0"/>
        <v>74.97</v>
      </c>
      <c r="N25" s="5">
        <f t="shared" si="1"/>
        <v>66.64</v>
      </c>
      <c r="O25" s="5">
        <f t="shared" si="2"/>
        <v>58.309999999999995</v>
      </c>
      <c r="P25" s="5">
        <f t="shared" si="3"/>
        <v>49.98</v>
      </c>
      <c r="Q25" s="5">
        <f t="shared" si="4"/>
        <v>41.65</v>
      </c>
      <c r="R25" s="5">
        <f t="shared" si="5"/>
        <v>33.32</v>
      </c>
      <c r="S25" s="5">
        <f t="shared" si="6"/>
        <v>24.99</v>
      </c>
      <c r="T25" s="5">
        <f t="shared" si="7"/>
        <v>16.66</v>
      </c>
      <c r="U25" s="5">
        <f t="shared" si="8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>M26</f>
        <v>43</v>
      </c>
      <c r="I26" s="5">
        <v>90</v>
      </c>
      <c r="M26" s="5">
        <f t="shared" si="0"/>
        <v>43</v>
      </c>
      <c r="N26" s="5">
        <f t="shared" si="1"/>
        <v>43</v>
      </c>
      <c r="O26" s="5">
        <f t="shared" si="2"/>
        <v>43</v>
      </c>
      <c r="P26" s="5">
        <f t="shared" si="3"/>
        <v>43</v>
      </c>
      <c r="Q26" s="5">
        <f t="shared" si="4"/>
        <v>43</v>
      </c>
      <c r="R26" s="5">
        <f t="shared" si="5"/>
        <v>43</v>
      </c>
      <c r="S26" s="5">
        <f t="shared" si="6"/>
        <v>43</v>
      </c>
      <c r="T26" s="5">
        <f t="shared" si="7"/>
        <v>43</v>
      </c>
      <c r="U26" s="5">
        <f t="shared" si="8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>M27</f>
        <v>7.5</v>
      </c>
      <c r="I27" s="5">
        <v>180</v>
      </c>
      <c r="M27" s="5">
        <f t="shared" si="0"/>
        <v>7.5</v>
      </c>
      <c r="N27" s="5">
        <f t="shared" si="1"/>
        <v>7.5</v>
      </c>
      <c r="O27" s="5">
        <f t="shared" si="2"/>
        <v>7.5</v>
      </c>
      <c r="P27" s="5">
        <f t="shared" si="3"/>
        <v>7.5</v>
      </c>
      <c r="Q27" s="5">
        <f t="shared" si="4"/>
        <v>7.5</v>
      </c>
      <c r="R27" s="5">
        <f t="shared" si="5"/>
        <v>7.5</v>
      </c>
      <c r="S27" s="5">
        <f t="shared" si="6"/>
        <v>7.5</v>
      </c>
      <c r="T27" s="5">
        <f t="shared" si="7"/>
        <v>7.5</v>
      </c>
      <c r="U27" s="5">
        <f t="shared" si="8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>M28</f>
        <v>11</v>
      </c>
      <c r="I28" s="5">
        <v>120</v>
      </c>
      <c r="M28" s="5">
        <f t="shared" si="0"/>
        <v>11</v>
      </c>
      <c r="N28" s="5">
        <f t="shared" si="1"/>
        <v>11</v>
      </c>
      <c r="O28" s="5">
        <f t="shared" si="2"/>
        <v>11</v>
      </c>
      <c r="P28" s="5">
        <f t="shared" si="3"/>
        <v>11</v>
      </c>
      <c r="Q28" s="5">
        <f t="shared" si="4"/>
        <v>11</v>
      </c>
      <c r="R28" s="5">
        <f t="shared" si="5"/>
        <v>11</v>
      </c>
      <c r="S28" s="5">
        <f t="shared" si="6"/>
        <v>11</v>
      </c>
      <c r="T28" s="5">
        <f t="shared" si="7"/>
        <v>11</v>
      </c>
      <c r="U28" s="5">
        <f t="shared" si="8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>M29</f>
        <v>340.92</v>
      </c>
      <c r="I29" s="5">
        <v>90</v>
      </c>
      <c r="M29" s="5">
        <f t="shared" si="0"/>
        <v>340.92</v>
      </c>
      <c r="N29" s="5">
        <f t="shared" si="1"/>
        <v>303.04000000000002</v>
      </c>
      <c r="O29" s="5">
        <f t="shared" si="2"/>
        <v>265.15999999999997</v>
      </c>
      <c r="P29" s="5">
        <f t="shared" si="3"/>
        <v>227.28</v>
      </c>
      <c r="Q29" s="5">
        <f t="shared" si="4"/>
        <v>189.4</v>
      </c>
      <c r="R29" s="5">
        <f t="shared" si="5"/>
        <v>151.52000000000001</v>
      </c>
      <c r="S29" s="5">
        <f t="shared" si="6"/>
        <v>113.64</v>
      </c>
      <c r="T29" s="5">
        <f t="shared" si="7"/>
        <v>75.760000000000005</v>
      </c>
      <c r="U29" s="5">
        <f t="shared" si="8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>M30</f>
        <v>228.51000000000002</v>
      </c>
      <c r="I30" s="5">
        <v>90</v>
      </c>
      <c r="M30" s="5">
        <f t="shared" si="0"/>
        <v>228.51000000000002</v>
      </c>
      <c r="N30" s="5">
        <f t="shared" si="1"/>
        <v>203.12</v>
      </c>
      <c r="O30" s="5">
        <f t="shared" si="2"/>
        <v>177.73</v>
      </c>
      <c r="P30" s="5">
        <f t="shared" si="3"/>
        <v>152.34</v>
      </c>
      <c r="Q30" s="5">
        <f t="shared" si="4"/>
        <v>126.95</v>
      </c>
      <c r="R30" s="5">
        <f t="shared" si="5"/>
        <v>101.56</v>
      </c>
      <c r="S30" s="5">
        <f t="shared" si="6"/>
        <v>76.17</v>
      </c>
      <c r="T30" s="5">
        <f t="shared" si="7"/>
        <v>50.78</v>
      </c>
      <c r="U30" s="5">
        <f t="shared" si="8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>M31</f>
        <v>314.73</v>
      </c>
      <c r="I31" s="5">
        <v>90</v>
      </c>
      <c r="M31" s="5">
        <f t="shared" si="0"/>
        <v>314.73</v>
      </c>
      <c r="N31" s="5">
        <f t="shared" si="1"/>
        <v>279.76</v>
      </c>
      <c r="O31" s="5">
        <f t="shared" si="2"/>
        <v>244.78999999999996</v>
      </c>
      <c r="P31" s="5">
        <f t="shared" si="3"/>
        <v>209.82</v>
      </c>
      <c r="Q31" s="5">
        <f t="shared" si="4"/>
        <v>174.85</v>
      </c>
      <c r="R31" s="5">
        <f t="shared" si="5"/>
        <v>139.88</v>
      </c>
      <c r="S31" s="5">
        <f t="shared" si="6"/>
        <v>104.91</v>
      </c>
      <c r="T31" s="5">
        <f t="shared" si="7"/>
        <v>69.94</v>
      </c>
      <c r="U31" s="5">
        <f t="shared" si="8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>M32</f>
        <v>248.85</v>
      </c>
      <c r="I32" s="5">
        <v>120</v>
      </c>
      <c r="M32" s="5">
        <f t="shared" si="0"/>
        <v>248.85</v>
      </c>
      <c r="N32" s="5">
        <f t="shared" si="1"/>
        <v>221.20000000000002</v>
      </c>
      <c r="O32" s="5">
        <f t="shared" si="2"/>
        <v>193.54999999999998</v>
      </c>
      <c r="P32" s="5">
        <f t="shared" si="3"/>
        <v>165.9</v>
      </c>
      <c r="Q32" s="5">
        <f t="shared" si="4"/>
        <v>138.25</v>
      </c>
      <c r="R32" s="5">
        <f t="shared" si="5"/>
        <v>110.60000000000001</v>
      </c>
      <c r="S32" s="5">
        <f t="shared" si="6"/>
        <v>82.95</v>
      </c>
      <c r="T32" s="5">
        <f t="shared" si="7"/>
        <v>55.300000000000004</v>
      </c>
      <c r="U32" s="5">
        <f t="shared" si="8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>M33</f>
        <v>131.57999999999998</v>
      </c>
      <c r="I33" s="5">
        <v>120</v>
      </c>
      <c r="M33" s="5">
        <f t="shared" si="0"/>
        <v>131.57999999999998</v>
      </c>
      <c r="N33" s="5">
        <f t="shared" si="1"/>
        <v>116.96</v>
      </c>
      <c r="O33" s="5">
        <f t="shared" si="2"/>
        <v>102.33999999999999</v>
      </c>
      <c r="P33" s="5">
        <f t="shared" si="3"/>
        <v>87.719999999999985</v>
      </c>
      <c r="Q33" s="5">
        <f t="shared" si="4"/>
        <v>73.099999999999994</v>
      </c>
      <c r="R33" s="5">
        <f t="shared" si="5"/>
        <v>58.48</v>
      </c>
      <c r="S33" s="5">
        <f t="shared" si="6"/>
        <v>43.859999999999992</v>
      </c>
      <c r="T33" s="5">
        <f t="shared" si="7"/>
        <v>29.24</v>
      </c>
      <c r="U33" s="5">
        <f t="shared" si="8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>M34</f>
        <v>229.95000000000002</v>
      </c>
      <c r="I34" s="5">
        <v>120</v>
      </c>
      <c r="M34" s="5">
        <f t="shared" si="0"/>
        <v>229.95000000000002</v>
      </c>
      <c r="N34" s="5">
        <f t="shared" si="1"/>
        <v>204.4</v>
      </c>
      <c r="O34" s="5">
        <f t="shared" si="2"/>
        <v>178.85</v>
      </c>
      <c r="P34" s="5">
        <f t="shared" si="3"/>
        <v>153.29999999999998</v>
      </c>
      <c r="Q34" s="5">
        <f t="shared" si="4"/>
        <v>127.75</v>
      </c>
      <c r="R34" s="5">
        <f t="shared" si="5"/>
        <v>102.2</v>
      </c>
      <c r="S34" s="5">
        <f t="shared" si="6"/>
        <v>76.649999999999991</v>
      </c>
      <c r="T34" s="5">
        <f t="shared" si="7"/>
        <v>51.1</v>
      </c>
      <c r="U34" s="5">
        <f t="shared" si="8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>M35</f>
        <v>90.9</v>
      </c>
      <c r="I35" s="5">
        <v>90</v>
      </c>
      <c r="M35" s="5">
        <f t="shared" si="0"/>
        <v>90.9</v>
      </c>
      <c r="N35" s="5">
        <f t="shared" si="1"/>
        <v>80.800000000000011</v>
      </c>
      <c r="O35" s="5">
        <f t="shared" si="2"/>
        <v>70.699999999999989</v>
      </c>
      <c r="P35" s="5">
        <f t="shared" si="3"/>
        <v>60.599999999999994</v>
      </c>
      <c r="Q35" s="5">
        <f t="shared" si="4"/>
        <v>50.5</v>
      </c>
      <c r="R35" s="5">
        <f t="shared" si="5"/>
        <v>40.400000000000006</v>
      </c>
      <c r="S35" s="5">
        <f t="shared" si="6"/>
        <v>30.299999999999997</v>
      </c>
      <c r="T35" s="5">
        <f t="shared" si="7"/>
        <v>20.200000000000003</v>
      </c>
      <c r="U35" s="5">
        <f t="shared" si="8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>M36</f>
        <v>254.52</v>
      </c>
      <c r="I36" s="5">
        <v>120</v>
      </c>
      <c r="M36" s="5">
        <f t="shared" si="0"/>
        <v>254.52</v>
      </c>
      <c r="N36" s="5">
        <f t="shared" si="1"/>
        <v>226.24</v>
      </c>
      <c r="O36" s="5">
        <f t="shared" si="2"/>
        <v>197.96</v>
      </c>
      <c r="P36" s="5">
        <f t="shared" si="3"/>
        <v>169.68</v>
      </c>
      <c r="Q36" s="5">
        <f t="shared" si="4"/>
        <v>141.4</v>
      </c>
      <c r="R36" s="5">
        <f t="shared" si="5"/>
        <v>113.12</v>
      </c>
      <c r="S36" s="5">
        <f t="shared" si="6"/>
        <v>84.84</v>
      </c>
      <c r="T36" s="5">
        <f t="shared" si="7"/>
        <v>56.56</v>
      </c>
      <c r="U36" s="5">
        <f t="shared" si="8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>M37</f>
        <v>262.26</v>
      </c>
      <c r="I37" s="5">
        <v>120</v>
      </c>
      <c r="M37" s="5">
        <f t="shared" si="0"/>
        <v>262.26</v>
      </c>
      <c r="N37" s="5">
        <f t="shared" si="1"/>
        <v>233.12</v>
      </c>
      <c r="O37" s="5">
        <f t="shared" si="2"/>
        <v>203.97999999999996</v>
      </c>
      <c r="P37" s="5">
        <f t="shared" si="3"/>
        <v>174.83999999999997</v>
      </c>
      <c r="Q37" s="5">
        <f t="shared" si="4"/>
        <v>145.69999999999999</v>
      </c>
      <c r="R37" s="5">
        <f t="shared" si="5"/>
        <v>116.56</v>
      </c>
      <c r="S37" s="5">
        <f t="shared" si="6"/>
        <v>87.419999999999987</v>
      </c>
      <c r="T37" s="5">
        <f t="shared" si="7"/>
        <v>58.28</v>
      </c>
      <c r="U37" s="5">
        <f t="shared" si="8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>M38</f>
        <v>368.82</v>
      </c>
      <c r="I38" s="5">
        <v>120</v>
      </c>
      <c r="M38" s="5">
        <f t="shared" si="0"/>
        <v>368.82</v>
      </c>
      <c r="N38" s="5">
        <f t="shared" si="1"/>
        <v>327.84000000000003</v>
      </c>
      <c r="O38" s="5">
        <f t="shared" si="2"/>
        <v>286.86</v>
      </c>
      <c r="P38" s="5">
        <f t="shared" si="3"/>
        <v>245.88</v>
      </c>
      <c r="Q38" s="5">
        <f t="shared" si="4"/>
        <v>204.9</v>
      </c>
      <c r="R38" s="5">
        <f t="shared" si="5"/>
        <v>163.92000000000002</v>
      </c>
      <c r="S38" s="5">
        <f t="shared" si="6"/>
        <v>122.94</v>
      </c>
      <c r="T38" s="5">
        <f t="shared" si="7"/>
        <v>81.960000000000008</v>
      </c>
      <c r="U38" s="5">
        <f t="shared" si="8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>M39</f>
        <v>191.88</v>
      </c>
      <c r="I39" s="5">
        <v>120</v>
      </c>
      <c r="M39" s="5">
        <f t="shared" si="0"/>
        <v>191.88</v>
      </c>
      <c r="N39" s="5">
        <f t="shared" si="1"/>
        <v>170.56</v>
      </c>
      <c r="O39" s="5">
        <f t="shared" si="2"/>
        <v>149.23999999999998</v>
      </c>
      <c r="P39" s="5">
        <f t="shared" si="3"/>
        <v>127.91999999999999</v>
      </c>
      <c r="Q39" s="5">
        <f t="shared" si="4"/>
        <v>106.6</v>
      </c>
      <c r="R39" s="5">
        <f t="shared" si="5"/>
        <v>85.28</v>
      </c>
      <c r="S39" s="5">
        <f t="shared" si="6"/>
        <v>63.959999999999994</v>
      </c>
      <c r="T39" s="5">
        <f t="shared" si="7"/>
        <v>42.64</v>
      </c>
      <c r="U39" s="5">
        <f t="shared" si="8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>M40</f>
        <v>142.92000000000002</v>
      </c>
      <c r="I40" s="5">
        <v>90</v>
      </c>
      <c r="M40" s="5">
        <f t="shared" si="0"/>
        <v>142.92000000000002</v>
      </c>
      <c r="N40" s="5">
        <f t="shared" si="1"/>
        <v>127.04000000000002</v>
      </c>
      <c r="O40" s="5">
        <f t="shared" si="2"/>
        <v>111.16</v>
      </c>
      <c r="P40" s="5">
        <f t="shared" si="3"/>
        <v>95.28</v>
      </c>
      <c r="Q40" s="5">
        <f t="shared" si="4"/>
        <v>79.400000000000006</v>
      </c>
      <c r="R40" s="5">
        <f t="shared" si="5"/>
        <v>63.52000000000001</v>
      </c>
      <c r="S40" s="5">
        <f t="shared" si="6"/>
        <v>47.64</v>
      </c>
      <c r="T40" s="5">
        <f t="shared" si="7"/>
        <v>31.760000000000005</v>
      </c>
      <c r="U40" s="5">
        <f t="shared" si="8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>M41</f>
        <v>287.45999999999998</v>
      </c>
      <c r="I41" s="5">
        <v>90</v>
      </c>
      <c r="M41" s="5">
        <f t="shared" si="0"/>
        <v>287.45999999999998</v>
      </c>
      <c r="N41" s="5">
        <f t="shared" si="1"/>
        <v>255.51999999999998</v>
      </c>
      <c r="O41" s="5">
        <f t="shared" si="2"/>
        <v>223.57999999999998</v>
      </c>
      <c r="P41" s="5">
        <f t="shared" si="3"/>
        <v>191.64</v>
      </c>
      <c r="Q41" s="5">
        <f t="shared" si="4"/>
        <v>159.69999999999999</v>
      </c>
      <c r="R41" s="5">
        <f t="shared" si="5"/>
        <v>127.75999999999999</v>
      </c>
      <c r="S41" s="5">
        <f t="shared" si="6"/>
        <v>95.82</v>
      </c>
      <c r="T41" s="5">
        <f t="shared" si="7"/>
        <v>63.879999999999995</v>
      </c>
      <c r="U41" s="5">
        <f t="shared" si="8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>M42</f>
        <v>124.02000000000001</v>
      </c>
      <c r="I42" s="5">
        <v>120</v>
      </c>
      <c r="M42" s="5">
        <f t="shared" si="0"/>
        <v>124.02000000000001</v>
      </c>
      <c r="N42" s="5">
        <f t="shared" si="1"/>
        <v>110.24000000000001</v>
      </c>
      <c r="O42" s="5">
        <f t="shared" si="2"/>
        <v>96.460000000000008</v>
      </c>
      <c r="P42" s="5">
        <f t="shared" si="3"/>
        <v>82.68</v>
      </c>
      <c r="Q42" s="5">
        <f t="shared" si="4"/>
        <v>68.900000000000006</v>
      </c>
      <c r="R42" s="5">
        <f t="shared" si="5"/>
        <v>55.120000000000005</v>
      </c>
      <c r="S42" s="5">
        <f t="shared" si="6"/>
        <v>41.34</v>
      </c>
      <c r="T42" s="5">
        <f t="shared" si="7"/>
        <v>27.560000000000002</v>
      </c>
      <c r="U42" s="5">
        <f t="shared" si="8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>M43</f>
        <v>237.24000000000004</v>
      </c>
      <c r="I43" s="5">
        <v>150</v>
      </c>
      <c r="M43" s="5">
        <f t="shared" si="0"/>
        <v>237.24000000000004</v>
      </c>
      <c r="N43" s="5">
        <f t="shared" si="1"/>
        <v>210.88000000000002</v>
      </c>
      <c r="O43" s="5">
        <f t="shared" si="2"/>
        <v>184.52</v>
      </c>
      <c r="P43" s="5">
        <f t="shared" si="3"/>
        <v>158.16</v>
      </c>
      <c r="Q43" s="5">
        <f t="shared" si="4"/>
        <v>131.80000000000001</v>
      </c>
      <c r="R43" s="5">
        <f t="shared" si="5"/>
        <v>105.44000000000001</v>
      </c>
      <c r="S43" s="5">
        <f t="shared" si="6"/>
        <v>79.08</v>
      </c>
      <c r="T43" s="5">
        <f t="shared" si="7"/>
        <v>52.720000000000006</v>
      </c>
      <c r="U43" s="5">
        <f t="shared" si="8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>M44</f>
        <v>127.26</v>
      </c>
      <c r="I44" s="5">
        <v>90</v>
      </c>
      <c r="M44" s="5">
        <f t="shared" si="0"/>
        <v>127.26</v>
      </c>
      <c r="N44" s="5">
        <f t="shared" si="1"/>
        <v>113.12</v>
      </c>
      <c r="O44" s="5">
        <f t="shared" si="2"/>
        <v>98.98</v>
      </c>
      <c r="P44" s="5">
        <f t="shared" si="3"/>
        <v>84.84</v>
      </c>
      <c r="Q44" s="5">
        <f t="shared" si="4"/>
        <v>70.7</v>
      </c>
      <c r="R44" s="5">
        <f t="shared" si="5"/>
        <v>56.56</v>
      </c>
      <c r="S44" s="5">
        <f t="shared" si="6"/>
        <v>42.42</v>
      </c>
      <c r="T44" s="5">
        <f t="shared" si="7"/>
        <v>28.28</v>
      </c>
      <c r="U44" s="5">
        <f t="shared" si="8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>M45</f>
        <v>136.80000000000001</v>
      </c>
      <c r="I45" s="5">
        <v>120</v>
      </c>
      <c r="M45" s="5">
        <f t="shared" si="0"/>
        <v>136.80000000000001</v>
      </c>
      <c r="N45" s="5">
        <f t="shared" si="1"/>
        <v>121.60000000000001</v>
      </c>
      <c r="O45" s="5">
        <f t="shared" si="2"/>
        <v>106.39999999999999</v>
      </c>
      <c r="P45" s="5">
        <f t="shared" si="3"/>
        <v>91.2</v>
      </c>
      <c r="Q45" s="5">
        <f t="shared" si="4"/>
        <v>76</v>
      </c>
      <c r="R45" s="5">
        <f t="shared" si="5"/>
        <v>60.800000000000004</v>
      </c>
      <c r="S45" s="5">
        <f t="shared" si="6"/>
        <v>45.6</v>
      </c>
      <c r="T45" s="5">
        <f t="shared" si="7"/>
        <v>30.400000000000002</v>
      </c>
      <c r="U45" s="5">
        <f t="shared" si="8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>M46</f>
        <v>332.46</v>
      </c>
      <c r="I46" s="5">
        <v>90</v>
      </c>
      <c r="M46" s="5">
        <f t="shared" si="0"/>
        <v>332.46</v>
      </c>
      <c r="N46" s="5">
        <f t="shared" si="1"/>
        <v>295.52</v>
      </c>
      <c r="O46" s="5">
        <f t="shared" si="2"/>
        <v>258.58</v>
      </c>
      <c r="P46" s="5">
        <f t="shared" si="3"/>
        <v>221.64</v>
      </c>
      <c r="Q46" s="5">
        <f t="shared" si="4"/>
        <v>184.7</v>
      </c>
      <c r="R46" s="5">
        <f t="shared" si="5"/>
        <v>147.76</v>
      </c>
      <c r="S46" s="5">
        <f t="shared" si="6"/>
        <v>110.82</v>
      </c>
      <c r="T46" s="5">
        <f t="shared" si="7"/>
        <v>73.88</v>
      </c>
      <c r="U46" s="5">
        <f t="shared" si="8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>M47</f>
        <v>198.72000000000003</v>
      </c>
      <c r="I47" s="5">
        <v>90</v>
      </c>
      <c r="M47" s="5">
        <f t="shared" si="0"/>
        <v>198.72000000000003</v>
      </c>
      <c r="N47" s="5">
        <f t="shared" si="1"/>
        <v>176.64000000000001</v>
      </c>
      <c r="O47" s="5">
        <f t="shared" si="2"/>
        <v>154.56</v>
      </c>
      <c r="P47" s="5">
        <f t="shared" si="3"/>
        <v>132.47999999999999</v>
      </c>
      <c r="Q47" s="5">
        <f t="shared" si="4"/>
        <v>110.4</v>
      </c>
      <c r="R47" s="5">
        <f t="shared" si="5"/>
        <v>88.320000000000007</v>
      </c>
      <c r="S47" s="5">
        <f t="shared" si="6"/>
        <v>66.239999999999995</v>
      </c>
      <c r="T47" s="5">
        <f t="shared" si="7"/>
        <v>44.160000000000004</v>
      </c>
      <c r="U47" s="5">
        <f t="shared" si="8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>M48</f>
        <v>109.53</v>
      </c>
      <c r="I48" s="5">
        <v>120</v>
      </c>
      <c r="M48" s="5">
        <f t="shared" si="0"/>
        <v>109.53</v>
      </c>
      <c r="N48" s="5">
        <f t="shared" si="1"/>
        <v>97.360000000000014</v>
      </c>
      <c r="O48" s="5">
        <f t="shared" si="2"/>
        <v>85.19</v>
      </c>
      <c r="P48" s="5">
        <f t="shared" si="3"/>
        <v>73.02</v>
      </c>
      <c r="Q48" s="5">
        <f t="shared" si="4"/>
        <v>60.85</v>
      </c>
      <c r="R48" s="5">
        <f t="shared" si="5"/>
        <v>48.680000000000007</v>
      </c>
      <c r="S48" s="5">
        <f t="shared" si="6"/>
        <v>36.51</v>
      </c>
      <c r="T48" s="5">
        <f t="shared" si="7"/>
        <v>24.340000000000003</v>
      </c>
      <c r="U48" s="5">
        <f t="shared" si="8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>M49</f>
        <v>11</v>
      </c>
      <c r="I49" s="5">
        <v>120</v>
      </c>
      <c r="M49" s="5">
        <f t="shared" si="0"/>
        <v>11</v>
      </c>
      <c r="N49" s="5">
        <f t="shared" si="1"/>
        <v>11</v>
      </c>
      <c r="O49" s="5">
        <f t="shared" si="2"/>
        <v>11</v>
      </c>
      <c r="P49" s="5">
        <f t="shared" si="3"/>
        <v>11</v>
      </c>
      <c r="Q49" s="5">
        <f t="shared" si="4"/>
        <v>11</v>
      </c>
      <c r="R49" s="5">
        <f t="shared" si="5"/>
        <v>11</v>
      </c>
      <c r="S49" s="5">
        <f t="shared" si="6"/>
        <v>11</v>
      </c>
      <c r="T49" s="5">
        <f t="shared" si="7"/>
        <v>11</v>
      </c>
      <c r="U49" s="5">
        <f t="shared" si="8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>M50</f>
        <v>95.039999999999992</v>
      </c>
      <c r="I50" s="5">
        <v>120</v>
      </c>
      <c r="M50" s="5">
        <f t="shared" si="0"/>
        <v>95.039999999999992</v>
      </c>
      <c r="N50" s="5">
        <f t="shared" si="1"/>
        <v>84.48</v>
      </c>
      <c r="O50" s="5">
        <f t="shared" si="2"/>
        <v>73.919999999999987</v>
      </c>
      <c r="P50" s="5">
        <f t="shared" si="3"/>
        <v>63.359999999999992</v>
      </c>
      <c r="Q50" s="5">
        <f t="shared" si="4"/>
        <v>52.8</v>
      </c>
      <c r="R50" s="5">
        <f t="shared" si="5"/>
        <v>42.24</v>
      </c>
      <c r="S50" s="5">
        <f t="shared" si="6"/>
        <v>31.679999999999996</v>
      </c>
      <c r="T50" s="5">
        <f t="shared" si="7"/>
        <v>21.12</v>
      </c>
      <c r="U50" s="5">
        <f t="shared" si="8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>M51</f>
        <v>370.17</v>
      </c>
      <c r="I51" s="5">
        <v>90</v>
      </c>
      <c r="M51" s="5">
        <f t="shared" si="0"/>
        <v>370.17</v>
      </c>
      <c r="N51" s="5">
        <f t="shared" si="1"/>
        <v>329.04</v>
      </c>
      <c r="O51" s="5">
        <f t="shared" si="2"/>
        <v>287.90999999999997</v>
      </c>
      <c r="P51" s="5">
        <f t="shared" si="3"/>
        <v>246.78</v>
      </c>
      <c r="Q51" s="5">
        <f t="shared" si="4"/>
        <v>205.65</v>
      </c>
      <c r="R51" s="5">
        <f t="shared" si="5"/>
        <v>164.52</v>
      </c>
      <c r="S51" s="5">
        <f t="shared" si="6"/>
        <v>123.39</v>
      </c>
      <c r="T51" s="5">
        <f t="shared" si="7"/>
        <v>82.26</v>
      </c>
      <c r="U51" s="5">
        <f t="shared" si="8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>M52</f>
        <v>230.49000000000004</v>
      </c>
      <c r="I52" s="5">
        <v>90</v>
      </c>
      <c r="M52" s="5">
        <f t="shared" si="0"/>
        <v>230.49000000000004</v>
      </c>
      <c r="N52" s="5">
        <f t="shared" si="1"/>
        <v>204.88000000000002</v>
      </c>
      <c r="O52" s="5">
        <f t="shared" si="2"/>
        <v>179.27</v>
      </c>
      <c r="P52" s="5">
        <f t="shared" si="3"/>
        <v>153.66</v>
      </c>
      <c r="Q52" s="5">
        <f t="shared" si="4"/>
        <v>128.05000000000001</v>
      </c>
      <c r="R52" s="5">
        <f t="shared" si="5"/>
        <v>102.44000000000001</v>
      </c>
      <c r="S52" s="5">
        <f t="shared" si="6"/>
        <v>76.83</v>
      </c>
      <c r="T52" s="5">
        <f t="shared" si="7"/>
        <v>51.220000000000006</v>
      </c>
      <c r="U52" s="5">
        <f t="shared" si="8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>M53</f>
        <v>144.63</v>
      </c>
      <c r="I53" s="5">
        <v>120</v>
      </c>
      <c r="M53" s="5">
        <f t="shared" si="0"/>
        <v>144.63</v>
      </c>
      <c r="N53" s="5">
        <f t="shared" si="1"/>
        <v>128.56</v>
      </c>
      <c r="O53" s="5">
        <f t="shared" si="2"/>
        <v>112.48999999999998</v>
      </c>
      <c r="P53" s="5">
        <f t="shared" si="3"/>
        <v>96.419999999999987</v>
      </c>
      <c r="Q53" s="5">
        <f t="shared" si="4"/>
        <v>80.349999999999994</v>
      </c>
      <c r="R53" s="5">
        <f t="shared" si="5"/>
        <v>64.28</v>
      </c>
      <c r="S53" s="5">
        <f t="shared" si="6"/>
        <v>48.209999999999994</v>
      </c>
      <c r="T53" s="5">
        <f t="shared" si="7"/>
        <v>32.14</v>
      </c>
      <c r="U53" s="5">
        <f t="shared" si="8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>M54</f>
        <v>213.12</v>
      </c>
      <c r="I54" s="5">
        <v>120</v>
      </c>
      <c r="M54" s="5">
        <f t="shared" si="0"/>
        <v>213.12</v>
      </c>
      <c r="N54" s="5">
        <f t="shared" si="1"/>
        <v>189.44000000000003</v>
      </c>
      <c r="O54" s="5">
        <f t="shared" si="2"/>
        <v>165.76</v>
      </c>
      <c r="P54" s="5">
        <f t="shared" si="3"/>
        <v>142.08000000000001</v>
      </c>
      <c r="Q54" s="5">
        <f t="shared" si="4"/>
        <v>118.4</v>
      </c>
      <c r="R54" s="5">
        <f t="shared" si="5"/>
        <v>94.720000000000013</v>
      </c>
      <c r="S54" s="5">
        <f t="shared" si="6"/>
        <v>71.040000000000006</v>
      </c>
      <c r="T54" s="5">
        <f t="shared" si="7"/>
        <v>47.360000000000007</v>
      </c>
      <c r="U54" s="5">
        <f t="shared" si="8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>M55</f>
        <v>11</v>
      </c>
      <c r="I55" s="5">
        <v>90</v>
      </c>
      <c r="M55" s="5">
        <f t="shared" si="0"/>
        <v>11</v>
      </c>
      <c r="N55" s="5">
        <f t="shared" si="1"/>
        <v>11</v>
      </c>
      <c r="O55" s="5">
        <f t="shared" si="2"/>
        <v>11</v>
      </c>
      <c r="P55" s="5">
        <f t="shared" si="3"/>
        <v>11</v>
      </c>
      <c r="Q55" s="5">
        <f t="shared" si="4"/>
        <v>11</v>
      </c>
      <c r="R55" s="5">
        <f t="shared" si="5"/>
        <v>11</v>
      </c>
      <c r="S55" s="5">
        <f t="shared" si="6"/>
        <v>11</v>
      </c>
      <c r="T55" s="5">
        <f t="shared" si="7"/>
        <v>11</v>
      </c>
      <c r="U55" s="5">
        <f t="shared" si="8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>M56</f>
        <v>212.85</v>
      </c>
      <c r="I56" s="5">
        <v>150</v>
      </c>
      <c r="M56" s="5">
        <f t="shared" si="0"/>
        <v>212.85</v>
      </c>
      <c r="N56" s="5">
        <f t="shared" si="1"/>
        <v>189.20000000000002</v>
      </c>
      <c r="O56" s="5">
        <f t="shared" si="2"/>
        <v>165.54999999999998</v>
      </c>
      <c r="P56" s="5">
        <f t="shared" si="3"/>
        <v>141.9</v>
      </c>
      <c r="Q56" s="5">
        <f t="shared" si="4"/>
        <v>118.25</v>
      </c>
      <c r="R56" s="5">
        <f t="shared" si="5"/>
        <v>94.600000000000009</v>
      </c>
      <c r="S56" s="5">
        <f t="shared" si="6"/>
        <v>70.95</v>
      </c>
      <c r="T56" s="5">
        <f t="shared" si="7"/>
        <v>47.300000000000004</v>
      </c>
      <c r="U56" s="5">
        <f t="shared" si="8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>M57</f>
        <v>176.13</v>
      </c>
      <c r="I57" s="5">
        <v>90</v>
      </c>
      <c r="M57" s="5">
        <f t="shared" si="0"/>
        <v>176.13</v>
      </c>
      <c r="N57" s="5">
        <f t="shared" si="1"/>
        <v>156.56</v>
      </c>
      <c r="O57" s="5">
        <f t="shared" si="2"/>
        <v>136.98999999999998</v>
      </c>
      <c r="P57" s="5">
        <f t="shared" si="3"/>
        <v>117.41999999999999</v>
      </c>
      <c r="Q57" s="5">
        <f t="shared" si="4"/>
        <v>97.85</v>
      </c>
      <c r="R57" s="5">
        <f t="shared" si="5"/>
        <v>78.28</v>
      </c>
      <c r="S57" s="5">
        <f t="shared" si="6"/>
        <v>58.709999999999994</v>
      </c>
      <c r="T57" s="5">
        <f t="shared" si="7"/>
        <v>39.14</v>
      </c>
      <c r="U57" s="5">
        <f t="shared" si="8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>M58</f>
        <v>77.400000000000006</v>
      </c>
      <c r="I58" s="5">
        <v>90</v>
      </c>
      <c r="M58" s="5">
        <f t="shared" si="0"/>
        <v>77.400000000000006</v>
      </c>
      <c r="N58" s="5">
        <f t="shared" si="1"/>
        <v>68.8</v>
      </c>
      <c r="O58" s="5">
        <f t="shared" si="2"/>
        <v>60.199999999999996</v>
      </c>
      <c r="P58" s="5">
        <f t="shared" si="3"/>
        <v>51.6</v>
      </c>
      <c r="Q58" s="5">
        <f t="shared" si="4"/>
        <v>43</v>
      </c>
      <c r="R58" s="5">
        <f t="shared" si="5"/>
        <v>34.4</v>
      </c>
      <c r="S58" s="5">
        <f t="shared" si="6"/>
        <v>25.8</v>
      </c>
      <c r="T58" s="5">
        <f t="shared" si="7"/>
        <v>17.2</v>
      </c>
      <c r="U58" s="5">
        <f t="shared" si="8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>M59</f>
        <v>225.09</v>
      </c>
      <c r="I59" s="5">
        <v>120</v>
      </c>
      <c r="M59" s="5">
        <f t="shared" si="0"/>
        <v>225.09</v>
      </c>
      <c r="N59" s="5">
        <f t="shared" si="1"/>
        <v>200.08</v>
      </c>
      <c r="O59" s="5">
        <f t="shared" si="2"/>
        <v>175.07</v>
      </c>
      <c r="P59" s="5">
        <f t="shared" si="3"/>
        <v>150.06</v>
      </c>
      <c r="Q59" s="5">
        <f t="shared" si="4"/>
        <v>125.05</v>
      </c>
      <c r="R59" s="5">
        <f t="shared" si="5"/>
        <v>100.04</v>
      </c>
      <c r="S59" s="5">
        <f t="shared" si="6"/>
        <v>75.03</v>
      </c>
      <c r="T59" s="5">
        <f t="shared" si="7"/>
        <v>50.02</v>
      </c>
      <c r="U59" s="5">
        <f t="shared" si="8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>M60</f>
        <v>220.14</v>
      </c>
      <c r="I60" s="5">
        <v>120</v>
      </c>
      <c r="M60" s="5">
        <f t="shared" si="0"/>
        <v>220.14</v>
      </c>
      <c r="N60" s="5">
        <f t="shared" si="1"/>
        <v>195.68</v>
      </c>
      <c r="O60" s="5">
        <f t="shared" si="2"/>
        <v>171.22</v>
      </c>
      <c r="P60" s="5">
        <f t="shared" si="3"/>
        <v>146.76</v>
      </c>
      <c r="Q60" s="5">
        <f t="shared" si="4"/>
        <v>122.3</v>
      </c>
      <c r="R60" s="5">
        <f t="shared" si="5"/>
        <v>97.84</v>
      </c>
      <c r="S60" s="5">
        <f t="shared" si="6"/>
        <v>73.38</v>
      </c>
      <c r="T60" s="5">
        <f t="shared" si="7"/>
        <v>48.92</v>
      </c>
      <c r="U60" s="5">
        <f t="shared" si="8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>M61</f>
        <v>192.69</v>
      </c>
      <c r="I61" s="5">
        <v>90</v>
      </c>
      <c r="M61" s="5">
        <f t="shared" si="0"/>
        <v>192.69</v>
      </c>
      <c r="N61" s="5">
        <f t="shared" si="1"/>
        <v>171.28</v>
      </c>
      <c r="O61" s="5">
        <f t="shared" si="2"/>
        <v>149.86999999999998</v>
      </c>
      <c r="P61" s="5">
        <f t="shared" si="3"/>
        <v>128.45999999999998</v>
      </c>
      <c r="Q61" s="5">
        <f t="shared" si="4"/>
        <v>107.05</v>
      </c>
      <c r="R61" s="5">
        <f t="shared" si="5"/>
        <v>85.64</v>
      </c>
      <c r="S61" s="5">
        <f t="shared" si="6"/>
        <v>64.22999999999999</v>
      </c>
      <c r="T61" s="5">
        <f t="shared" si="7"/>
        <v>42.82</v>
      </c>
      <c r="U61" s="5">
        <f t="shared" si="8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>M62</f>
        <v>266.40000000000003</v>
      </c>
      <c r="I62" s="5">
        <v>90</v>
      </c>
      <c r="M62" s="5">
        <f t="shared" si="0"/>
        <v>266.40000000000003</v>
      </c>
      <c r="N62" s="5">
        <f t="shared" si="1"/>
        <v>236.8</v>
      </c>
      <c r="O62" s="5">
        <f t="shared" si="2"/>
        <v>207.2</v>
      </c>
      <c r="P62" s="5">
        <f t="shared" si="3"/>
        <v>177.6</v>
      </c>
      <c r="Q62" s="5">
        <f t="shared" si="4"/>
        <v>148</v>
      </c>
      <c r="R62" s="5">
        <f t="shared" si="5"/>
        <v>118.4</v>
      </c>
      <c r="S62" s="5">
        <f t="shared" si="6"/>
        <v>88.8</v>
      </c>
      <c r="T62" s="5">
        <f t="shared" si="7"/>
        <v>59.2</v>
      </c>
      <c r="U62" s="5">
        <f t="shared" si="8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>M63</f>
        <v>277.38</v>
      </c>
      <c r="I63" s="5">
        <v>90</v>
      </c>
      <c r="M63" s="5">
        <f t="shared" si="0"/>
        <v>277.38</v>
      </c>
      <c r="N63" s="5">
        <f t="shared" si="1"/>
        <v>246.56</v>
      </c>
      <c r="O63" s="5">
        <f t="shared" si="2"/>
        <v>215.73999999999998</v>
      </c>
      <c r="P63" s="5">
        <f t="shared" si="3"/>
        <v>184.92</v>
      </c>
      <c r="Q63" s="5">
        <f t="shared" si="4"/>
        <v>154.1</v>
      </c>
      <c r="R63" s="5">
        <f t="shared" si="5"/>
        <v>123.28</v>
      </c>
      <c r="S63" s="5">
        <f t="shared" si="6"/>
        <v>92.46</v>
      </c>
      <c r="T63" s="5">
        <f t="shared" si="7"/>
        <v>61.64</v>
      </c>
      <c r="U63" s="5">
        <f t="shared" si="8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>M64</f>
        <v>292.5</v>
      </c>
      <c r="I64" s="5">
        <v>90</v>
      </c>
      <c r="M64" s="5">
        <f t="shared" si="0"/>
        <v>292.5</v>
      </c>
      <c r="N64" s="5">
        <f t="shared" si="1"/>
        <v>260</v>
      </c>
      <c r="O64" s="5">
        <f t="shared" si="2"/>
        <v>227.49999999999997</v>
      </c>
      <c r="P64" s="5">
        <f t="shared" si="3"/>
        <v>195</v>
      </c>
      <c r="Q64" s="5">
        <f t="shared" si="4"/>
        <v>162.5</v>
      </c>
      <c r="R64" s="5">
        <f t="shared" si="5"/>
        <v>130</v>
      </c>
      <c r="S64" s="5">
        <f t="shared" si="6"/>
        <v>97.5</v>
      </c>
      <c r="T64" s="5">
        <f t="shared" si="7"/>
        <v>65</v>
      </c>
      <c r="U64" s="5">
        <f t="shared" si="8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>M65</f>
        <v>715.14</v>
      </c>
      <c r="I65" s="5">
        <v>90</v>
      </c>
      <c r="M65" s="5">
        <f t="shared" si="0"/>
        <v>715.14</v>
      </c>
      <c r="N65" s="5">
        <f t="shared" si="1"/>
        <v>635.68000000000006</v>
      </c>
      <c r="O65" s="5">
        <f t="shared" si="2"/>
        <v>556.22</v>
      </c>
      <c r="P65" s="5">
        <f t="shared" si="3"/>
        <v>476.76</v>
      </c>
      <c r="Q65" s="5">
        <f t="shared" si="4"/>
        <v>397.3</v>
      </c>
      <c r="R65" s="5">
        <f t="shared" si="5"/>
        <v>317.84000000000003</v>
      </c>
      <c r="S65" s="5">
        <f t="shared" si="6"/>
        <v>238.38</v>
      </c>
      <c r="T65" s="5">
        <f t="shared" si="7"/>
        <v>158.92000000000002</v>
      </c>
      <c r="U65" s="5">
        <f t="shared" si="8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>M66</f>
        <v>291.77999999999997</v>
      </c>
      <c r="I66" s="5">
        <v>90</v>
      </c>
      <c r="M66" s="5">
        <f t="shared" si="0"/>
        <v>291.77999999999997</v>
      </c>
      <c r="N66" s="5">
        <f t="shared" si="1"/>
        <v>259.36</v>
      </c>
      <c r="O66" s="5">
        <f t="shared" si="2"/>
        <v>226.93999999999997</v>
      </c>
      <c r="P66" s="5">
        <f t="shared" si="3"/>
        <v>194.51999999999998</v>
      </c>
      <c r="Q66" s="5">
        <f t="shared" si="4"/>
        <v>162.1</v>
      </c>
      <c r="R66" s="5">
        <f t="shared" si="5"/>
        <v>129.68</v>
      </c>
      <c r="S66" s="5">
        <f t="shared" si="6"/>
        <v>97.259999999999991</v>
      </c>
      <c r="T66" s="5">
        <f t="shared" si="7"/>
        <v>64.84</v>
      </c>
      <c r="U66" s="5">
        <f t="shared" si="8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>M67</f>
        <v>91.350000000000009</v>
      </c>
      <c r="I67" s="5">
        <v>120</v>
      </c>
      <c r="M67" s="5">
        <f t="shared" ref="M67:M130" si="9">IF($G67&gt;=50, $G67*0.9,$G67)</f>
        <v>91.350000000000009</v>
      </c>
      <c r="N67" s="5">
        <f t="shared" ref="N67:N130" si="10">IF($G67&gt;=50, $G67*0.8,$G67)</f>
        <v>81.2</v>
      </c>
      <c r="O67" s="5">
        <f t="shared" ref="O67:O130" si="11">IF($G67&gt;=50, $G67*0.7,$G67)</f>
        <v>71.05</v>
      </c>
      <c r="P67" s="5">
        <f t="shared" ref="P67:P130" si="12">IF($G67&gt;=50, $G67*0.6,$G67)</f>
        <v>60.9</v>
      </c>
      <c r="Q67" s="5">
        <f t="shared" ref="Q67:Q130" si="13">IF($G67&gt;=50, $G67*0.5,$G67)</f>
        <v>50.75</v>
      </c>
      <c r="R67" s="5">
        <f t="shared" ref="R67:R130" si="14">IF($G67&gt;=50, $G67*0.4,$G67)</f>
        <v>40.6</v>
      </c>
      <c r="S67" s="5">
        <f t="shared" ref="S67:S130" si="15">IF($G67&gt;=50, $G67*0.3,$G67)</f>
        <v>30.45</v>
      </c>
      <c r="T67" s="5">
        <f t="shared" ref="T67:T130" si="16">IF($G67&gt;=50, $G67*0.2,$G67)</f>
        <v>20.3</v>
      </c>
      <c r="U67" s="5">
        <f t="shared" ref="U67:U130" si="17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>M68</f>
        <v>133.56</v>
      </c>
      <c r="I68" s="5">
        <v>120</v>
      </c>
      <c r="M68" s="5">
        <f t="shared" si="9"/>
        <v>133.56</v>
      </c>
      <c r="N68" s="5">
        <f t="shared" si="10"/>
        <v>118.72000000000001</v>
      </c>
      <c r="O68" s="5">
        <f t="shared" si="11"/>
        <v>103.88</v>
      </c>
      <c r="P68" s="5">
        <f t="shared" si="12"/>
        <v>89.04</v>
      </c>
      <c r="Q68" s="5">
        <f t="shared" si="13"/>
        <v>74.2</v>
      </c>
      <c r="R68" s="5">
        <f t="shared" si="14"/>
        <v>59.360000000000007</v>
      </c>
      <c r="S68" s="5">
        <f t="shared" si="15"/>
        <v>44.52</v>
      </c>
      <c r="T68" s="5">
        <f t="shared" si="16"/>
        <v>29.680000000000003</v>
      </c>
      <c r="U68" s="5">
        <f t="shared" si="17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>M69</f>
        <v>215.91</v>
      </c>
      <c r="I69" s="5">
        <v>120</v>
      </c>
      <c r="M69" s="5">
        <f t="shared" si="9"/>
        <v>215.91</v>
      </c>
      <c r="N69" s="5">
        <f t="shared" si="10"/>
        <v>191.92000000000002</v>
      </c>
      <c r="O69" s="5">
        <f t="shared" si="11"/>
        <v>167.93</v>
      </c>
      <c r="P69" s="5">
        <f t="shared" si="12"/>
        <v>143.94</v>
      </c>
      <c r="Q69" s="5">
        <f t="shared" si="13"/>
        <v>119.95</v>
      </c>
      <c r="R69" s="5">
        <f t="shared" si="14"/>
        <v>95.960000000000008</v>
      </c>
      <c r="S69" s="5">
        <f t="shared" si="15"/>
        <v>71.97</v>
      </c>
      <c r="T69" s="5">
        <f t="shared" si="16"/>
        <v>47.980000000000004</v>
      </c>
      <c r="U69" s="5">
        <f t="shared" si="17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>M70</f>
        <v>70.56</v>
      </c>
      <c r="I70" s="5">
        <v>90</v>
      </c>
      <c r="M70" s="5">
        <f t="shared" si="9"/>
        <v>70.56</v>
      </c>
      <c r="N70" s="5">
        <f t="shared" si="10"/>
        <v>62.720000000000006</v>
      </c>
      <c r="O70" s="5">
        <f t="shared" si="11"/>
        <v>54.88</v>
      </c>
      <c r="P70" s="5">
        <f t="shared" si="12"/>
        <v>47.04</v>
      </c>
      <c r="Q70" s="5">
        <f t="shared" si="13"/>
        <v>39.200000000000003</v>
      </c>
      <c r="R70" s="5">
        <f t="shared" si="14"/>
        <v>31.360000000000003</v>
      </c>
      <c r="S70" s="5">
        <f t="shared" si="15"/>
        <v>23.52</v>
      </c>
      <c r="T70" s="5">
        <f t="shared" si="16"/>
        <v>15.680000000000001</v>
      </c>
      <c r="U70" s="5">
        <f t="shared" si="17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>M71</f>
        <v>147.24</v>
      </c>
      <c r="I71" s="5">
        <v>120</v>
      </c>
      <c r="M71" s="5">
        <f t="shared" si="9"/>
        <v>147.24</v>
      </c>
      <c r="N71" s="5">
        <f t="shared" si="10"/>
        <v>130.88</v>
      </c>
      <c r="O71" s="5">
        <f t="shared" si="11"/>
        <v>114.51999999999998</v>
      </c>
      <c r="P71" s="5">
        <f t="shared" si="12"/>
        <v>98.16</v>
      </c>
      <c r="Q71" s="5">
        <f t="shared" si="13"/>
        <v>81.8</v>
      </c>
      <c r="R71" s="5">
        <f t="shared" si="14"/>
        <v>65.44</v>
      </c>
      <c r="S71" s="5">
        <f t="shared" si="15"/>
        <v>49.08</v>
      </c>
      <c r="T71" s="5">
        <f t="shared" si="16"/>
        <v>32.72</v>
      </c>
      <c r="U71" s="5">
        <f t="shared" si="17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>M72</f>
        <v>405.54</v>
      </c>
      <c r="I72" s="5">
        <v>90</v>
      </c>
      <c r="M72" s="5">
        <f t="shared" si="9"/>
        <v>405.54</v>
      </c>
      <c r="N72" s="5">
        <f t="shared" si="10"/>
        <v>360.48</v>
      </c>
      <c r="O72" s="5">
        <f t="shared" si="11"/>
        <v>315.42</v>
      </c>
      <c r="P72" s="5">
        <f t="shared" si="12"/>
        <v>270.36</v>
      </c>
      <c r="Q72" s="5">
        <f t="shared" si="13"/>
        <v>225.3</v>
      </c>
      <c r="R72" s="5">
        <f t="shared" si="14"/>
        <v>180.24</v>
      </c>
      <c r="S72" s="5">
        <f t="shared" si="15"/>
        <v>135.18</v>
      </c>
      <c r="T72" s="5">
        <f t="shared" si="16"/>
        <v>90.12</v>
      </c>
      <c r="U72" s="5">
        <f t="shared" si="17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>M73</f>
        <v>248.22000000000003</v>
      </c>
      <c r="I73" s="5">
        <v>120</v>
      </c>
      <c r="M73" s="5">
        <f t="shared" si="9"/>
        <v>248.22000000000003</v>
      </c>
      <c r="N73" s="5">
        <f t="shared" si="10"/>
        <v>220.64000000000001</v>
      </c>
      <c r="O73" s="5">
        <f t="shared" si="11"/>
        <v>193.06</v>
      </c>
      <c r="P73" s="5">
        <f t="shared" si="12"/>
        <v>165.48</v>
      </c>
      <c r="Q73" s="5">
        <f t="shared" si="13"/>
        <v>137.9</v>
      </c>
      <c r="R73" s="5">
        <f t="shared" si="14"/>
        <v>110.32000000000001</v>
      </c>
      <c r="S73" s="5">
        <f t="shared" si="15"/>
        <v>82.74</v>
      </c>
      <c r="T73" s="5">
        <f t="shared" si="16"/>
        <v>55.160000000000004</v>
      </c>
      <c r="U73" s="5">
        <f t="shared" si="17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>M74</f>
        <v>184.41</v>
      </c>
      <c r="I74" s="5">
        <v>120</v>
      </c>
      <c r="M74" s="5">
        <f t="shared" si="9"/>
        <v>184.41</v>
      </c>
      <c r="N74" s="5">
        <f t="shared" si="10"/>
        <v>163.92000000000002</v>
      </c>
      <c r="O74" s="5">
        <f t="shared" si="11"/>
        <v>143.43</v>
      </c>
      <c r="P74" s="5">
        <f t="shared" si="12"/>
        <v>122.94</v>
      </c>
      <c r="Q74" s="5">
        <f t="shared" si="13"/>
        <v>102.45</v>
      </c>
      <c r="R74" s="5">
        <f t="shared" si="14"/>
        <v>81.960000000000008</v>
      </c>
      <c r="S74" s="5">
        <f t="shared" si="15"/>
        <v>61.47</v>
      </c>
      <c r="T74" s="5">
        <f t="shared" si="16"/>
        <v>40.980000000000004</v>
      </c>
      <c r="U74" s="5">
        <f t="shared" si="17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>M75</f>
        <v>195.57000000000002</v>
      </c>
      <c r="I75" s="5">
        <v>150</v>
      </c>
      <c r="M75" s="5">
        <f t="shared" si="9"/>
        <v>195.57000000000002</v>
      </c>
      <c r="N75" s="5">
        <f t="shared" si="10"/>
        <v>173.84000000000003</v>
      </c>
      <c r="O75" s="5">
        <f t="shared" si="11"/>
        <v>152.10999999999999</v>
      </c>
      <c r="P75" s="5">
        <f t="shared" si="12"/>
        <v>130.38</v>
      </c>
      <c r="Q75" s="5">
        <f t="shared" si="13"/>
        <v>108.65</v>
      </c>
      <c r="R75" s="5">
        <f t="shared" si="14"/>
        <v>86.920000000000016</v>
      </c>
      <c r="S75" s="5">
        <f t="shared" si="15"/>
        <v>65.19</v>
      </c>
      <c r="T75" s="5">
        <f t="shared" si="16"/>
        <v>43.460000000000008</v>
      </c>
      <c r="U75" s="5">
        <f t="shared" si="17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>M76</f>
        <v>11</v>
      </c>
      <c r="I76" s="5">
        <v>90</v>
      </c>
      <c r="M76" s="5">
        <f t="shared" si="9"/>
        <v>11</v>
      </c>
      <c r="N76" s="5">
        <f t="shared" si="10"/>
        <v>11</v>
      </c>
      <c r="O76" s="5">
        <f t="shared" si="11"/>
        <v>11</v>
      </c>
      <c r="P76" s="5">
        <f t="shared" si="12"/>
        <v>11</v>
      </c>
      <c r="Q76" s="5">
        <f t="shared" si="13"/>
        <v>11</v>
      </c>
      <c r="R76" s="5">
        <f t="shared" si="14"/>
        <v>11</v>
      </c>
      <c r="S76" s="5">
        <f t="shared" si="15"/>
        <v>11</v>
      </c>
      <c r="T76" s="5">
        <f t="shared" si="16"/>
        <v>11</v>
      </c>
      <c r="U76" s="5">
        <f t="shared" si="17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>M77</f>
        <v>152.37</v>
      </c>
      <c r="I77" s="5">
        <v>90</v>
      </c>
      <c r="M77" s="5">
        <f t="shared" si="9"/>
        <v>152.37</v>
      </c>
      <c r="N77" s="5">
        <f t="shared" si="10"/>
        <v>135.44000000000003</v>
      </c>
      <c r="O77" s="5">
        <f t="shared" si="11"/>
        <v>118.51</v>
      </c>
      <c r="P77" s="5">
        <f t="shared" si="12"/>
        <v>101.58</v>
      </c>
      <c r="Q77" s="5">
        <f t="shared" si="13"/>
        <v>84.65</v>
      </c>
      <c r="R77" s="5">
        <f t="shared" si="14"/>
        <v>67.720000000000013</v>
      </c>
      <c r="S77" s="5">
        <f t="shared" si="15"/>
        <v>50.79</v>
      </c>
      <c r="T77" s="5">
        <f t="shared" si="16"/>
        <v>33.860000000000007</v>
      </c>
      <c r="U77" s="5">
        <f t="shared" si="17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>M78</f>
        <v>327.60000000000002</v>
      </c>
      <c r="I78" s="5">
        <v>90</v>
      </c>
      <c r="M78" s="5">
        <f t="shared" si="9"/>
        <v>327.60000000000002</v>
      </c>
      <c r="N78" s="5">
        <f t="shared" si="10"/>
        <v>291.2</v>
      </c>
      <c r="O78" s="5">
        <f t="shared" si="11"/>
        <v>254.79999999999998</v>
      </c>
      <c r="P78" s="5">
        <f t="shared" si="12"/>
        <v>218.4</v>
      </c>
      <c r="Q78" s="5">
        <f t="shared" si="13"/>
        <v>182</v>
      </c>
      <c r="R78" s="5">
        <f t="shared" si="14"/>
        <v>145.6</v>
      </c>
      <c r="S78" s="5">
        <f t="shared" si="15"/>
        <v>109.2</v>
      </c>
      <c r="T78" s="5">
        <f t="shared" si="16"/>
        <v>72.8</v>
      </c>
      <c r="U78" s="5">
        <f t="shared" si="17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>M79</f>
        <v>115.65</v>
      </c>
      <c r="I79" s="5">
        <v>90</v>
      </c>
      <c r="M79" s="5">
        <f t="shared" si="9"/>
        <v>115.65</v>
      </c>
      <c r="N79" s="5">
        <f t="shared" si="10"/>
        <v>102.80000000000001</v>
      </c>
      <c r="O79" s="5">
        <f t="shared" si="11"/>
        <v>89.949999999999989</v>
      </c>
      <c r="P79" s="5">
        <f t="shared" si="12"/>
        <v>77.099999999999994</v>
      </c>
      <c r="Q79" s="5">
        <f t="shared" si="13"/>
        <v>64.25</v>
      </c>
      <c r="R79" s="5">
        <f t="shared" si="14"/>
        <v>51.400000000000006</v>
      </c>
      <c r="S79" s="5">
        <f t="shared" si="15"/>
        <v>38.549999999999997</v>
      </c>
      <c r="T79" s="5">
        <f t="shared" si="16"/>
        <v>25.700000000000003</v>
      </c>
      <c r="U79" s="5">
        <f t="shared" si="17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>M80</f>
        <v>134.46</v>
      </c>
      <c r="I80" s="5">
        <v>150</v>
      </c>
      <c r="M80" s="5">
        <f t="shared" si="9"/>
        <v>134.46</v>
      </c>
      <c r="N80" s="5">
        <f t="shared" si="10"/>
        <v>119.52000000000001</v>
      </c>
      <c r="O80" s="5">
        <f t="shared" si="11"/>
        <v>104.58</v>
      </c>
      <c r="P80" s="5">
        <f t="shared" si="12"/>
        <v>89.64</v>
      </c>
      <c r="Q80" s="5">
        <f t="shared" si="13"/>
        <v>74.7</v>
      </c>
      <c r="R80" s="5">
        <f t="shared" si="14"/>
        <v>59.760000000000005</v>
      </c>
      <c r="S80" s="5">
        <f t="shared" si="15"/>
        <v>44.82</v>
      </c>
      <c r="T80" s="5">
        <f t="shared" si="16"/>
        <v>29.880000000000003</v>
      </c>
      <c r="U80" s="5">
        <f t="shared" si="17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>M81</f>
        <v>254.34000000000003</v>
      </c>
      <c r="I81" s="5">
        <v>90</v>
      </c>
      <c r="M81" s="5">
        <f t="shared" si="9"/>
        <v>254.34000000000003</v>
      </c>
      <c r="N81" s="5">
        <f t="shared" si="10"/>
        <v>226.08000000000004</v>
      </c>
      <c r="O81" s="5">
        <f t="shared" si="11"/>
        <v>197.82</v>
      </c>
      <c r="P81" s="5">
        <f t="shared" si="12"/>
        <v>169.56</v>
      </c>
      <c r="Q81" s="5">
        <f t="shared" si="13"/>
        <v>141.30000000000001</v>
      </c>
      <c r="R81" s="5">
        <f t="shared" si="14"/>
        <v>113.04000000000002</v>
      </c>
      <c r="S81" s="5">
        <f t="shared" si="15"/>
        <v>84.78</v>
      </c>
      <c r="T81" s="5">
        <f t="shared" si="16"/>
        <v>56.52000000000001</v>
      </c>
      <c r="U81" s="5">
        <f t="shared" si="17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>M82</f>
        <v>78.210000000000008</v>
      </c>
      <c r="I82" s="5">
        <v>120</v>
      </c>
      <c r="M82" s="5">
        <f t="shared" si="9"/>
        <v>78.210000000000008</v>
      </c>
      <c r="N82" s="5">
        <f t="shared" si="10"/>
        <v>69.52000000000001</v>
      </c>
      <c r="O82" s="5">
        <f t="shared" si="11"/>
        <v>60.83</v>
      </c>
      <c r="P82" s="5">
        <f t="shared" si="12"/>
        <v>52.14</v>
      </c>
      <c r="Q82" s="5">
        <f t="shared" si="13"/>
        <v>43.45</v>
      </c>
      <c r="R82" s="5">
        <f t="shared" si="14"/>
        <v>34.760000000000005</v>
      </c>
      <c r="S82" s="5">
        <f t="shared" si="15"/>
        <v>26.07</v>
      </c>
      <c r="T82" s="5">
        <f t="shared" si="16"/>
        <v>17.380000000000003</v>
      </c>
      <c r="U82" s="5">
        <f t="shared" si="17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>M83</f>
        <v>25.8</v>
      </c>
      <c r="I83" s="5">
        <v>120</v>
      </c>
      <c r="M83" s="5">
        <f t="shared" si="9"/>
        <v>25.8</v>
      </c>
      <c r="N83" s="5">
        <f t="shared" si="10"/>
        <v>25.8</v>
      </c>
      <c r="O83" s="5">
        <f t="shared" si="11"/>
        <v>25.8</v>
      </c>
      <c r="P83" s="5">
        <f t="shared" si="12"/>
        <v>25.8</v>
      </c>
      <c r="Q83" s="5">
        <f t="shared" si="13"/>
        <v>25.8</v>
      </c>
      <c r="R83" s="5">
        <f t="shared" si="14"/>
        <v>25.8</v>
      </c>
      <c r="S83" s="5">
        <f t="shared" si="15"/>
        <v>25.8</v>
      </c>
      <c r="T83" s="5">
        <f t="shared" si="16"/>
        <v>25.8</v>
      </c>
      <c r="U83" s="5">
        <f t="shared" si="17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>M84</f>
        <v>511.74</v>
      </c>
      <c r="I84" s="5">
        <v>120</v>
      </c>
      <c r="M84" s="5">
        <f t="shared" si="9"/>
        <v>511.74</v>
      </c>
      <c r="N84" s="5">
        <f t="shared" si="10"/>
        <v>454.88000000000005</v>
      </c>
      <c r="O84" s="5">
        <f t="shared" si="11"/>
        <v>398.02</v>
      </c>
      <c r="P84" s="5">
        <f t="shared" si="12"/>
        <v>341.16</v>
      </c>
      <c r="Q84" s="5">
        <f t="shared" si="13"/>
        <v>284.3</v>
      </c>
      <c r="R84" s="5">
        <f t="shared" si="14"/>
        <v>227.44000000000003</v>
      </c>
      <c r="S84" s="5">
        <f t="shared" si="15"/>
        <v>170.58</v>
      </c>
      <c r="T84" s="5">
        <f t="shared" si="16"/>
        <v>113.72000000000001</v>
      </c>
      <c r="U84" s="5">
        <f t="shared" si="17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>M85</f>
        <v>217.53</v>
      </c>
      <c r="I85" s="5">
        <v>120</v>
      </c>
      <c r="M85" s="5">
        <f t="shared" si="9"/>
        <v>217.53</v>
      </c>
      <c r="N85" s="5">
        <f t="shared" si="10"/>
        <v>193.36</v>
      </c>
      <c r="O85" s="5">
        <f t="shared" si="11"/>
        <v>169.18999999999997</v>
      </c>
      <c r="P85" s="5">
        <f t="shared" si="12"/>
        <v>145.01999999999998</v>
      </c>
      <c r="Q85" s="5">
        <f t="shared" si="13"/>
        <v>120.85</v>
      </c>
      <c r="R85" s="5">
        <f t="shared" si="14"/>
        <v>96.68</v>
      </c>
      <c r="S85" s="5">
        <f t="shared" si="15"/>
        <v>72.509999999999991</v>
      </c>
      <c r="T85" s="5">
        <f t="shared" si="16"/>
        <v>48.34</v>
      </c>
      <c r="U85" s="5">
        <f t="shared" si="17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>M86</f>
        <v>262.52999999999997</v>
      </c>
      <c r="I86" s="5">
        <v>90</v>
      </c>
      <c r="M86" s="5">
        <f t="shared" si="9"/>
        <v>262.52999999999997</v>
      </c>
      <c r="N86" s="5">
        <f t="shared" si="10"/>
        <v>233.36</v>
      </c>
      <c r="O86" s="5">
        <f t="shared" si="11"/>
        <v>204.18999999999997</v>
      </c>
      <c r="P86" s="5">
        <f t="shared" si="12"/>
        <v>175.01999999999998</v>
      </c>
      <c r="Q86" s="5">
        <f t="shared" si="13"/>
        <v>145.85</v>
      </c>
      <c r="R86" s="5">
        <f t="shared" si="14"/>
        <v>116.68</v>
      </c>
      <c r="S86" s="5">
        <f t="shared" si="15"/>
        <v>87.509999999999991</v>
      </c>
      <c r="T86" s="5">
        <f t="shared" si="16"/>
        <v>58.34</v>
      </c>
      <c r="U86" s="5">
        <f t="shared" si="17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>M87</f>
        <v>168.3</v>
      </c>
      <c r="I87" s="5">
        <v>120</v>
      </c>
      <c r="M87" s="5">
        <f t="shared" si="9"/>
        <v>168.3</v>
      </c>
      <c r="N87" s="5">
        <f t="shared" si="10"/>
        <v>149.6</v>
      </c>
      <c r="O87" s="5">
        <f t="shared" si="11"/>
        <v>130.9</v>
      </c>
      <c r="P87" s="5">
        <f t="shared" si="12"/>
        <v>112.2</v>
      </c>
      <c r="Q87" s="5">
        <f t="shared" si="13"/>
        <v>93.5</v>
      </c>
      <c r="R87" s="5">
        <f t="shared" si="14"/>
        <v>74.8</v>
      </c>
      <c r="S87" s="5">
        <f t="shared" si="15"/>
        <v>56.1</v>
      </c>
      <c r="T87" s="5">
        <f t="shared" si="16"/>
        <v>37.4</v>
      </c>
      <c r="U87" s="5">
        <f t="shared" si="17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>M88</f>
        <v>260.73</v>
      </c>
      <c r="I88" s="5">
        <v>90</v>
      </c>
      <c r="M88" s="5">
        <f t="shared" si="9"/>
        <v>260.73</v>
      </c>
      <c r="N88" s="5">
        <f t="shared" si="10"/>
        <v>231.76</v>
      </c>
      <c r="O88" s="5">
        <f t="shared" si="11"/>
        <v>202.79</v>
      </c>
      <c r="P88" s="5">
        <f t="shared" si="12"/>
        <v>173.82</v>
      </c>
      <c r="Q88" s="5">
        <f t="shared" si="13"/>
        <v>144.85</v>
      </c>
      <c r="R88" s="5">
        <f t="shared" si="14"/>
        <v>115.88</v>
      </c>
      <c r="S88" s="5">
        <f t="shared" si="15"/>
        <v>86.91</v>
      </c>
      <c r="T88" s="5">
        <f t="shared" si="16"/>
        <v>57.94</v>
      </c>
      <c r="U88" s="5">
        <f t="shared" si="17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>M89</f>
        <v>223.56</v>
      </c>
      <c r="I89" s="5">
        <v>150</v>
      </c>
      <c r="M89" s="5">
        <f t="shared" si="9"/>
        <v>223.56</v>
      </c>
      <c r="N89" s="5">
        <f t="shared" si="10"/>
        <v>198.72000000000003</v>
      </c>
      <c r="O89" s="5">
        <f t="shared" si="11"/>
        <v>173.88</v>
      </c>
      <c r="P89" s="5">
        <f t="shared" si="12"/>
        <v>149.04</v>
      </c>
      <c r="Q89" s="5">
        <f t="shared" si="13"/>
        <v>124.2</v>
      </c>
      <c r="R89" s="5">
        <f t="shared" si="14"/>
        <v>99.360000000000014</v>
      </c>
      <c r="S89" s="5">
        <f t="shared" si="15"/>
        <v>74.52</v>
      </c>
      <c r="T89" s="5">
        <f t="shared" si="16"/>
        <v>49.680000000000007</v>
      </c>
      <c r="U89" s="5">
        <f t="shared" si="17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>M90</f>
        <v>1020.33</v>
      </c>
      <c r="I90" s="5">
        <v>90</v>
      </c>
      <c r="M90" s="5">
        <f t="shared" si="9"/>
        <v>1020.33</v>
      </c>
      <c r="N90" s="5">
        <f t="shared" si="10"/>
        <v>906.96</v>
      </c>
      <c r="O90" s="5">
        <f t="shared" si="11"/>
        <v>793.59</v>
      </c>
      <c r="P90" s="5">
        <f t="shared" si="12"/>
        <v>680.22</v>
      </c>
      <c r="Q90" s="5">
        <f t="shared" si="13"/>
        <v>566.85</v>
      </c>
      <c r="R90" s="5">
        <f t="shared" si="14"/>
        <v>453.48</v>
      </c>
      <c r="S90" s="5">
        <f t="shared" si="15"/>
        <v>340.11</v>
      </c>
      <c r="T90" s="5">
        <f t="shared" si="16"/>
        <v>226.74</v>
      </c>
      <c r="U90" s="5">
        <f t="shared" si="17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>M91</f>
        <v>240.3</v>
      </c>
      <c r="I91" s="5">
        <v>150</v>
      </c>
      <c r="M91" s="5">
        <f t="shared" si="9"/>
        <v>240.3</v>
      </c>
      <c r="N91" s="5">
        <f t="shared" si="10"/>
        <v>213.60000000000002</v>
      </c>
      <c r="O91" s="5">
        <f t="shared" si="11"/>
        <v>186.89999999999998</v>
      </c>
      <c r="P91" s="5">
        <f t="shared" si="12"/>
        <v>160.19999999999999</v>
      </c>
      <c r="Q91" s="5">
        <f t="shared" si="13"/>
        <v>133.5</v>
      </c>
      <c r="R91" s="5">
        <f t="shared" si="14"/>
        <v>106.80000000000001</v>
      </c>
      <c r="S91" s="5">
        <f t="shared" si="15"/>
        <v>80.099999999999994</v>
      </c>
      <c r="T91" s="5">
        <f t="shared" si="16"/>
        <v>53.400000000000006</v>
      </c>
      <c r="U91" s="5">
        <f t="shared" si="17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>M92</f>
        <v>159.93</v>
      </c>
      <c r="I92" s="5">
        <v>120</v>
      </c>
      <c r="M92" s="5">
        <f t="shared" si="9"/>
        <v>159.93</v>
      </c>
      <c r="N92" s="5">
        <f t="shared" si="10"/>
        <v>142.16</v>
      </c>
      <c r="O92" s="5">
        <f t="shared" si="11"/>
        <v>124.38999999999999</v>
      </c>
      <c r="P92" s="5">
        <f t="shared" si="12"/>
        <v>106.61999999999999</v>
      </c>
      <c r="Q92" s="5">
        <f t="shared" si="13"/>
        <v>88.85</v>
      </c>
      <c r="R92" s="5">
        <f t="shared" si="14"/>
        <v>71.08</v>
      </c>
      <c r="S92" s="5">
        <f t="shared" si="15"/>
        <v>53.309999999999995</v>
      </c>
      <c r="T92" s="5">
        <f t="shared" si="16"/>
        <v>35.54</v>
      </c>
      <c r="U92" s="5">
        <f t="shared" si="17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>M93</f>
        <v>297.18</v>
      </c>
      <c r="I93" s="5">
        <v>90</v>
      </c>
      <c r="M93" s="5">
        <f t="shared" si="9"/>
        <v>297.18</v>
      </c>
      <c r="N93" s="5">
        <f t="shared" si="10"/>
        <v>264.16000000000003</v>
      </c>
      <c r="O93" s="5">
        <f t="shared" si="11"/>
        <v>231.14</v>
      </c>
      <c r="P93" s="5">
        <f t="shared" si="12"/>
        <v>198.11999999999998</v>
      </c>
      <c r="Q93" s="5">
        <f t="shared" si="13"/>
        <v>165.1</v>
      </c>
      <c r="R93" s="5">
        <f t="shared" si="14"/>
        <v>132.08000000000001</v>
      </c>
      <c r="S93" s="5">
        <f t="shared" si="15"/>
        <v>99.059999999999988</v>
      </c>
      <c r="T93" s="5">
        <f t="shared" si="16"/>
        <v>66.040000000000006</v>
      </c>
      <c r="U93" s="5">
        <f t="shared" si="17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>M94</f>
        <v>374.85</v>
      </c>
      <c r="I94" s="5">
        <v>90</v>
      </c>
      <c r="M94" s="5">
        <f t="shared" si="9"/>
        <v>374.85</v>
      </c>
      <c r="N94" s="5">
        <f t="shared" si="10"/>
        <v>333.20000000000005</v>
      </c>
      <c r="O94" s="5">
        <f t="shared" si="11"/>
        <v>291.54999999999995</v>
      </c>
      <c r="P94" s="5">
        <f t="shared" si="12"/>
        <v>249.89999999999998</v>
      </c>
      <c r="Q94" s="5">
        <f t="shared" si="13"/>
        <v>208.25</v>
      </c>
      <c r="R94" s="5">
        <f t="shared" si="14"/>
        <v>166.60000000000002</v>
      </c>
      <c r="S94" s="5">
        <f t="shared" si="15"/>
        <v>124.94999999999999</v>
      </c>
      <c r="T94" s="5">
        <f t="shared" si="16"/>
        <v>83.300000000000011</v>
      </c>
      <c r="U94" s="5">
        <f t="shared" si="17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>M95</f>
        <v>151.29</v>
      </c>
      <c r="I95" s="5">
        <v>90</v>
      </c>
      <c r="M95" s="5">
        <f t="shared" si="9"/>
        <v>151.29</v>
      </c>
      <c r="N95" s="5">
        <f t="shared" si="10"/>
        <v>134.47999999999999</v>
      </c>
      <c r="O95" s="5">
        <f t="shared" si="11"/>
        <v>117.66999999999999</v>
      </c>
      <c r="P95" s="5">
        <f t="shared" si="12"/>
        <v>100.86</v>
      </c>
      <c r="Q95" s="5">
        <f t="shared" si="13"/>
        <v>84.05</v>
      </c>
      <c r="R95" s="5">
        <f t="shared" si="14"/>
        <v>67.239999999999995</v>
      </c>
      <c r="S95" s="5">
        <f t="shared" si="15"/>
        <v>50.43</v>
      </c>
      <c r="T95" s="5">
        <f t="shared" si="16"/>
        <v>33.619999999999997</v>
      </c>
      <c r="U95" s="5">
        <f t="shared" si="17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>M96</f>
        <v>184.5</v>
      </c>
      <c r="I96" s="5">
        <v>90</v>
      </c>
      <c r="M96" s="5">
        <f t="shared" si="9"/>
        <v>184.5</v>
      </c>
      <c r="N96" s="5">
        <f t="shared" si="10"/>
        <v>164</v>
      </c>
      <c r="O96" s="5">
        <f t="shared" si="11"/>
        <v>143.5</v>
      </c>
      <c r="P96" s="5">
        <f t="shared" si="12"/>
        <v>123</v>
      </c>
      <c r="Q96" s="5">
        <f t="shared" si="13"/>
        <v>102.5</v>
      </c>
      <c r="R96" s="5">
        <f t="shared" si="14"/>
        <v>82</v>
      </c>
      <c r="S96" s="5">
        <f t="shared" si="15"/>
        <v>61.5</v>
      </c>
      <c r="T96" s="5">
        <f t="shared" si="16"/>
        <v>41</v>
      </c>
      <c r="U96" s="5">
        <f t="shared" si="17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>M97</f>
        <v>177.84</v>
      </c>
      <c r="I97" s="5">
        <v>150</v>
      </c>
      <c r="M97" s="5">
        <f t="shared" si="9"/>
        <v>177.84</v>
      </c>
      <c r="N97" s="5">
        <f t="shared" si="10"/>
        <v>158.08000000000001</v>
      </c>
      <c r="O97" s="5">
        <f t="shared" si="11"/>
        <v>138.32</v>
      </c>
      <c r="P97" s="5">
        <f t="shared" si="12"/>
        <v>118.55999999999999</v>
      </c>
      <c r="Q97" s="5">
        <f t="shared" si="13"/>
        <v>98.8</v>
      </c>
      <c r="R97" s="5">
        <f t="shared" si="14"/>
        <v>79.040000000000006</v>
      </c>
      <c r="S97" s="5">
        <f t="shared" si="15"/>
        <v>59.279999999999994</v>
      </c>
      <c r="T97" s="5">
        <f t="shared" si="16"/>
        <v>39.520000000000003</v>
      </c>
      <c r="U97" s="5">
        <f t="shared" si="17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>M98</f>
        <v>117.9</v>
      </c>
      <c r="I98" s="5">
        <v>120</v>
      </c>
      <c r="M98" s="5">
        <f t="shared" si="9"/>
        <v>117.9</v>
      </c>
      <c r="N98" s="5">
        <f t="shared" si="10"/>
        <v>104.80000000000001</v>
      </c>
      <c r="O98" s="5">
        <f t="shared" si="11"/>
        <v>91.699999999999989</v>
      </c>
      <c r="P98" s="5">
        <f t="shared" si="12"/>
        <v>78.599999999999994</v>
      </c>
      <c r="Q98" s="5">
        <f t="shared" si="13"/>
        <v>65.5</v>
      </c>
      <c r="R98" s="5">
        <f t="shared" si="14"/>
        <v>52.400000000000006</v>
      </c>
      <c r="S98" s="5">
        <f t="shared" si="15"/>
        <v>39.299999999999997</v>
      </c>
      <c r="T98" s="5">
        <f t="shared" si="16"/>
        <v>26.200000000000003</v>
      </c>
      <c r="U98" s="5">
        <f t="shared" si="17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>M99</f>
        <v>530.55000000000007</v>
      </c>
      <c r="I99" s="5">
        <v>120</v>
      </c>
      <c r="M99" s="5">
        <f t="shared" si="9"/>
        <v>530.55000000000007</v>
      </c>
      <c r="N99" s="5">
        <f t="shared" si="10"/>
        <v>471.6</v>
      </c>
      <c r="O99" s="5">
        <f t="shared" si="11"/>
        <v>412.65</v>
      </c>
      <c r="P99" s="5">
        <f t="shared" si="12"/>
        <v>353.7</v>
      </c>
      <c r="Q99" s="5">
        <f t="shared" si="13"/>
        <v>294.75</v>
      </c>
      <c r="R99" s="5">
        <f t="shared" si="14"/>
        <v>235.8</v>
      </c>
      <c r="S99" s="5">
        <f t="shared" si="15"/>
        <v>176.85</v>
      </c>
      <c r="T99" s="5">
        <f t="shared" si="16"/>
        <v>117.9</v>
      </c>
      <c r="U99" s="5">
        <f t="shared" si="17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>M100</f>
        <v>193.68</v>
      </c>
      <c r="I100" s="5">
        <v>120</v>
      </c>
      <c r="M100" s="5">
        <f t="shared" si="9"/>
        <v>193.68</v>
      </c>
      <c r="N100" s="5">
        <f t="shared" si="10"/>
        <v>172.16</v>
      </c>
      <c r="O100" s="5">
        <f t="shared" si="11"/>
        <v>150.63999999999999</v>
      </c>
      <c r="P100" s="5">
        <f t="shared" si="12"/>
        <v>129.11999999999998</v>
      </c>
      <c r="Q100" s="5">
        <f t="shared" si="13"/>
        <v>107.6</v>
      </c>
      <c r="R100" s="5">
        <f t="shared" si="14"/>
        <v>86.08</v>
      </c>
      <c r="S100" s="5">
        <f t="shared" si="15"/>
        <v>64.559999999999988</v>
      </c>
      <c r="T100" s="5">
        <f t="shared" si="16"/>
        <v>43.04</v>
      </c>
      <c r="U100" s="5">
        <f t="shared" si="17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>M101</f>
        <v>213.48</v>
      </c>
      <c r="I101" s="5">
        <v>90</v>
      </c>
      <c r="M101" s="5">
        <f t="shared" si="9"/>
        <v>213.48</v>
      </c>
      <c r="N101" s="5">
        <f t="shared" si="10"/>
        <v>189.76</v>
      </c>
      <c r="O101" s="5">
        <f t="shared" si="11"/>
        <v>166.04</v>
      </c>
      <c r="P101" s="5">
        <f t="shared" si="12"/>
        <v>142.32</v>
      </c>
      <c r="Q101" s="5">
        <f t="shared" si="13"/>
        <v>118.6</v>
      </c>
      <c r="R101" s="5">
        <f t="shared" si="14"/>
        <v>94.88</v>
      </c>
      <c r="S101" s="5">
        <f t="shared" si="15"/>
        <v>71.16</v>
      </c>
      <c r="T101" s="5">
        <f t="shared" si="16"/>
        <v>47.44</v>
      </c>
      <c r="U101" s="5">
        <f t="shared" si="17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>M102</f>
        <v>413.82</v>
      </c>
      <c r="I102" s="5">
        <v>90</v>
      </c>
      <c r="M102" s="5">
        <f t="shared" si="9"/>
        <v>413.82</v>
      </c>
      <c r="N102" s="5">
        <f t="shared" si="10"/>
        <v>367.84000000000003</v>
      </c>
      <c r="O102" s="5">
        <f t="shared" si="11"/>
        <v>321.86</v>
      </c>
      <c r="P102" s="5">
        <f t="shared" si="12"/>
        <v>275.88</v>
      </c>
      <c r="Q102" s="5">
        <f t="shared" si="13"/>
        <v>229.9</v>
      </c>
      <c r="R102" s="5">
        <f t="shared" si="14"/>
        <v>183.92000000000002</v>
      </c>
      <c r="S102" s="5">
        <f t="shared" si="15"/>
        <v>137.94</v>
      </c>
      <c r="T102" s="5">
        <f t="shared" si="16"/>
        <v>91.960000000000008</v>
      </c>
      <c r="U102" s="5">
        <f t="shared" si="17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>M103</f>
        <v>168.84</v>
      </c>
      <c r="I103" s="5">
        <v>90</v>
      </c>
      <c r="M103" s="5">
        <f t="shared" si="9"/>
        <v>168.84</v>
      </c>
      <c r="N103" s="5">
        <f t="shared" si="10"/>
        <v>150.08000000000001</v>
      </c>
      <c r="O103" s="5">
        <f t="shared" si="11"/>
        <v>131.32</v>
      </c>
      <c r="P103" s="5">
        <f t="shared" si="12"/>
        <v>112.55999999999999</v>
      </c>
      <c r="Q103" s="5">
        <f t="shared" si="13"/>
        <v>93.8</v>
      </c>
      <c r="R103" s="5">
        <f t="shared" si="14"/>
        <v>75.040000000000006</v>
      </c>
      <c r="S103" s="5">
        <f t="shared" si="15"/>
        <v>56.279999999999994</v>
      </c>
      <c r="T103" s="5">
        <f t="shared" si="16"/>
        <v>37.520000000000003</v>
      </c>
      <c r="U103" s="5">
        <f t="shared" si="17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>M104</f>
        <v>195.21</v>
      </c>
      <c r="I104" s="5">
        <v>120</v>
      </c>
      <c r="M104" s="5">
        <f t="shared" si="9"/>
        <v>195.21</v>
      </c>
      <c r="N104" s="5">
        <f t="shared" si="10"/>
        <v>173.52</v>
      </c>
      <c r="O104" s="5">
        <f t="shared" si="11"/>
        <v>151.82999999999998</v>
      </c>
      <c r="P104" s="5">
        <f t="shared" si="12"/>
        <v>130.13999999999999</v>
      </c>
      <c r="Q104" s="5">
        <f t="shared" si="13"/>
        <v>108.45</v>
      </c>
      <c r="R104" s="5">
        <f t="shared" si="14"/>
        <v>86.76</v>
      </c>
      <c r="S104" s="5">
        <f t="shared" si="15"/>
        <v>65.069999999999993</v>
      </c>
      <c r="T104" s="5">
        <f t="shared" si="16"/>
        <v>43.38</v>
      </c>
      <c r="U104" s="5">
        <f t="shared" si="17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>M105</f>
        <v>29.6</v>
      </c>
      <c r="I105" s="5">
        <v>90</v>
      </c>
      <c r="M105" s="5">
        <f t="shared" si="9"/>
        <v>29.6</v>
      </c>
      <c r="N105" s="5">
        <f t="shared" si="10"/>
        <v>29.6</v>
      </c>
      <c r="O105" s="5">
        <f t="shared" si="11"/>
        <v>29.6</v>
      </c>
      <c r="P105" s="5">
        <f t="shared" si="12"/>
        <v>29.6</v>
      </c>
      <c r="Q105" s="5">
        <f t="shared" si="13"/>
        <v>29.6</v>
      </c>
      <c r="R105" s="5">
        <f t="shared" si="14"/>
        <v>29.6</v>
      </c>
      <c r="S105" s="5">
        <f t="shared" si="15"/>
        <v>29.6</v>
      </c>
      <c r="T105" s="5">
        <f t="shared" si="16"/>
        <v>29.6</v>
      </c>
      <c r="U105" s="5">
        <f t="shared" si="17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>M106</f>
        <v>328.5</v>
      </c>
      <c r="I106" s="5">
        <v>120</v>
      </c>
      <c r="M106" s="5">
        <f t="shared" si="9"/>
        <v>328.5</v>
      </c>
      <c r="N106" s="5">
        <f t="shared" si="10"/>
        <v>292</v>
      </c>
      <c r="O106" s="5">
        <f t="shared" si="11"/>
        <v>255.49999999999997</v>
      </c>
      <c r="P106" s="5">
        <f t="shared" si="12"/>
        <v>219</v>
      </c>
      <c r="Q106" s="5">
        <f t="shared" si="13"/>
        <v>182.5</v>
      </c>
      <c r="R106" s="5">
        <f t="shared" si="14"/>
        <v>146</v>
      </c>
      <c r="S106" s="5">
        <f t="shared" si="15"/>
        <v>109.5</v>
      </c>
      <c r="T106" s="5">
        <f t="shared" si="16"/>
        <v>73</v>
      </c>
      <c r="U106" s="5">
        <f t="shared" si="17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>M107</f>
        <v>104.03999999999999</v>
      </c>
      <c r="I107" s="5">
        <v>120</v>
      </c>
      <c r="M107" s="5">
        <f t="shared" si="9"/>
        <v>104.03999999999999</v>
      </c>
      <c r="N107" s="5">
        <f t="shared" si="10"/>
        <v>92.48</v>
      </c>
      <c r="O107" s="5">
        <f t="shared" si="11"/>
        <v>80.919999999999987</v>
      </c>
      <c r="P107" s="5">
        <f t="shared" si="12"/>
        <v>69.36</v>
      </c>
      <c r="Q107" s="5">
        <f t="shared" si="13"/>
        <v>57.8</v>
      </c>
      <c r="R107" s="5">
        <f t="shared" si="14"/>
        <v>46.24</v>
      </c>
      <c r="S107" s="5">
        <f t="shared" si="15"/>
        <v>34.68</v>
      </c>
      <c r="T107" s="5">
        <f t="shared" si="16"/>
        <v>23.12</v>
      </c>
      <c r="U107" s="5">
        <f t="shared" si="17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>M108</f>
        <v>310.5</v>
      </c>
      <c r="I108" s="5">
        <v>120</v>
      </c>
      <c r="M108" s="5">
        <f t="shared" si="9"/>
        <v>310.5</v>
      </c>
      <c r="N108" s="5">
        <f t="shared" si="10"/>
        <v>276</v>
      </c>
      <c r="O108" s="5">
        <f t="shared" si="11"/>
        <v>241.49999999999997</v>
      </c>
      <c r="P108" s="5">
        <f t="shared" si="12"/>
        <v>207</v>
      </c>
      <c r="Q108" s="5">
        <f t="shared" si="13"/>
        <v>172.5</v>
      </c>
      <c r="R108" s="5">
        <f t="shared" si="14"/>
        <v>138</v>
      </c>
      <c r="S108" s="5">
        <f t="shared" si="15"/>
        <v>103.5</v>
      </c>
      <c r="T108" s="5">
        <f t="shared" si="16"/>
        <v>69</v>
      </c>
      <c r="U108" s="5">
        <f t="shared" si="17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>M109</f>
        <v>222.48</v>
      </c>
      <c r="I109" s="5">
        <v>90</v>
      </c>
      <c r="M109" s="5">
        <f t="shared" si="9"/>
        <v>222.48</v>
      </c>
      <c r="N109" s="5">
        <f t="shared" si="10"/>
        <v>197.76</v>
      </c>
      <c r="O109" s="5">
        <f t="shared" si="11"/>
        <v>173.04</v>
      </c>
      <c r="P109" s="5">
        <f t="shared" si="12"/>
        <v>148.32</v>
      </c>
      <c r="Q109" s="5">
        <f t="shared" si="13"/>
        <v>123.6</v>
      </c>
      <c r="R109" s="5">
        <f t="shared" si="14"/>
        <v>98.88</v>
      </c>
      <c r="S109" s="5">
        <f t="shared" si="15"/>
        <v>74.16</v>
      </c>
      <c r="T109" s="5">
        <f t="shared" si="16"/>
        <v>49.44</v>
      </c>
      <c r="U109" s="5">
        <f t="shared" si="17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>M110</f>
        <v>137.25</v>
      </c>
      <c r="I110" s="5">
        <v>60</v>
      </c>
      <c r="M110" s="5">
        <f t="shared" si="9"/>
        <v>137.25</v>
      </c>
      <c r="N110" s="5">
        <f t="shared" si="10"/>
        <v>122</v>
      </c>
      <c r="O110" s="5">
        <f t="shared" si="11"/>
        <v>106.75</v>
      </c>
      <c r="P110" s="5">
        <f t="shared" si="12"/>
        <v>91.5</v>
      </c>
      <c r="Q110" s="5">
        <f t="shared" si="13"/>
        <v>76.25</v>
      </c>
      <c r="R110" s="5">
        <f t="shared" si="14"/>
        <v>61</v>
      </c>
      <c r="S110" s="5">
        <f t="shared" si="15"/>
        <v>45.75</v>
      </c>
      <c r="T110" s="5">
        <f t="shared" si="16"/>
        <v>30.5</v>
      </c>
      <c r="U110" s="5">
        <f t="shared" si="17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>M111</f>
        <v>235.17000000000002</v>
      </c>
      <c r="I111" s="5">
        <v>60</v>
      </c>
      <c r="M111" s="5">
        <f t="shared" si="9"/>
        <v>235.17000000000002</v>
      </c>
      <c r="N111" s="5">
        <f t="shared" si="10"/>
        <v>209.04000000000002</v>
      </c>
      <c r="O111" s="5">
        <f t="shared" si="11"/>
        <v>182.91</v>
      </c>
      <c r="P111" s="5">
        <f t="shared" si="12"/>
        <v>156.78</v>
      </c>
      <c r="Q111" s="5">
        <f t="shared" si="13"/>
        <v>130.65</v>
      </c>
      <c r="R111" s="5">
        <f t="shared" si="14"/>
        <v>104.52000000000001</v>
      </c>
      <c r="S111" s="5">
        <f t="shared" si="15"/>
        <v>78.39</v>
      </c>
      <c r="T111" s="5">
        <f t="shared" si="16"/>
        <v>52.260000000000005</v>
      </c>
      <c r="U111" s="5">
        <f t="shared" si="17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>M112</f>
        <v>218.70000000000002</v>
      </c>
      <c r="I112" s="5">
        <v>120</v>
      </c>
      <c r="M112" s="5">
        <f t="shared" si="9"/>
        <v>218.70000000000002</v>
      </c>
      <c r="N112" s="5">
        <f t="shared" si="10"/>
        <v>194.4</v>
      </c>
      <c r="O112" s="5">
        <f t="shared" si="11"/>
        <v>170.1</v>
      </c>
      <c r="P112" s="5">
        <f t="shared" si="12"/>
        <v>145.79999999999998</v>
      </c>
      <c r="Q112" s="5">
        <f t="shared" si="13"/>
        <v>121.5</v>
      </c>
      <c r="R112" s="5">
        <f t="shared" si="14"/>
        <v>97.2</v>
      </c>
      <c r="S112" s="5">
        <f t="shared" si="15"/>
        <v>72.899999999999991</v>
      </c>
      <c r="T112" s="5">
        <f t="shared" si="16"/>
        <v>48.6</v>
      </c>
      <c r="U112" s="5">
        <f t="shared" si="17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>M113</f>
        <v>264.42</v>
      </c>
      <c r="I113" s="5">
        <v>120</v>
      </c>
      <c r="M113" s="5">
        <f t="shared" si="9"/>
        <v>264.42</v>
      </c>
      <c r="N113" s="5">
        <f t="shared" si="10"/>
        <v>235.04000000000002</v>
      </c>
      <c r="O113" s="5">
        <f t="shared" si="11"/>
        <v>205.66</v>
      </c>
      <c r="P113" s="5">
        <f t="shared" si="12"/>
        <v>176.28</v>
      </c>
      <c r="Q113" s="5">
        <f t="shared" si="13"/>
        <v>146.9</v>
      </c>
      <c r="R113" s="5">
        <f t="shared" si="14"/>
        <v>117.52000000000001</v>
      </c>
      <c r="S113" s="5">
        <f t="shared" si="15"/>
        <v>88.14</v>
      </c>
      <c r="T113" s="5">
        <f t="shared" si="16"/>
        <v>58.760000000000005</v>
      </c>
      <c r="U113" s="5">
        <f t="shared" si="17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>M114</f>
        <v>11</v>
      </c>
      <c r="I114" s="5">
        <v>60</v>
      </c>
      <c r="M114" s="5">
        <f t="shared" si="9"/>
        <v>11</v>
      </c>
      <c r="N114" s="5">
        <f t="shared" si="10"/>
        <v>11</v>
      </c>
      <c r="O114" s="5">
        <f t="shared" si="11"/>
        <v>11</v>
      </c>
      <c r="P114" s="5">
        <f t="shared" si="12"/>
        <v>11</v>
      </c>
      <c r="Q114" s="5">
        <f t="shared" si="13"/>
        <v>11</v>
      </c>
      <c r="R114" s="5">
        <f t="shared" si="14"/>
        <v>11</v>
      </c>
      <c r="S114" s="5">
        <f t="shared" si="15"/>
        <v>11</v>
      </c>
      <c r="T114" s="5">
        <f t="shared" si="16"/>
        <v>11</v>
      </c>
      <c r="U114" s="5">
        <f t="shared" si="17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>M115</f>
        <v>82.44</v>
      </c>
      <c r="I115" s="5">
        <v>90</v>
      </c>
      <c r="M115" s="5">
        <f t="shared" si="9"/>
        <v>82.44</v>
      </c>
      <c r="N115" s="5">
        <f t="shared" si="10"/>
        <v>73.28</v>
      </c>
      <c r="O115" s="5">
        <f t="shared" si="11"/>
        <v>64.11999999999999</v>
      </c>
      <c r="P115" s="5">
        <f t="shared" si="12"/>
        <v>54.959999999999994</v>
      </c>
      <c r="Q115" s="5">
        <f t="shared" si="13"/>
        <v>45.8</v>
      </c>
      <c r="R115" s="5">
        <f t="shared" si="14"/>
        <v>36.64</v>
      </c>
      <c r="S115" s="5">
        <f t="shared" si="15"/>
        <v>27.479999999999997</v>
      </c>
      <c r="T115" s="5">
        <f t="shared" si="16"/>
        <v>18.32</v>
      </c>
      <c r="U115" s="5">
        <f t="shared" si="17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>M116</f>
        <v>333.54</v>
      </c>
      <c r="I116" s="5">
        <v>120</v>
      </c>
      <c r="M116" s="5">
        <f t="shared" si="9"/>
        <v>333.54</v>
      </c>
      <c r="N116" s="5">
        <f t="shared" si="10"/>
        <v>296.48</v>
      </c>
      <c r="O116" s="5">
        <f t="shared" si="11"/>
        <v>259.42</v>
      </c>
      <c r="P116" s="5">
        <f t="shared" si="12"/>
        <v>222.36</v>
      </c>
      <c r="Q116" s="5">
        <f t="shared" si="13"/>
        <v>185.3</v>
      </c>
      <c r="R116" s="5">
        <f t="shared" si="14"/>
        <v>148.24</v>
      </c>
      <c r="S116" s="5">
        <f t="shared" si="15"/>
        <v>111.18</v>
      </c>
      <c r="T116" s="5">
        <f t="shared" si="16"/>
        <v>74.12</v>
      </c>
      <c r="U116" s="5">
        <f t="shared" si="17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>M117</f>
        <v>214.38</v>
      </c>
      <c r="I117" s="5">
        <v>120</v>
      </c>
      <c r="M117" s="5">
        <f t="shared" si="9"/>
        <v>214.38</v>
      </c>
      <c r="N117" s="5">
        <f t="shared" si="10"/>
        <v>190.56</v>
      </c>
      <c r="O117" s="5">
        <f t="shared" si="11"/>
        <v>166.73999999999998</v>
      </c>
      <c r="P117" s="5">
        <f t="shared" si="12"/>
        <v>142.91999999999999</v>
      </c>
      <c r="Q117" s="5">
        <f t="shared" si="13"/>
        <v>119.1</v>
      </c>
      <c r="R117" s="5">
        <f t="shared" si="14"/>
        <v>95.28</v>
      </c>
      <c r="S117" s="5">
        <f t="shared" si="15"/>
        <v>71.459999999999994</v>
      </c>
      <c r="T117" s="5">
        <f t="shared" si="16"/>
        <v>47.64</v>
      </c>
      <c r="U117" s="5">
        <f t="shared" si="17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>M118</f>
        <v>165.06</v>
      </c>
      <c r="I118" s="5">
        <v>120</v>
      </c>
      <c r="M118" s="5">
        <f t="shared" si="9"/>
        <v>165.06</v>
      </c>
      <c r="N118" s="5">
        <f t="shared" si="10"/>
        <v>146.72</v>
      </c>
      <c r="O118" s="5">
        <f t="shared" si="11"/>
        <v>128.38</v>
      </c>
      <c r="P118" s="5">
        <f t="shared" si="12"/>
        <v>110.04</v>
      </c>
      <c r="Q118" s="5">
        <f t="shared" si="13"/>
        <v>91.7</v>
      </c>
      <c r="R118" s="5">
        <f t="shared" si="14"/>
        <v>73.36</v>
      </c>
      <c r="S118" s="5">
        <f t="shared" si="15"/>
        <v>55.02</v>
      </c>
      <c r="T118" s="5">
        <f t="shared" si="16"/>
        <v>36.68</v>
      </c>
      <c r="U118" s="5">
        <f t="shared" si="17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>M119</f>
        <v>296.90999999999997</v>
      </c>
      <c r="I119" s="5">
        <v>150</v>
      </c>
      <c r="M119" s="5">
        <f t="shared" si="9"/>
        <v>296.90999999999997</v>
      </c>
      <c r="N119" s="5">
        <f t="shared" si="10"/>
        <v>263.92</v>
      </c>
      <c r="O119" s="5">
        <f t="shared" si="11"/>
        <v>230.92999999999998</v>
      </c>
      <c r="P119" s="5">
        <f t="shared" si="12"/>
        <v>197.93999999999997</v>
      </c>
      <c r="Q119" s="5">
        <f t="shared" si="13"/>
        <v>164.95</v>
      </c>
      <c r="R119" s="5">
        <f t="shared" si="14"/>
        <v>131.96</v>
      </c>
      <c r="S119" s="5">
        <f t="shared" si="15"/>
        <v>98.969999999999985</v>
      </c>
      <c r="T119" s="5">
        <f t="shared" si="16"/>
        <v>65.98</v>
      </c>
      <c r="U119" s="5">
        <f t="shared" si="17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>M120</f>
        <v>119.61000000000001</v>
      </c>
      <c r="I120" s="5">
        <v>60</v>
      </c>
      <c r="M120" s="5">
        <f t="shared" si="9"/>
        <v>119.61000000000001</v>
      </c>
      <c r="N120" s="5">
        <f t="shared" si="10"/>
        <v>106.32000000000001</v>
      </c>
      <c r="O120" s="5">
        <f t="shared" si="11"/>
        <v>93.03</v>
      </c>
      <c r="P120" s="5">
        <f t="shared" si="12"/>
        <v>79.739999999999995</v>
      </c>
      <c r="Q120" s="5">
        <f t="shared" si="13"/>
        <v>66.45</v>
      </c>
      <c r="R120" s="5">
        <f t="shared" si="14"/>
        <v>53.160000000000004</v>
      </c>
      <c r="S120" s="5">
        <f t="shared" si="15"/>
        <v>39.869999999999997</v>
      </c>
      <c r="T120" s="5">
        <f t="shared" si="16"/>
        <v>26.580000000000002</v>
      </c>
      <c r="U120" s="5">
        <f t="shared" si="17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>M121</f>
        <v>75.960000000000008</v>
      </c>
      <c r="I121" s="5">
        <v>90</v>
      </c>
      <c r="M121" s="5">
        <f t="shared" si="9"/>
        <v>75.960000000000008</v>
      </c>
      <c r="N121" s="5">
        <f t="shared" si="10"/>
        <v>67.52000000000001</v>
      </c>
      <c r="O121" s="5">
        <f t="shared" si="11"/>
        <v>59.08</v>
      </c>
      <c r="P121" s="5">
        <f t="shared" si="12"/>
        <v>50.64</v>
      </c>
      <c r="Q121" s="5">
        <f t="shared" si="13"/>
        <v>42.2</v>
      </c>
      <c r="R121" s="5">
        <f t="shared" si="14"/>
        <v>33.760000000000005</v>
      </c>
      <c r="S121" s="5">
        <f t="shared" si="15"/>
        <v>25.32</v>
      </c>
      <c r="T121" s="5">
        <f t="shared" si="16"/>
        <v>16.880000000000003</v>
      </c>
      <c r="U121" s="5">
        <f t="shared" si="17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>M122</f>
        <v>229.14</v>
      </c>
      <c r="I122" s="5">
        <v>150</v>
      </c>
      <c r="M122" s="5">
        <f t="shared" si="9"/>
        <v>229.14</v>
      </c>
      <c r="N122" s="5">
        <f t="shared" si="10"/>
        <v>203.68</v>
      </c>
      <c r="O122" s="5">
        <f t="shared" si="11"/>
        <v>178.22</v>
      </c>
      <c r="P122" s="5">
        <f t="shared" si="12"/>
        <v>152.76</v>
      </c>
      <c r="Q122" s="5">
        <f t="shared" si="13"/>
        <v>127.3</v>
      </c>
      <c r="R122" s="5">
        <f t="shared" si="14"/>
        <v>101.84</v>
      </c>
      <c r="S122" s="5">
        <f t="shared" si="15"/>
        <v>76.38</v>
      </c>
      <c r="T122" s="5">
        <f t="shared" si="16"/>
        <v>50.92</v>
      </c>
      <c r="U122" s="5">
        <f t="shared" si="17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>M123</f>
        <v>386.1</v>
      </c>
      <c r="I123" s="5">
        <v>90</v>
      </c>
      <c r="M123" s="5">
        <f t="shared" si="9"/>
        <v>386.1</v>
      </c>
      <c r="N123" s="5">
        <f t="shared" si="10"/>
        <v>343.20000000000005</v>
      </c>
      <c r="O123" s="5">
        <f t="shared" si="11"/>
        <v>300.29999999999995</v>
      </c>
      <c r="P123" s="5">
        <f t="shared" si="12"/>
        <v>257.39999999999998</v>
      </c>
      <c r="Q123" s="5">
        <f t="shared" si="13"/>
        <v>214.5</v>
      </c>
      <c r="R123" s="5">
        <f t="shared" si="14"/>
        <v>171.60000000000002</v>
      </c>
      <c r="S123" s="5">
        <f t="shared" si="15"/>
        <v>128.69999999999999</v>
      </c>
      <c r="T123" s="5">
        <f t="shared" si="16"/>
        <v>85.800000000000011</v>
      </c>
      <c r="U123" s="5">
        <f t="shared" si="17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>M124</f>
        <v>243.45000000000002</v>
      </c>
      <c r="I124" s="5">
        <v>90</v>
      </c>
      <c r="M124" s="5">
        <f t="shared" si="9"/>
        <v>243.45000000000002</v>
      </c>
      <c r="N124" s="5">
        <f t="shared" si="10"/>
        <v>216.4</v>
      </c>
      <c r="O124" s="5">
        <f t="shared" si="11"/>
        <v>189.35</v>
      </c>
      <c r="P124" s="5">
        <f t="shared" si="12"/>
        <v>162.29999999999998</v>
      </c>
      <c r="Q124" s="5">
        <f t="shared" si="13"/>
        <v>135.25</v>
      </c>
      <c r="R124" s="5">
        <f t="shared" si="14"/>
        <v>108.2</v>
      </c>
      <c r="S124" s="5">
        <f t="shared" si="15"/>
        <v>81.149999999999991</v>
      </c>
      <c r="T124" s="5">
        <f t="shared" si="16"/>
        <v>54.1</v>
      </c>
      <c r="U124" s="5">
        <f t="shared" si="17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>M125</f>
        <v>132.47999999999999</v>
      </c>
      <c r="I125" s="5">
        <v>90</v>
      </c>
      <c r="M125" s="5">
        <f t="shared" si="9"/>
        <v>132.47999999999999</v>
      </c>
      <c r="N125" s="5">
        <f t="shared" si="10"/>
        <v>117.75999999999999</v>
      </c>
      <c r="O125" s="5">
        <f t="shared" si="11"/>
        <v>103.03999999999999</v>
      </c>
      <c r="P125" s="5">
        <f t="shared" si="12"/>
        <v>88.32</v>
      </c>
      <c r="Q125" s="5">
        <f t="shared" si="13"/>
        <v>73.599999999999994</v>
      </c>
      <c r="R125" s="5">
        <f t="shared" si="14"/>
        <v>58.879999999999995</v>
      </c>
      <c r="S125" s="5">
        <f t="shared" si="15"/>
        <v>44.16</v>
      </c>
      <c r="T125" s="5">
        <f t="shared" si="16"/>
        <v>29.439999999999998</v>
      </c>
      <c r="U125" s="5">
        <f t="shared" si="17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>M126</f>
        <v>95.22</v>
      </c>
      <c r="I126" s="5">
        <v>90</v>
      </c>
      <c r="M126" s="5">
        <f t="shared" si="9"/>
        <v>95.22</v>
      </c>
      <c r="N126" s="5">
        <f t="shared" si="10"/>
        <v>84.64</v>
      </c>
      <c r="O126" s="5">
        <f t="shared" si="11"/>
        <v>74.059999999999988</v>
      </c>
      <c r="P126" s="5">
        <f t="shared" si="12"/>
        <v>63.48</v>
      </c>
      <c r="Q126" s="5">
        <f t="shared" si="13"/>
        <v>52.9</v>
      </c>
      <c r="R126" s="5">
        <f t="shared" si="14"/>
        <v>42.32</v>
      </c>
      <c r="S126" s="5">
        <f t="shared" si="15"/>
        <v>31.74</v>
      </c>
      <c r="T126" s="5">
        <f t="shared" si="16"/>
        <v>21.16</v>
      </c>
      <c r="U126" s="5">
        <f t="shared" si="17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>M127</f>
        <v>81.72</v>
      </c>
      <c r="I127" s="5">
        <v>120</v>
      </c>
      <c r="M127" s="5">
        <f t="shared" si="9"/>
        <v>81.72</v>
      </c>
      <c r="N127" s="5">
        <f t="shared" si="10"/>
        <v>72.64</v>
      </c>
      <c r="O127" s="5">
        <f t="shared" si="11"/>
        <v>63.559999999999995</v>
      </c>
      <c r="P127" s="5">
        <f t="shared" si="12"/>
        <v>54.48</v>
      </c>
      <c r="Q127" s="5">
        <f t="shared" si="13"/>
        <v>45.4</v>
      </c>
      <c r="R127" s="5">
        <f t="shared" si="14"/>
        <v>36.32</v>
      </c>
      <c r="S127" s="5">
        <f t="shared" si="15"/>
        <v>27.24</v>
      </c>
      <c r="T127" s="5">
        <f t="shared" si="16"/>
        <v>18.16</v>
      </c>
      <c r="U127" s="5">
        <f t="shared" si="17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>M128</f>
        <v>208.35</v>
      </c>
      <c r="I128" s="5">
        <v>60</v>
      </c>
      <c r="M128" s="5">
        <f t="shared" si="9"/>
        <v>208.35</v>
      </c>
      <c r="N128" s="5">
        <f t="shared" si="10"/>
        <v>185.20000000000002</v>
      </c>
      <c r="O128" s="5">
        <f t="shared" si="11"/>
        <v>162.04999999999998</v>
      </c>
      <c r="P128" s="5">
        <f t="shared" si="12"/>
        <v>138.9</v>
      </c>
      <c r="Q128" s="5">
        <f t="shared" si="13"/>
        <v>115.75</v>
      </c>
      <c r="R128" s="5">
        <f t="shared" si="14"/>
        <v>92.600000000000009</v>
      </c>
      <c r="S128" s="5">
        <f t="shared" si="15"/>
        <v>69.45</v>
      </c>
      <c r="T128" s="5">
        <f t="shared" si="16"/>
        <v>46.300000000000004</v>
      </c>
      <c r="U128" s="5">
        <f t="shared" si="17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>M129</f>
        <v>290.79000000000002</v>
      </c>
      <c r="I129" s="5">
        <v>120</v>
      </c>
      <c r="M129" s="5">
        <f t="shared" si="9"/>
        <v>290.79000000000002</v>
      </c>
      <c r="N129" s="5">
        <f t="shared" si="10"/>
        <v>258.48</v>
      </c>
      <c r="O129" s="5">
        <f t="shared" si="11"/>
        <v>226.17</v>
      </c>
      <c r="P129" s="5">
        <f t="shared" si="12"/>
        <v>193.86</v>
      </c>
      <c r="Q129" s="5">
        <f t="shared" si="13"/>
        <v>161.55000000000001</v>
      </c>
      <c r="R129" s="5">
        <f t="shared" si="14"/>
        <v>129.24</v>
      </c>
      <c r="S129" s="5">
        <f t="shared" si="15"/>
        <v>96.93</v>
      </c>
      <c r="T129" s="5">
        <f t="shared" si="16"/>
        <v>64.62</v>
      </c>
      <c r="U129" s="5">
        <f t="shared" si="17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>M130</f>
        <v>137.25</v>
      </c>
      <c r="I130" s="5">
        <v>90</v>
      </c>
      <c r="M130" s="5">
        <f t="shared" si="9"/>
        <v>137.25</v>
      </c>
      <c r="N130" s="5">
        <f t="shared" si="10"/>
        <v>122</v>
      </c>
      <c r="O130" s="5">
        <f t="shared" si="11"/>
        <v>106.75</v>
      </c>
      <c r="P130" s="5">
        <f t="shared" si="12"/>
        <v>91.5</v>
      </c>
      <c r="Q130" s="5">
        <f t="shared" si="13"/>
        <v>76.25</v>
      </c>
      <c r="R130" s="5">
        <f t="shared" si="14"/>
        <v>61</v>
      </c>
      <c r="S130" s="5">
        <f t="shared" si="15"/>
        <v>45.75</v>
      </c>
      <c r="T130" s="5">
        <f t="shared" si="16"/>
        <v>30.5</v>
      </c>
      <c r="U130" s="5">
        <f t="shared" si="17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>M131</f>
        <v>11</v>
      </c>
      <c r="I131" s="5">
        <v>90</v>
      </c>
      <c r="M131" s="5">
        <f t="shared" ref="M131:M194" si="18">IF($G131&gt;=50, $G131*0.9,$G131)</f>
        <v>11</v>
      </c>
      <c r="N131" s="5">
        <f t="shared" ref="N131:N194" si="19">IF($G131&gt;=50, $G131*0.8,$G131)</f>
        <v>11</v>
      </c>
      <c r="O131" s="5">
        <f t="shared" ref="O131:O194" si="20">IF($G131&gt;=50, $G131*0.7,$G131)</f>
        <v>11</v>
      </c>
      <c r="P131" s="5">
        <f t="shared" ref="P131:P194" si="21">IF($G131&gt;=50, $G131*0.6,$G131)</f>
        <v>11</v>
      </c>
      <c r="Q131" s="5">
        <f t="shared" ref="Q131:Q194" si="22">IF($G131&gt;=50, $G131*0.5,$G131)</f>
        <v>11</v>
      </c>
      <c r="R131" s="5">
        <f t="shared" ref="R131:R194" si="23">IF($G131&gt;=50, $G131*0.4,$G131)</f>
        <v>11</v>
      </c>
      <c r="S131" s="5">
        <f t="shared" ref="S131:S194" si="24">IF($G131&gt;=50, $G131*0.3,$G131)</f>
        <v>11</v>
      </c>
      <c r="T131" s="5">
        <f t="shared" ref="T131:T194" si="25">IF($G131&gt;=50, $G131*0.2,$G131)</f>
        <v>11</v>
      </c>
      <c r="U131" s="5">
        <f t="shared" ref="U131:U194" si="26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>M132</f>
        <v>167.76000000000002</v>
      </c>
      <c r="I132" s="5">
        <v>90</v>
      </c>
      <c r="M132" s="5">
        <f t="shared" si="18"/>
        <v>167.76000000000002</v>
      </c>
      <c r="N132" s="5">
        <f t="shared" si="19"/>
        <v>149.12</v>
      </c>
      <c r="O132" s="5">
        <f t="shared" si="20"/>
        <v>130.47999999999999</v>
      </c>
      <c r="P132" s="5">
        <f t="shared" si="21"/>
        <v>111.84</v>
      </c>
      <c r="Q132" s="5">
        <f t="shared" si="22"/>
        <v>93.2</v>
      </c>
      <c r="R132" s="5">
        <f t="shared" si="23"/>
        <v>74.56</v>
      </c>
      <c r="S132" s="5">
        <f t="shared" si="24"/>
        <v>55.92</v>
      </c>
      <c r="T132" s="5">
        <f t="shared" si="25"/>
        <v>37.28</v>
      </c>
      <c r="U132" s="5">
        <f t="shared" si="26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>M133</f>
        <v>136.17000000000002</v>
      </c>
      <c r="I133" s="5">
        <v>120</v>
      </c>
      <c r="M133" s="5">
        <f t="shared" si="18"/>
        <v>136.17000000000002</v>
      </c>
      <c r="N133" s="5">
        <f t="shared" si="19"/>
        <v>121.04000000000002</v>
      </c>
      <c r="O133" s="5">
        <f t="shared" si="20"/>
        <v>105.91</v>
      </c>
      <c r="P133" s="5">
        <f t="shared" si="21"/>
        <v>90.78</v>
      </c>
      <c r="Q133" s="5">
        <f t="shared" si="22"/>
        <v>75.650000000000006</v>
      </c>
      <c r="R133" s="5">
        <f t="shared" si="23"/>
        <v>60.52000000000001</v>
      </c>
      <c r="S133" s="5">
        <f t="shared" si="24"/>
        <v>45.39</v>
      </c>
      <c r="T133" s="5">
        <f t="shared" si="25"/>
        <v>30.260000000000005</v>
      </c>
      <c r="U133" s="5">
        <f t="shared" si="26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>M134</f>
        <v>78.48</v>
      </c>
      <c r="I134" s="5">
        <v>120</v>
      </c>
      <c r="M134" s="5">
        <f t="shared" si="18"/>
        <v>78.48</v>
      </c>
      <c r="N134" s="5">
        <f t="shared" si="19"/>
        <v>69.760000000000005</v>
      </c>
      <c r="O134" s="5">
        <f t="shared" si="20"/>
        <v>61.04</v>
      </c>
      <c r="P134" s="5">
        <f t="shared" si="21"/>
        <v>52.32</v>
      </c>
      <c r="Q134" s="5">
        <f t="shared" si="22"/>
        <v>43.6</v>
      </c>
      <c r="R134" s="5">
        <f t="shared" si="23"/>
        <v>34.880000000000003</v>
      </c>
      <c r="S134" s="5">
        <f t="shared" si="24"/>
        <v>26.16</v>
      </c>
      <c r="T134" s="5">
        <f t="shared" si="25"/>
        <v>17.440000000000001</v>
      </c>
      <c r="U134" s="5">
        <f t="shared" si="26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>M135</f>
        <v>725.76</v>
      </c>
      <c r="I135" s="5">
        <v>120</v>
      </c>
      <c r="M135" s="5">
        <f t="shared" si="18"/>
        <v>725.76</v>
      </c>
      <c r="N135" s="5">
        <f t="shared" si="19"/>
        <v>645.12</v>
      </c>
      <c r="O135" s="5">
        <f t="shared" si="20"/>
        <v>564.4799999999999</v>
      </c>
      <c r="P135" s="5">
        <f t="shared" si="21"/>
        <v>483.84</v>
      </c>
      <c r="Q135" s="5">
        <f t="shared" si="22"/>
        <v>403.2</v>
      </c>
      <c r="R135" s="5">
        <f t="shared" si="23"/>
        <v>322.56</v>
      </c>
      <c r="S135" s="5">
        <f t="shared" si="24"/>
        <v>241.92</v>
      </c>
      <c r="T135" s="5">
        <f t="shared" si="25"/>
        <v>161.28</v>
      </c>
      <c r="U135" s="5">
        <f t="shared" si="26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>M136</f>
        <v>251.01</v>
      </c>
      <c r="I136" s="5">
        <v>120</v>
      </c>
      <c r="M136" s="5">
        <f t="shared" si="18"/>
        <v>251.01</v>
      </c>
      <c r="N136" s="5">
        <f t="shared" si="19"/>
        <v>223.12</v>
      </c>
      <c r="O136" s="5">
        <f t="shared" si="20"/>
        <v>195.22999999999996</v>
      </c>
      <c r="P136" s="5">
        <f t="shared" si="21"/>
        <v>167.33999999999997</v>
      </c>
      <c r="Q136" s="5">
        <f t="shared" si="22"/>
        <v>139.44999999999999</v>
      </c>
      <c r="R136" s="5">
        <f t="shared" si="23"/>
        <v>111.56</v>
      </c>
      <c r="S136" s="5">
        <f t="shared" si="24"/>
        <v>83.669999999999987</v>
      </c>
      <c r="T136" s="5">
        <f t="shared" si="25"/>
        <v>55.78</v>
      </c>
      <c r="U136" s="5">
        <f t="shared" si="26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>M137</f>
        <v>300.24</v>
      </c>
      <c r="I137" s="5">
        <v>120</v>
      </c>
      <c r="M137" s="5">
        <f t="shared" si="18"/>
        <v>300.24</v>
      </c>
      <c r="N137" s="5">
        <f t="shared" si="19"/>
        <v>266.88000000000005</v>
      </c>
      <c r="O137" s="5">
        <f t="shared" si="20"/>
        <v>233.52</v>
      </c>
      <c r="P137" s="5">
        <f t="shared" si="21"/>
        <v>200.16</v>
      </c>
      <c r="Q137" s="5">
        <f t="shared" si="22"/>
        <v>166.8</v>
      </c>
      <c r="R137" s="5">
        <f t="shared" si="23"/>
        <v>133.44000000000003</v>
      </c>
      <c r="S137" s="5">
        <f t="shared" si="24"/>
        <v>100.08</v>
      </c>
      <c r="T137" s="5">
        <f t="shared" si="25"/>
        <v>66.720000000000013</v>
      </c>
      <c r="U137" s="5">
        <f t="shared" si="26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>M138</f>
        <v>377.82</v>
      </c>
      <c r="I138" s="5">
        <v>90</v>
      </c>
      <c r="M138" s="5">
        <f t="shared" si="18"/>
        <v>377.82</v>
      </c>
      <c r="N138" s="5">
        <f t="shared" si="19"/>
        <v>335.84000000000003</v>
      </c>
      <c r="O138" s="5">
        <f t="shared" si="20"/>
        <v>293.86</v>
      </c>
      <c r="P138" s="5">
        <f t="shared" si="21"/>
        <v>251.88</v>
      </c>
      <c r="Q138" s="5">
        <f t="shared" si="22"/>
        <v>209.9</v>
      </c>
      <c r="R138" s="5">
        <f t="shared" si="23"/>
        <v>167.92000000000002</v>
      </c>
      <c r="S138" s="5">
        <f t="shared" si="24"/>
        <v>125.94</v>
      </c>
      <c r="T138" s="5">
        <f t="shared" si="25"/>
        <v>83.960000000000008</v>
      </c>
      <c r="U138" s="5">
        <f t="shared" si="26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>M139</f>
        <v>84.06</v>
      </c>
      <c r="I139" s="5">
        <v>120</v>
      </c>
      <c r="M139" s="5">
        <f t="shared" si="18"/>
        <v>84.06</v>
      </c>
      <c r="N139" s="5">
        <f t="shared" si="19"/>
        <v>74.720000000000013</v>
      </c>
      <c r="O139" s="5">
        <f t="shared" si="20"/>
        <v>65.38</v>
      </c>
      <c r="P139" s="5">
        <f t="shared" si="21"/>
        <v>56.04</v>
      </c>
      <c r="Q139" s="5">
        <f t="shared" si="22"/>
        <v>46.7</v>
      </c>
      <c r="R139" s="5">
        <f t="shared" si="23"/>
        <v>37.360000000000007</v>
      </c>
      <c r="S139" s="5">
        <f t="shared" si="24"/>
        <v>28.02</v>
      </c>
      <c r="T139" s="5">
        <f t="shared" si="25"/>
        <v>18.680000000000003</v>
      </c>
      <c r="U139" s="5">
        <f t="shared" si="26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>M140</f>
        <v>106.02</v>
      </c>
      <c r="I140" s="5">
        <v>180</v>
      </c>
      <c r="M140" s="5">
        <f t="shared" si="18"/>
        <v>106.02</v>
      </c>
      <c r="N140" s="5">
        <f t="shared" si="19"/>
        <v>94.240000000000009</v>
      </c>
      <c r="O140" s="5">
        <f t="shared" si="20"/>
        <v>82.46</v>
      </c>
      <c r="P140" s="5">
        <f t="shared" si="21"/>
        <v>70.679999999999993</v>
      </c>
      <c r="Q140" s="5">
        <f t="shared" si="22"/>
        <v>58.9</v>
      </c>
      <c r="R140" s="5">
        <f t="shared" si="23"/>
        <v>47.120000000000005</v>
      </c>
      <c r="S140" s="5">
        <f t="shared" si="24"/>
        <v>35.339999999999996</v>
      </c>
      <c r="T140" s="5">
        <f t="shared" si="25"/>
        <v>23.560000000000002</v>
      </c>
      <c r="U140" s="5">
        <f t="shared" si="26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>M141</f>
        <v>255.6</v>
      </c>
      <c r="I141" s="5">
        <v>150</v>
      </c>
      <c r="M141" s="5">
        <f t="shared" si="18"/>
        <v>255.6</v>
      </c>
      <c r="N141" s="5">
        <f t="shared" si="19"/>
        <v>227.20000000000002</v>
      </c>
      <c r="O141" s="5">
        <f t="shared" si="20"/>
        <v>198.79999999999998</v>
      </c>
      <c r="P141" s="5">
        <f t="shared" si="21"/>
        <v>170.4</v>
      </c>
      <c r="Q141" s="5">
        <f t="shared" si="22"/>
        <v>142</v>
      </c>
      <c r="R141" s="5">
        <f t="shared" si="23"/>
        <v>113.60000000000001</v>
      </c>
      <c r="S141" s="5">
        <f t="shared" si="24"/>
        <v>85.2</v>
      </c>
      <c r="T141" s="5">
        <f t="shared" si="25"/>
        <v>56.800000000000004</v>
      </c>
      <c r="U141" s="5">
        <f t="shared" si="26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>M142</f>
        <v>1</v>
      </c>
      <c r="I142" s="5">
        <v>150</v>
      </c>
      <c r="M142" s="5">
        <f t="shared" si="18"/>
        <v>1</v>
      </c>
      <c r="N142" s="5">
        <f t="shared" si="19"/>
        <v>1</v>
      </c>
      <c r="O142" s="5">
        <f t="shared" si="20"/>
        <v>1</v>
      </c>
      <c r="P142" s="5">
        <f t="shared" si="21"/>
        <v>1</v>
      </c>
      <c r="Q142" s="5">
        <f t="shared" si="22"/>
        <v>1</v>
      </c>
      <c r="R142" s="5">
        <f t="shared" si="23"/>
        <v>1</v>
      </c>
      <c r="S142" s="5">
        <f t="shared" si="24"/>
        <v>1</v>
      </c>
      <c r="T142" s="5">
        <f t="shared" si="25"/>
        <v>1</v>
      </c>
      <c r="U142" s="5">
        <f t="shared" si="26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>M143</f>
        <v>231.39000000000001</v>
      </c>
      <c r="I143" s="5">
        <v>90</v>
      </c>
      <c r="M143" s="5">
        <f t="shared" si="18"/>
        <v>231.39000000000001</v>
      </c>
      <c r="N143" s="5">
        <f t="shared" si="19"/>
        <v>205.68000000000004</v>
      </c>
      <c r="O143" s="5">
        <f t="shared" si="20"/>
        <v>179.97</v>
      </c>
      <c r="P143" s="5">
        <f t="shared" si="21"/>
        <v>154.26000000000002</v>
      </c>
      <c r="Q143" s="5">
        <f t="shared" si="22"/>
        <v>128.55000000000001</v>
      </c>
      <c r="R143" s="5">
        <f t="shared" si="23"/>
        <v>102.84000000000002</v>
      </c>
      <c r="S143" s="5">
        <f t="shared" si="24"/>
        <v>77.13000000000001</v>
      </c>
      <c r="T143" s="5">
        <f t="shared" si="25"/>
        <v>51.420000000000009</v>
      </c>
      <c r="U143" s="5">
        <f t="shared" si="26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>M144</f>
        <v>169.29</v>
      </c>
      <c r="I144" s="5">
        <v>120</v>
      </c>
      <c r="M144" s="5">
        <f t="shared" si="18"/>
        <v>169.29</v>
      </c>
      <c r="N144" s="5">
        <f t="shared" si="19"/>
        <v>150.47999999999999</v>
      </c>
      <c r="O144" s="5">
        <f t="shared" si="20"/>
        <v>131.66999999999999</v>
      </c>
      <c r="P144" s="5">
        <f t="shared" si="21"/>
        <v>112.86</v>
      </c>
      <c r="Q144" s="5">
        <f t="shared" si="22"/>
        <v>94.05</v>
      </c>
      <c r="R144" s="5">
        <f t="shared" si="23"/>
        <v>75.239999999999995</v>
      </c>
      <c r="S144" s="5">
        <f t="shared" si="24"/>
        <v>56.43</v>
      </c>
      <c r="T144" s="5">
        <f t="shared" si="25"/>
        <v>37.619999999999997</v>
      </c>
      <c r="U144" s="5">
        <f t="shared" si="26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>M145</f>
        <v>224.19</v>
      </c>
      <c r="I145" s="5">
        <v>120</v>
      </c>
      <c r="M145" s="5">
        <f t="shared" si="18"/>
        <v>224.19</v>
      </c>
      <c r="N145" s="5">
        <f t="shared" si="19"/>
        <v>199.28</v>
      </c>
      <c r="O145" s="5">
        <f t="shared" si="20"/>
        <v>174.36999999999998</v>
      </c>
      <c r="P145" s="5">
        <f t="shared" si="21"/>
        <v>149.45999999999998</v>
      </c>
      <c r="Q145" s="5">
        <f t="shared" si="22"/>
        <v>124.55</v>
      </c>
      <c r="R145" s="5">
        <f t="shared" si="23"/>
        <v>99.64</v>
      </c>
      <c r="S145" s="5">
        <f t="shared" si="24"/>
        <v>74.72999999999999</v>
      </c>
      <c r="T145" s="5">
        <f t="shared" si="25"/>
        <v>49.82</v>
      </c>
      <c r="U145" s="5">
        <f t="shared" si="26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>M146</f>
        <v>145.53</v>
      </c>
      <c r="I146" s="5">
        <v>90</v>
      </c>
      <c r="M146" s="5">
        <f t="shared" si="18"/>
        <v>145.53</v>
      </c>
      <c r="N146" s="5">
        <f t="shared" si="19"/>
        <v>129.35999999999999</v>
      </c>
      <c r="O146" s="5">
        <f t="shared" si="20"/>
        <v>113.18999999999998</v>
      </c>
      <c r="P146" s="5">
        <f t="shared" si="21"/>
        <v>97.02</v>
      </c>
      <c r="Q146" s="5">
        <f t="shared" si="22"/>
        <v>80.849999999999994</v>
      </c>
      <c r="R146" s="5">
        <f t="shared" si="23"/>
        <v>64.679999999999993</v>
      </c>
      <c r="S146" s="5">
        <f t="shared" si="24"/>
        <v>48.51</v>
      </c>
      <c r="T146" s="5">
        <f t="shared" si="25"/>
        <v>32.339999999999996</v>
      </c>
      <c r="U146" s="5">
        <f t="shared" si="26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>M147</f>
        <v>203.4</v>
      </c>
      <c r="I147" s="5">
        <v>90</v>
      </c>
      <c r="M147" s="5">
        <f t="shared" si="18"/>
        <v>203.4</v>
      </c>
      <c r="N147" s="5">
        <f t="shared" si="19"/>
        <v>180.8</v>
      </c>
      <c r="O147" s="5">
        <f t="shared" si="20"/>
        <v>158.19999999999999</v>
      </c>
      <c r="P147" s="5">
        <f t="shared" si="21"/>
        <v>135.6</v>
      </c>
      <c r="Q147" s="5">
        <f t="shared" si="22"/>
        <v>113</v>
      </c>
      <c r="R147" s="5">
        <f t="shared" si="23"/>
        <v>90.4</v>
      </c>
      <c r="S147" s="5">
        <f t="shared" si="24"/>
        <v>67.8</v>
      </c>
      <c r="T147" s="5">
        <f t="shared" si="25"/>
        <v>45.2</v>
      </c>
      <c r="U147" s="5">
        <f t="shared" si="26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>M148</f>
        <v>240.48</v>
      </c>
      <c r="I148" s="5">
        <v>120</v>
      </c>
      <c r="M148" s="5">
        <f t="shared" si="18"/>
        <v>240.48</v>
      </c>
      <c r="N148" s="5">
        <f t="shared" si="19"/>
        <v>213.76</v>
      </c>
      <c r="O148" s="5">
        <f t="shared" si="20"/>
        <v>187.04</v>
      </c>
      <c r="P148" s="5">
        <f t="shared" si="21"/>
        <v>160.32</v>
      </c>
      <c r="Q148" s="5">
        <f t="shared" si="22"/>
        <v>133.6</v>
      </c>
      <c r="R148" s="5">
        <f t="shared" si="23"/>
        <v>106.88</v>
      </c>
      <c r="S148" s="5">
        <f t="shared" si="24"/>
        <v>80.16</v>
      </c>
      <c r="T148" s="5">
        <f t="shared" si="25"/>
        <v>53.44</v>
      </c>
      <c r="U148" s="5">
        <f t="shared" si="26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>M149</f>
        <v>181.26000000000002</v>
      </c>
      <c r="I149" s="5">
        <v>120</v>
      </c>
      <c r="M149" s="5">
        <f t="shared" si="18"/>
        <v>181.26000000000002</v>
      </c>
      <c r="N149" s="5">
        <f t="shared" si="19"/>
        <v>161.12</v>
      </c>
      <c r="O149" s="5">
        <f t="shared" si="20"/>
        <v>140.97999999999999</v>
      </c>
      <c r="P149" s="5">
        <f t="shared" si="21"/>
        <v>120.84</v>
      </c>
      <c r="Q149" s="5">
        <f t="shared" si="22"/>
        <v>100.7</v>
      </c>
      <c r="R149" s="5">
        <f t="shared" si="23"/>
        <v>80.56</v>
      </c>
      <c r="S149" s="5">
        <f t="shared" si="24"/>
        <v>60.42</v>
      </c>
      <c r="T149" s="5">
        <f t="shared" si="25"/>
        <v>40.28</v>
      </c>
      <c r="U149" s="5">
        <f t="shared" si="26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>M150</f>
        <v>1</v>
      </c>
      <c r="I150" s="5">
        <v>60</v>
      </c>
      <c r="M150" s="5">
        <f t="shared" si="18"/>
        <v>1</v>
      </c>
      <c r="N150" s="5">
        <f t="shared" si="19"/>
        <v>1</v>
      </c>
      <c r="O150" s="5">
        <f t="shared" si="20"/>
        <v>1</v>
      </c>
      <c r="P150" s="5">
        <f t="shared" si="21"/>
        <v>1</v>
      </c>
      <c r="Q150" s="5">
        <f t="shared" si="22"/>
        <v>1</v>
      </c>
      <c r="R150" s="5">
        <f t="shared" si="23"/>
        <v>1</v>
      </c>
      <c r="S150" s="5">
        <f t="shared" si="24"/>
        <v>1</v>
      </c>
      <c r="T150" s="5">
        <f t="shared" si="25"/>
        <v>1</v>
      </c>
      <c r="U150" s="5">
        <f t="shared" si="26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>M151</f>
        <v>236.79000000000002</v>
      </c>
      <c r="I151" s="5">
        <v>90</v>
      </c>
      <c r="M151" s="5">
        <f t="shared" si="18"/>
        <v>236.79000000000002</v>
      </c>
      <c r="N151" s="5">
        <f t="shared" si="19"/>
        <v>210.48000000000002</v>
      </c>
      <c r="O151" s="5">
        <f t="shared" si="20"/>
        <v>184.17000000000002</v>
      </c>
      <c r="P151" s="5">
        <f t="shared" si="21"/>
        <v>157.86000000000001</v>
      </c>
      <c r="Q151" s="5">
        <f t="shared" si="22"/>
        <v>131.55000000000001</v>
      </c>
      <c r="R151" s="5">
        <f t="shared" si="23"/>
        <v>105.24000000000001</v>
      </c>
      <c r="S151" s="5">
        <f t="shared" si="24"/>
        <v>78.930000000000007</v>
      </c>
      <c r="T151" s="5">
        <f t="shared" si="25"/>
        <v>52.620000000000005</v>
      </c>
      <c r="U151" s="5">
        <f t="shared" si="26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>M152</f>
        <v>100.26</v>
      </c>
      <c r="I152" s="5">
        <v>120</v>
      </c>
      <c r="M152" s="5">
        <f t="shared" si="18"/>
        <v>100.26</v>
      </c>
      <c r="N152" s="5">
        <f t="shared" si="19"/>
        <v>89.12</v>
      </c>
      <c r="O152" s="5">
        <f t="shared" si="20"/>
        <v>77.98</v>
      </c>
      <c r="P152" s="5">
        <f t="shared" si="21"/>
        <v>66.84</v>
      </c>
      <c r="Q152" s="5">
        <f t="shared" si="22"/>
        <v>55.7</v>
      </c>
      <c r="R152" s="5">
        <f t="shared" si="23"/>
        <v>44.56</v>
      </c>
      <c r="S152" s="5">
        <f t="shared" si="24"/>
        <v>33.42</v>
      </c>
      <c r="T152" s="5">
        <f t="shared" si="25"/>
        <v>22.28</v>
      </c>
      <c r="U152" s="5">
        <f t="shared" si="26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>M153</f>
        <v>184.32000000000002</v>
      </c>
      <c r="I153" s="5">
        <v>150</v>
      </c>
      <c r="M153" s="5">
        <f t="shared" si="18"/>
        <v>184.32000000000002</v>
      </c>
      <c r="N153" s="5">
        <f t="shared" si="19"/>
        <v>163.84000000000003</v>
      </c>
      <c r="O153" s="5">
        <f t="shared" si="20"/>
        <v>143.35999999999999</v>
      </c>
      <c r="P153" s="5">
        <f t="shared" si="21"/>
        <v>122.88</v>
      </c>
      <c r="Q153" s="5">
        <f t="shared" si="22"/>
        <v>102.4</v>
      </c>
      <c r="R153" s="5">
        <f t="shared" si="23"/>
        <v>81.920000000000016</v>
      </c>
      <c r="S153" s="5">
        <f t="shared" si="24"/>
        <v>61.44</v>
      </c>
      <c r="T153" s="5">
        <f t="shared" si="25"/>
        <v>40.960000000000008</v>
      </c>
      <c r="U153" s="5">
        <f t="shared" si="26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>M154</f>
        <v>82.350000000000009</v>
      </c>
      <c r="I154" s="5">
        <v>90</v>
      </c>
      <c r="M154" s="5">
        <f t="shared" si="18"/>
        <v>82.350000000000009</v>
      </c>
      <c r="N154" s="5">
        <f t="shared" si="19"/>
        <v>73.2</v>
      </c>
      <c r="O154" s="5">
        <f t="shared" si="20"/>
        <v>64.05</v>
      </c>
      <c r="P154" s="5">
        <f t="shared" si="21"/>
        <v>54.9</v>
      </c>
      <c r="Q154" s="5">
        <f t="shared" si="22"/>
        <v>45.75</v>
      </c>
      <c r="R154" s="5">
        <f t="shared" si="23"/>
        <v>36.6</v>
      </c>
      <c r="S154" s="5">
        <f t="shared" si="24"/>
        <v>27.45</v>
      </c>
      <c r="T154" s="5">
        <f t="shared" si="25"/>
        <v>18.3</v>
      </c>
      <c r="U154" s="5">
        <f t="shared" si="26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>M155</f>
        <v>135</v>
      </c>
      <c r="I155" s="5">
        <v>90</v>
      </c>
      <c r="M155" s="5">
        <f t="shared" si="18"/>
        <v>135</v>
      </c>
      <c r="N155" s="5">
        <f t="shared" si="19"/>
        <v>120</v>
      </c>
      <c r="O155" s="5">
        <f t="shared" si="20"/>
        <v>105</v>
      </c>
      <c r="P155" s="5">
        <f t="shared" si="21"/>
        <v>90</v>
      </c>
      <c r="Q155" s="5">
        <f t="shared" si="22"/>
        <v>75</v>
      </c>
      <c r="R155" s="5">
        <f t="shared" si="23"/>
        <v>60</v>
      </c>
      <c r="S155" s="5">
        <f t="shared" si="24"/>
        <v>45</v>
      </c>
      <c r="T155" s="5">
        <f t="shared" si="25"/>
        <v>30</v>
      </c>
      <c r="U155" s="5">
        <f t="shared" si="26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>M156</f>
        <v>100.62</v>
      </c>
      <c r="I156" s="5">
        <v>90</v>
      </c>
      <c r="M156" s="5">
        <f t="shared" si="18"/>
        <v>100.62</v>
      </c>
      <c r="N156" s="5">
        <f t="shared" si="19"/>
        <v>89.44</v>
      </c>
      <c r="O156" s="5">
        <f t="shared" si="20"/>
        <v>78.259999999999991</v>
      </c>
      <c r="P156" s="5">
        <f t="shared" si="21"/>
        <v>67.08</v>
      </c>
      <c r="Q156" s="5">
        <f t="shared" si="22"/>
        <v>55.9</v>
      </c>
      <c r="R156" s="5">
        <f t="shared" si="23"/>
        <v>44.72</v>
      </c>
      <c r="S156" s="5">
        <f t="shared" si="24"/>
        <v>33.54</v>
      </c>
      <c r="T156" s="5">
        <f t="shared" si="25"/>
        <v>22.36</v>
      </c>
      <c r="U156" s="5">
        <f t="shared" si="26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>M157</f>
        <v>72.900000000000006</v>
      </c>
      <c r="I157" s="5">
        <v>90</v>
      </c>
      <c r="M157" s="5">
        <f t="shared" si="18"/>
        <v>72.900000000000006</v>
      </c>
      <c r="N157" s="5">
        <f t="shared" si="19"/>
        <v>64.8</v>
      </c>
      <c r="O157" s="5">
        <f t="shared" si="20"/>
        <v>56.699999999999996</v>
      </c>
      <c r="P157" s="5">
        <f t="shared" si="21"/>
        <v>48.6</v>
      </c>
      <c r="Q157" s="5">
        <f t="shared" si="22"/>
        <v>40.5</v>
      </c>
      <c r="R157" s="5">
        <f t="shared" si="23"/>
        <v>32.4</v>
      </c>
      <c r="S157" s="5">
        <f t="shared" si="24"/>
        <v>24.3</v>
      </c>
      <c r="T157" s="5">
        <f t="shared" si="25"/>
        <v>16.2</v>
      </c>
      <c r="U157" s="5">
        <f t="shared" si="26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>M158</f>
        <v>1</v>
      </c>
      <c r="I158" s="5">
        <v>120</v>
      </c>
      <c r="M158" s="5">
        <f t="shared" si="18"/>
        <v>1</v>
      </c>
      <c r="N158" s="5">
        <f t="shared" si="19"/>
        <v>1</v>
      </c>
      <c r="O158" s="5">
        <f t="shared" si="20"/>
        <v>1</v>
      </c>
      <c r="P158" s="5">
        <f t="shared" si="21"/>
        <v>1</v>
      </c>
      <c r="Q158" s="5">
        <f t="shared" si="22"/>
        <v>1</v>
      </c>
      <c r="R158" s="5">
        <f t="shared" si="23"/>
        <v>1</v>
      </c>
      <c r="S158" s="5">
        <f t="shared" si="24"/>
        <v>1</v>
      </c>
      <c r="T158" s="5">
        <f t="shared" si="25"/>
        <v>1</v>
      </c>
      <c r="U158" s="5">
        <f t="shared" si="26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>M159</f>
        <v>147.96</v>
      </c>
      <c r="I159" s="5">
        <v>90</v>
      </c>
      <c r="M159" s="5">
        <f t="shared" si="18"/>
        <v>147.96</v>
      </c>
      <c r="N159" s="5">
        <f t="shared" si="19"/>
        <v>131.52000000000001</v>
      </c>
      <c r="O159" s="5">
        <f t="shared" si="20"/>
        <v>115.08</v>
      </c>
      <c r="P159" s="5">
        <f t="shared" si="21"/>
        <v>98.64</v>
      </c>
      <c r="Q159" s="5">
        <f t="shared" si="22"/>
        <v>82.2</v>
      </c>
      <c r="R159" s="5">
        <f t="shared" si="23"/>
        <v>65.760000000000005</v>
      </c>
      <c r="S159" s="5">
        <f t="shared" si="24"/>
        <v>49.32</v>
      </c>
      <c r="T159" s="5">
        <f t="shared" si="25"/>
        <v>32.880000000000003</v>
      </c>
      <c r="U159" s="5">
        <f t="shared" si="26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>M160</f>
        <v>80.010000000000005</v>
      </c>
      <c r="I160" s="5">
        <v>90</v>
      </c>
      <c r="M160" s="5">
        <f t="shared" si="18"/>
        <v>80.010000000000005</v>
      </c>
      <c r="N160" s="5">
        <f t="shared" si="19"/>
        <v>71.12</v>
      </c>
      <c r="O160" s="5">
        <f t="shared" si="20"/>
        <v>62.23</v>
      </c>
      <c r="P160" s="5">
        <f t="shared" si="21"/>
        <v>53.34</v>
      </c>
      <c r="Q160" s="5">
        <f t="shared" si="22"/>
        <v>44.45</v>
      </c>
      <c r="R160" s="5">
        <f t="shared" si="23"/>
        <v>35.56</v>
      </c>
      <c r="S160" s="5">
        <f t="shared" si="24"/>
        <v>26.67</v>
      </c>
      <c r="T160" s="5">
        <f t="shared" si="25"/>
        <v>17.78</v>
      </c>
      <c r="U160" s="5">
        <f t="shared" si="26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>M161</f>
        <v>1</v>
      </c>
      <c r="I161" s="5">
        <v>90</v>
      </c>
      <c r="M161" s="5">
        <f t="shared" si="18"/>
        <v>1</v>
      </c>
      <c r="N161" s="5">
        <f t="shared" si="19"/>
        <v>1</v>
      </c>
      <c r="O161" s="5">
        <f t="shared" si="20"/>
        <v>1</v>
      </c>
      <c r="P161" s="5">
        <f t="shared" si="21"/>
        <v>1</v>
      </c>
      <c r="Q161" s="5">
        <f t="shared" si="22"/>
        <v>1</v>
      </c>
      <c r="R161" s="5">
        <f t="shared" si="23"/>
        <v>1</v>
      </c>
      <c r="S161" s="5">
        <f t="shared" si="24"/>
        <v>1</v>
      </c>
      <c r="T161" s="5">
        <f t="shared" si="25"/>
        <v>1</v>
      </c>
      <c r="U161" s="5">
        <f t="shared" si="26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>M162</f>
        <v>1</v>
      </c>
      <c r="I162" s="5">
        <v>90</v>
      </c>
      <c r="M162" s="5">
        <f t="shared" si="18"/>
        <v>1</v>
      </c>
      <c r="N162" s="5">
        <f t="shared" si="19"/>
        <v>1</v>
      </c>
      <c r="O162" s="5">
        <f t="shared" si="20"/>
        <v>1</v>
      </c>
      <c r="P162" s="5">
        <f t="shared" si="21"/>
        <v>1</v>
      </c>
      <c r="Q162" s="5">
        <f t="shared" si="22"/>
        <v>1</v>
      </c>
      <c r="R162" s="5">
        <f t="shared" si="23"/>
        <v>1</v>
      </c>
      <c r="S162" s="5">
        <f t="shared" si="24"/>
        <v>1</v>
      </c>
      <c r="T162" s="5">
        <f t="shared" si="25"/>
        <v>1</v>
      </c>
      <c r="U162" s="5">
        <f t="shared" si="26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>M163</f>
        <v>243.99000000000004</v>
      </c>
      <c r="I163" s="5">
        <v>60</v>
      </c>
      <c r="M163" s="5">
        <f t="shared" si="18"/>
        <v>243.99000000000004</v>
      </c>
      <c r="N163" s="5">
        <f t="shared" si="19"/>
        <v>216.88000000000002</v>
      </c>
      <c r="O163" s="5">
        <f t="shared" si="20"/>
        <v>189.77</v>
      </c>
      <c r="P163" s="5">
        <f t="shared" si="21"/>
        <v>162.66</v>
      </c>
      <c r="Q163" s="5">
        <f t="shared" si="22"/>
        <v>135.55000000000001</v>
      </c>
      <c r="R163" s="5">
        <f t="shared" si="23"/>
        <v>108.44000000000001</v>
      </c>
      <c r="S163" s="5">
        <f t="shared" si="24"/>
        <v>81.33</v>
      </c>
      <c r="T163" s="5">
        <f t="shared" si="25"/>
        <v>54.220000000000006</v>
      </c>
      <c r="U163" s="5">
        <f t="shared" si="26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>M164</f>
        <v>72</v>
      </c>
      <c r="I164" s="5">
        <v>90</v>
      </c>
      <c r="M164" s="5">
        <f t="shared" si="18"/>
        <v>72</v>
      </c>
      <c r="N164" s="5">
        <f t="shared" si="19"/>
        <v>64</v>
      </c>
      <c r="O164" s="5">
        <f t="shared" si="20"/>
        <v>56</v>
      </c>
      <c r="P164" s="5">
        <f t="shared" si="21"/>
        <v>48</v>
      </c>
      <c r="Q164" s="5">
        <f t="shared" si="22"/>
        <v>40</v>
      </c>
      <c r="R164" s="5">
        <f t="shared" si="23"/>
        <v>32</v>
      </c>
      <c r="S164" s="5">
        <f t="shared" si="24"/>
        <v>24</v>
      </c>
      <c r="T164" s="5">
        <f t="shared" si="25"/>
        <v>16</v>
      </c>
      <c r="U164" s="5">
        <f t="shared" si="26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>M165</f>
        <v>140.13</v>
      </c>
      <c r="I165" s="5">
        <v>120</v>
      </c>
      <c r="M165" s="5">
        <f t="shared" si="18"/>
        <v>140.13</v>
      </c>
      <c r="N165" s="5">
        <f t="shared" si="19"/>
        <v>124.56</v>
      </c>
      <c r="O165" s="5">
        <f t="shared" si="20"/>
        <v>108.98999999999998</v>
      </c>
      <c r="P165" s="5">
        <f t="shared" si="21"/>
        <v>93.419999999999987</v>
      </c>
      <c r="Q165" s="5">
        <f t="shared" si="22"/>
        <v>77.849999999999994</v>
      </c>
      <c r="R165" s="5">
        <f t="shared" si="23"/>
        <v>62.28</v>
      </c>
      <c r="S165" s="5">
        <f t="shared" si="24"/>
        <v>46.709999999999994</v>
      </c>
      <c r="T165" s="5">
        <f t="shared" si="25"/>
        <v>31.14</v>
      </c>
      <c r="U165" s="5">
        <f t="shared" si="26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>M166</f>
        <v>254.07000000000002</v>
      </c>
      <c r="I166" s="5">
        <v>90</v>
      </c>
      <c r="M166" s="5">
        <f t="shared" si="18"/>
        <v>254.07000000000002</v>
      </c>
      <c r="N166" s="5">
        <f t="shared" si="19"/>
        <v>225.84000000000003</v>
      </c>
      <c r="O166" s="5">
        <f t="shared" si="20"/>
        <v>197.60999999999999</v>
      </c>
      <c r="P166" s="5">
        <f t="shared" si="21"/>
        <v>169.38</v>
      </c>
      <c r="Q166" s="5">
        <f t="shared" si="22"/>
        <v>141.15</v>
      </c>
      <c r="R166" s="5">
        <f t="shared" si="23"/>
        <v>112.92000000000002</v>
      </c>
      <c r="S166" s="5">
        <f t="shared" si="24"/>
        <v>84.69</v>
      </c>
      <c r="T166" s="5">
        <f t="shared" si="25"/>
        <v>56.460000000000008</v>
      </c>
      <c r="U166" s="5">
        <f t="shared" si="26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>M167</f>
        <v>60.839999999999996</v>
      </c>
      <c r="I167" s="5">
        <v>150</v>
      </c>
      <c r="M167" s="5">
        <f t="shared" si="18"/>
        <v>60.839999999999996</v>
      </c>
      <c r="N167" s="5">
        <f t="shared" si="19"/>
        <v>54.08</v>
      </c>
      <c r="O167" s="5">
        <f t="shared" si="20"/>
        <v>47.319999999999993</v>
      </c>
      <c r="P167" s="5">
        <f t="shared" si="21"/>
        <v>40.559999999999995</v>
      </c>
      <c r="Q167" s="5">
        <f t="shared" si="22"/>
        <v>33.799999999999997</v>
      </c>
      <c r="R167" s="5">
        <f t="shared" si="23"/>
        <v>27.04</v>
      </c>
      <c r="S167" s="5">
        <f t="shared" si="24"/>
        <v>20.279999999999998</v>
      </c>
      <c r="T167" s="5">
        <f t="shared" si="25"/>
        <v>13.52</v>
      </c>
      <c r="U167" s="5">
        <f t="shared" si="26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>M168</f>
        <v>166.59</v>
      </c>
      <c r="I168" s="5">
        <v>120</v>
      </c>
      <c r="M168" s="5">
        <f t="shared" si="18"/>
        <v>166.59</v>
      </c>
      <c r="N168" s="5">
        <f t="shared" si="19"/>
        <v>148.08000000000001</v>
      </c>
      <c r="O168" s="5">
        <f t="shared" si="20"/>
        <v>129.57</v>
      </c>
      <c r="P168" s="5">
        <f t="shared" si="21"/>
        <v>111.05999999999999</v>
      </c>
      <c r="Q168" s="5">
        <f t="shared" si="22"/>
        <v>92.55</v>
      </c>
      <c r="R168" s="5">
        <f t="shared" si="23"/>
        <v>74.040000000000006</v>
      </c>
      <c r="S168" s="5">
        <f t="shared" si="24"/>
        <v>55.529999999999994</v>
      </c>
      <c r="T168" s="5">
        <f t="shared" si="25"/>
        <v>37.020000000000003</v>
      </c>
      <c r="U168" s="5">
        <f t="shared" si="26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>M169</f>
        <v>103.68</v>
      </c>
      <c r="I169" s="5">
        <v>150</v>
      </c>
      <c r="M169" s="5">
        <f t="shared" si="18"/>
        <v>103.68</v>
      </c>
      <c r="N169" s="5">
        <f t="shared" si="19"/>
        <v>92.160000000000011</v>
      </c>
      <c r="O169" s="5">
        <f t="shared" si="20"/>
        <v>80.64</v>
      </c>
      <c r="P169" s="5">
        <f t="shared" si="21"/>
        <v>69.12</v>
      </c>
      <c r="Q169" s="5">
        <f t="shared" si="22"/>
        <v>57.6</v>
      </c>
      <c r="R169" s="5">
        <f t="shared" si="23"/>
        <v>46.080000000000005</v>
      </c>
      <c r="S169" s="5">
        <f t="shared" si="24"/>
        <v>34.56</v>
      </c>
      <c r="T169" s="5">
        <f t="shared" si="25"/>
        <v>23.040000000000003</v>
      </c>
      <c r="U169" s="5">
        <f t="shared" si="26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>M170</f>
        <v>103.77</v>
      </c>
      <c r="I170" s="5">
        <v>120</v>
      </c>
      <c r="M170" s="5">
        <f t="shared" si="18"/>
        <v>103.77</v>
      </c>
      <c r="N170" s="5">
        <f t="shared" si="19"/>
        <v>92.240000000000009</v>
      </c>
      <c r="O170" s="5">
        <f t="shared" si="20"/>
        <v>80.709999999999994</v>
      </c>
      <c r="P170" s="5">
        <f t="shared" si="21"/>
        <v>69.179999999999993</v>
      </c>
      <c r="Q170" s="5">
        <f t="shared" si="22"/>
        <v>57.65</v>
      </c>
      <c r="R170" s="5">
        <f t="shared" si="23"/>
        <v>46.120000000000005</v>
      </c>
      <c r="S170" s="5">
        <f t="shared" si="24"/>
        <v>34.589999999999996</v>
      </c>
      <c r="T170" s="5">
        <f t="shared" si="25"/>
        <v>23.060000000000002</v>
      </c>
      <c r="U170" s="5">
        <f t="shared" si="26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>M171</f>
        <v>132.84</v>
      </c>
      <c r="I171" s="5">
        <v>90</v>
      </c>
      <c r="M171" s="5">
        <f t="shared" si="18"/>
        <v>132.84</v>
      </c>
      <c r="N171" s="5">
        <f t="shared" si="19"/>
        <v>118.08</v>
      </c>
      <c r="O171" s="5">
        <f t="shared" si="20"/>
        <v>103.32</v>
      </c>
      <c r="P171" s="5">
        <f t="shared" si="21"/>
        <v>88.559999999999988</v>
      </c>
      <c r="Q171" s="5">
        <f t="shared" si="22"/>
        <v>73.8</v>
      </c>
      <c r="R171" s="5">
        <f t="shared" si="23"/>
        <v>59.04</v>
      </c>
      <c r="S171" s="5">
        <f t="shared" si="24"/>
        <v>44.279999999999994</v>
      </c>
      <c r="T171" s="5">
        <f t="shared" si="25"/>
        <v>29.52</v>
      </c>
      <c r="U171" s="5">
        <f t="shared" si="26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>M172</f>
        <v>64.710000000000008</v>
      </c>
      <c r="I172" s="5">
        <v>90</v>
      </c>
      <c r="M172" s="5">
        <f t="shared" si="18"/>
        <v>64.710000000000008</v>
      </c>
      <c r="N172" s="5">
        <f t="shared" si="19"/>
        <v>57.52000000000001</v>
      </c>
      <c r="O172" s="5">
        <f t="shared" si="20"/>
        <v>50.33</v>
      </c>
      <c r="P172" s="5">
        <f t="shared" si="21"/>
        <v>43.14</v>
      </c>
      <c r="Q172" s="5">
        <f t="shared" si="22"/>
        <v>35.950000000000003</v>
      </c>
      <c r="R172" s="5">
        <f t="shared" si="23"/>
        <v>28.760000000000005</v>
      </c>
      <c r="S172" s="5">
        <f t="shared" si="24"/>
        <v>21.57</v>
      </c>
      <c r="T172" s="5">
        <f t="shared" si="25"/>
        <v>14.380000000000003</v>
      </c>
      <c r="U172" s="5">
        <f t="shared" si="26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>M173</f>
        <v>1.6</v>
      </c>
      <c r="I173" s="5">
        <v>30</v>
      </c>
      <c r="M173" s="5">
        <f t="shared" si="18"/>
        <v>1.6</v>
      </c>
      <c r="N173" s="5">
        <f t="shared" si="19"/>
        <v>1.6</v>
      </c>
      <c r="O173" s="5">
        <f t="shared" si="20"/>
        <v>1.6</v>
      </c>
      <c r="P173" s="5">
        <f t="shared" si="21"/>
        <v>1.6</v>
      </c>
      <c r="Q173" s="5">
        <f t="shared" si="22"/>
        <v>1.6</v>
      </c>
      <c r="R173" s="5">
        <f t="shared" si="23"/>
        <v>1.6</v>
      </c>
      <c r="S173" s="5">
        <f t="shared" si="24"/>
        <v>1.6</v>
      </c>
      <c r="T173" s="5">
        <f t="shared" si="25"/>
        <v>1.6</v>
      </c>
      <c r="U173" s="5">
        <f t="shared" si="26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>M174</f>
        <v>224.19</v>
      </c>
      <c r="I174" s="5">
        <v>90</v>
      </c>
      <c r="M174" s="5">
        <f t="shared" si="18"/>
        <v>224.19</v>
      </c>
      <c r="N174" s="5">
        <f t="shared" si="19"/>
        <v>199.28</v>
      </c>
      <c r="O174" s="5">
        <f t="shared" si="20"/>
        <v>174.36999999999998</v>
      </c>
      <c r="P174" s="5">
        <f t="shared" si="21"/>
        <v>149.45999999999998</v>
      </c>
      <c r="Q174" s="5">
        <f t="shared" si="22"/>
        <v>124.55</v>
      </c>
      <c r="R174" s="5">
        <f t="shared" si="23"/>
        <v>99.64</v>
      </c>
      <c r="S174" s="5">
        <f t="shared" si="24"/>
        <v>74.72999999999999</v>
      </c>
      <c r="T174" s="5">
        <f t="shared" si="25"/>
        <v>49.82</v>
      </c>
      <c r="U174" s="5">
        <f t="shared" si="26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>M175</f>
        <v>232.10999999999999</v>
      </c>
      <c r="I175" s="5">
        <v>120</v>
      </c>
      <c r="M175" s="5">
        <f t="shared" si="18"/>
        <v>232.10999999999999</v>
      </c>
      <c r="N175" s="5">
        <f t="shared" si="19"/>
        <v>206.32</v>
      </c>
      <c r="O175" s="5">
        <f t="shared" si="20"/>
        <v>180.52999999999997</v>
      </c>
      <c r="P175" s="5">
        <f t="shared" si="21"/>
        <v>154.73999999999998</v>
      </c>
      <c r="Q175" s="5">
        <f t="shared" si="22"/>
        <v>128.94999999999999</v>
      </c>
      <c r="R175" s="5">
        <f t="shared" si="23"/>
        <v>103.16</v>
      </c>
      <c r="S175" s="5">
        <f t="shared" si="24"/>
        <v>77.36999999999999</v>
      </c>
      <c r="T175" s="5">
        <f t="shared" si="25"/>
        <v>51.58</v>
      </c>
      <c r="U175" s="5">
        <f t="shared" si="26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>M176</f>
        <v>140.57999999999998</v>
      </c>
      <c r="I176" s="5">
        <v>90</v>
      </c>
      <c r="M176" s="5">
        <f t="shared" si="18"/>
        <v>140.57999999999998</v>
      </c>
      <c r="N176" s="5">
        <f t="shared" si="19"/>
        <v>124.96</v>
      </c>
      <c r="O176" s="5">
        <f t="shared" si="20"/>
        <v>109.33999999999999</v>
      </c>
      <c r="P176" s="5">
        <f t="shared" si="21"/>
        <v>93.719999999999985</v>
      </c>
      <c r="Q176" s="5">
        <f t="shared" si="22"/>
        <v>78.099999999999994</v>
      </c>
      <c r="R176" s="5">
        <f t="shared" si="23"/>
        <v>62.48</v>
      </c>
      <c r="S176" s="5">
        <f t="shared" si="24"/>
        <v>46.859999999999992</v>
      </c>
      <c r="T176" s="5">
        <f t="shared" si="25"/>
        <v>31.24</v>
      </c>
      <c r="U176" s="5">
        <f t="shared" si="26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>M177</f>
        <v>98.460000000000008</v>
      </c>
      <c r="I177" s="5">
        <v>120</v>
      </c>
      <c r="M177" s="5">
        <f t="shared" si="18"/>
        <v>98.460000000000008</v>
      </c>
      <c r="N177" s="5">
        <f t="shared" si="19"/>
        <v>87.52000000000001</v>
      </c>
      <c r="O177" s="5">
        <f t="shared" si="20"/>
        <v>76.58</v>
      </c>
      <c r="P177" s="5">
        <f t="shared" si="21"/>
        <v>65.64</v>
      </c>
      <c r="Q177" s="5">
        <f t="shared" si="22"/>
        <v>54.7</v>
      </c>
      <c r="R177" s="5">
        <f t="shared" si="23"/>
        <v>43.760000000000005</v>
      </c>
      <c r="S177" s="5">
        <f t="shared" si="24"/>
        <v>32.82</v>
      </c>
      <c r="T177" s="5">
        <f t="shared" si="25"/>
        <v>21.880000000000003</v>
      </c>
      <c r="U177" s="5">
        <f t="shared" si="26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>M178</f>
        <v>2.1</v>
      </c>
      <c r="I178" s="5">
        <v>60</v>
      </c>
      <c r="M178" s="5">
        <f t="shared" si="18"/>
        <v>2.1</v>
      </c>
      <c r="N178" s="5">
        <f t="shared" si="19"/>
        <v>2.1</v>
      </c>
      <c r="O178" s="5">
        <f t="shared" si="20"/>
        <v>2.1</v>
      </c>
      <c r="P178" s="5">
        <f t="shared" si="21"/>
        <v>2.1</v>
      </c>
      <c r="Q178" s="5">
        <f t="shared" si="22"/>
        <v>2.1</v>
      </c>
      <c r="R178" s="5">
        <f t="shared" si="23"/>
        <v>2.1</v>
      </c>
      <c r="S178" s="5">
        <f t="shared" si="24"/>
        <v>2.1</v>
      </c>
      <c r="T178" s="5">
        <f t="shared" si="25"/>
        <v>2.1</v>
      </c>
      <c r="U178" s="5">
        <f t="shared" si="26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>M179</f>
        <v>110.34</v>
      </c>
      <c r="I179" s="5">
        <v>120</v>
      </c>
      <c r="M179" s="5">
        <f t="shared" si="18"/>
        <v>110.34</v>
      </c>
      <c r="N179" s="5">
        <f t="shared" si="19"/>
        <v>98.08</v>
      </c>
      <c r="O179" s="5">
        <f t="shared" si="20"/>
        <v>85.82</v>
      </c>
      <c r="P179" s="5">
        <f t="shared" si="21"/>
        <v>73.559999999999988</v>
      </c>
      <c r="Q179" s="5">
        <f t="shared" si="22"/>
        <v>61.3</v>
      </c>
      <c r="R179" s="5">
        <f t="shared" si="23"/>
        <v>49.04</v>
      </c>
      <c r="S179" s="5">
        <f t="shared" si="24"/>
        <v>36.779999999999994</v>
      </c>
      <c r="T179" s="5">
        <f t="shared" si="25"/>
        <v>24.52</v>
      </c>
      <c r="U179" s="5">
        <f t="shared" si="26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>M180</f>
        <v>244.35</v>
      </c>
      <c r="I180" s="5">
        <v>120</v>
      </c>
      <c r="M180" s="5">
        <f t="shared" si="18"/>
        <v>244.35</v>
      </c>
      <c r="N180" s="5">
        <f t="shared" si="19"/>
        <v>217.20000000000002</v>
      </c>
      <c r="O180" s="5">
        <f t="shared" si="20"/>
        <v>190.04999999999998</v>
      </c>
      <c r="P180" s="5">
        <f t="shared" si="21"/>
        <v>162.9</v>
      </c>
      <c r="Q180" s="5">
        <f t="shared" si="22"/>
        <v>135.75</v>
      </c>
      <c r="R180" s="5">
        <f t="shared" si="23"/>
        <v>108.60000000000001</v>
      </c>
      <c r="S180" s="5">
        <f t="shared" si="24"/>
        <v>81.45</v>
      </c>
      <c r="T180" s="5">
        <f t="shared" si="25"/>
        <v>54.300000000000004</v>
      </c>
      <c r="U180" s="5">
        <f t="shared" si="26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>M181</f>
        <v>1</v>
      </c>
      <c r="I181" s="5">
        <v>180</v>
      </c>
      <c r="M181" s="5">
        <f t="shared" si="18"/>
        <v>1</v>
      </c>
      <c r="N181" s="5">
        <f t="shared" si="19"/>
        <v>1</v>
      </c>
      <c r="O181" s="5">
        <f t="shared" si="20"/>
        <v>1</v>
      </c>
      <c r="P181" s="5">
        <f t="shared" si="21"/>
        <v>1</v>
      </c>
      <c r="Q181" s="5">
        <f t="shared" si="22"/>
        <v>1</v>
      </c>
      <c r="R181" s="5">
        <f t="shared" si="23"/>
        <v>1</v>
      </c>
      <c r="S181" s="5">
        <f t="shared" si="24"/>
        <v>1</v>
      </c>
      <c r="T181" s="5">
        <f t="shared" si="25"/>
        <v>1</v>
      </c>
      <c r="U181" s="5">
        <f t="shared" si="26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>M182</f>
        <v>58.95</v>
      </c>
      <c r="I182" s="5">
        <v>90</v>
      </c>
      <c r="M182" s="5">
        <f t="shared" si="18"/>
        <v>58.95</v>
      </c>
      <c r="N182" s="5">
        <f t="shared" si="19"/>
        <v>52.400000000000006</v>
      </c>
      <c r="O182" s="5">
        <f t="shared" si="20"/>
        <v>45.849999999999994</v>
      </c>
      <c r="P182" s="5">
        <f t="shared" si="21"/>
        <v>39.299999999999997</v>
      </c>
      <c r="Q182" s="5">
        <f t="shared" si="22"/>
        <v>32.75</v>
      </c>
      <c r="R182" s="5">
        <f t="shared" si="23"/>
        <v>26.200000000000003</v>
      </c>
      <c r="S182" s="5">
        <f t="shared" si="24"/>
        <v>19.649999999999999</v>
      </c>
      <c r="T182" s="5">
        <f t="shared" si="25"/>
        <v>13.100000000000001</v>
      </c>
      <c r="U182" s="5">
        <f t="shared" si="26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>M183</f>
        <v>27.7</v>
      </c>
      <c r="I183" s="5">
        <v>90</v>
      </c>
      <c r="M183" s="5">
        <f t="shared" si="18"/>
        <v>27.7</v>
      </c>
      <c r="N183" s="5">
        <f t="shared" si="19"/>
        <v>27.7</v>
      </c>
      <c r="O183" s="5">
        <f t="shared" si="20"/>
        <v>27.7</v>
      </c>
      <c r="P183" s="5">
        <f t="shared" si="21"/>
        <v>27.7</v>
      </c>
      <c r="Q183" s="5">
        <f t="shared" si="22"/>
        <v>27.7</v>
      </c>
      <c r="R183" s="5">
        <f t="shared" si="23"/>
        <v>27.7</v>
      </c>
      <c r="S183" s="5">
        <f t="shared" si="24"/>
        <v>27.7</v>
      </c>
      <c r="T183" s="5">
        <f t="shared" si="25"/>
        <v>27.7</v>
      </c>
      <c r="U183" s="5">
        <f t="shared" si="26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>M184</f>
        <v>11</v>
      </c>
      <c r="I184" s="5">
        <v>120</v>
      </c>
      <c r="M184" s="5">
        <f t="shared" si="18"/>
        <v>11</v>
      </c>
      <c r="N184" s="5">
        <f t="shared" si="19"/>
        <v>11</v>
      </c>
      <c r="O184" s="5">
        <f t="shared" si="20"/>
        <v>11</v>
      </c>
      <c r="P184" s="5">
        <f t="shared" si="21"/>
        <v>11</v>
      </c>
      <c r="Q184" s="5">
        <f t="shared" si="22"/>
        <v>11</v>
      </c>
      <c r="R184" s="5">
        <f t="shared" si="23"/>
        <v>11</v>
      </c>
      <c r="S184" s="5">
        <f t="shared" si="24"/>
        <v>11</v>
      </c>
      <c r="T184" s="5">
        <f t="shared" si="25"/>
        <v>11</v>
      </c>
      <c r="U184" s="5">
        <f t="shared" si="26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>M185</f>
        <v>119.52000000000001</v>
      </c>
      <c r="I185" s="5">
        <v>60</v>
      </c>
      <c r="M185" s="5">
        <f t="shared" si="18"/>
        <v>119.52000000000001</v>
      </c>
      <c r="N185" s="5">
        <f t="shared" si="19"/>
        <v>106.24000000000001</v>
      </c>
      <c r="O185" s="5">
        <f t="shared" si="20"/>
        <v>92.960000000000008</v>
      </c>
      <c r="P185" s="5">
        <f t="shared" si="21"/>
        <v>79.680000000000007</v>
      </c>
      <c r="Q185" s="5">
        <f t="shared" si="22"/>
        <v>66.400000000000006</v>
      </c>
      <c r="R185" s="5">
        <f t="shared" si="23"/>
        <v>53.120000000000005</v>
      </c>
      <c r="S185" s="5">
        <f t="shared" si="24"/>
        <v>39.840000000000003</v>
      </c>
      <c r="T185" s="5">
        <f t="shared" si="25"/>
        <v>26.560000000000002</v>
      </c>
      <c r="U185" s="5">
        <f t="shared" si="26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>M186</f>
        <v>56.79</v>
      </c>
      <c r="I186" s="5">
        <v>120</v>
      </c>
      <c r="M186" s="5">
        <f t="shared" si="18"/>
        <v>56.79</v>
      </c>
      <c r="N186" s="5">
        <f t="shared" si="19"/>
        <v>50.480000000000004</v>
      </c>
      <c r="O186" s="5">
        <f t="shared" si="20"/>
        <v>44.17</v>
      </c>
      <c r="P186" s="5">
        <f t="shared" si="21"/>
        <v>37.86</v>
      </c>
      <c r="Q186" s="5">
        <f t="shared" si="22"/>
        <v>31.55</v>
      </c>
      <c r="R186" s="5">
        <f t="shared" si="23"/>
        <v>25.240000000000002</v>
      </c>
      <c r="S186" s="5">
        <f t="shared" si="24"/>
        <v>18.93</v>
      </c>
      <c r="T186" s="5">
        <f t="shared" si="25"/>
        <v>12.620000000000001</v>
      </c>
      <c r="U186" s="5">
        <f t="shared" si="26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>M187</f>
        <v>1</v>
      </c>
      <c r="I187" s="5">
        <v>90</v>
      </c>
      <c r="M187" s="5">
        <f t="shared" si="18"/>
        <v>1</v>
      </c>
      <c r="N187" s="5">
        <f t="shared" si="19"/>
        <v>1</v>
      </c>
      <c r="O187" s="5">
        <f t="shared" si="20"/>
        <v>1</v>
      </c>
      <c r="P187" s="5">
        <f t="shared" si="21"/>
        <v>1</v>
      </c>
      <c r="Q187" s="5">
        <f t="shared" si="22"/>
        <v>1</v>
      </c>
      <c r="R187" s="5">
        <f t="shared" si="23"/>
        <v>1</v>
      </c>
      <c r="S187" s="5">
        <f t="shared" si="24"/>
        <v>1</v>
      </c>
      <c r="T187" s="5">
        <f t="shared" si="25"/>
        <v>1</v>
      </c>
      <c r="U187" s="5">
        <f t="shared" si="26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>M188</f>
        <v>42.9</v>
      </c>
      <c r="I188" s="5">
        <v>120</v>
      </c>
      <c r="M188" s="5">
        <f t="shared" si="18"/>
        <v>42.9</v>
      </c>
      <c r="N188" s="5">
        <f t="shared" si="19"/>
        <v>42.9</v>
      </c>
      <c r="O188" s="5">
        <f t="shared" si="20"/>
        <v>42.9</v>
      </c>
      <c r="P188" s="5">
        <f t="shared" si="21"/>
        <v>42.9</v>
      </c>
      <c r="Q188" s="5">
        <f t="shared" si="22"/>
        <v>42.9</v>
      </c>
      <c r="R188" s="5">
        <f t="shared" si="23"/>
        <v>42.9</v>
      </c>
      <c r="S188" s="5">
        <f t="shared" si="24"/>
        <v>42.9</v>
      </c>
      <c r="T188" s="5">
        <f t="shared" si="25"/>
        <v>42.9</v>
      </c>
      <c r="U188" s="5">
        <f t="shared" si="26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>M189</f>
        <v>73.98</v>
      </c>
      <c r="I189" s="5">
        <v>90</v>
      </c>
      <c r="M189" s="5">
        <f t="shared" si="18"/>
        <v>73.98</v>
      </c>
      <c r="N189" s="5">
        <f t="shared" si="19"/>
        <v>65.760000000000005</v>
      </c>
      <c r="O189" s="5">
        <f t="shared" si="20"/>
        <v>57.54</v>
      </c>
      <c r="P189" s="5">
        <f t="shared" si="21"/>
        <v>49.32</v>
      </c>
      <c r="Q189" s="5">
        <f t="shared" si="22"/>
        <v>41.1</v>
      </c>
      <c r="R189" s="5">
        <f t="shared" si="23"/>
        <v>32.880000000000003</v>
      </c>
      <c r="S189" s="5">
        <f t="shared" si="24"/>
        <v>24.66</v>
      </c>
      <c r="T189" s="5">
        <f t="shared" si="25"/>
        <v>16.440000000000001</v>
      </c>
      <c r="U189" s="5">
        <f t="shared" si="26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>M190</f>
        <v>92.07</v>
      </c>
      <c r="I190" s="5">
        <v>90</v>
      </c>
      <c r="M190" s="5">
        <f t="shared" si="18"/>
        <v>92.07</v>
      </c>
      <c r="N190" s="5">
        <f t="shared" si="19"/>
        <v>81.84</v>
      </c>
      <c r="O190" s="5">
        <f t="shared" si="20"/>
        <v>71.61</v>
      </c>
      <c r="P190" s="5">
        <f t="shared" si="21"/>
        <v>61.379999999999995</v>
      </c>
      <c r="Q190" s="5">
        <f t="shared" si="22"/>
        <v>51.15</v>
      </c>
      <c r="R190" s="5">
        <f t="shared" si="23"/>
        <v>40.92</v>
      </c>
      <c r="S190" s="5">
        <f t="shared" si="24"/>
        <v>30.689999999999998</v>
      </c>
      <c r="T190" s="5">
        <f t="shared" si="25"/>
        <v>20.46</v>
      </c>
      <c r="U190" s="5">
        <f t="shared" si="26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>M191</f>
        <v>364.86</v>
      </c>
      <c r="I191" s="5">
        <v>150</v>
      </c>
      <c r="M191" s="5">
        <f t="shared" si="18"/>
        <v>364.86</v>
      </c>
      <c r="N191" s="5">
        <f t="shared" si="19"/>
        <v>324.32</v>
      </c>
      <c r="O191" s="5">
        <f t="shared" si="20"/>
        <v>283.77999999999997</v>
      </c>
      <c r="P191" s="5">
        <f t="shared" si="21"/>
        <v>243.23999999999998</v>
      </c>
      <c r="Q191" s="5">
        <f t="shared" si="22"/>
        <v>202.7</v>
      </c>
      <c r="R191" s="5">
        <f t="shared" si="23"/>
        <v>162.16</v>
      </c>
      <c r="S191" s="5">
        <f t="shared" si="24"/>
        <v>121.61999999999999</v>
      </c>
      <c r="T191" s="5">
        <f t="shared" si="25"/>
        <v>81.08</v>
      </c>
      <c r="U191" s="5">
        <f t="shared" si="26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>M192</f>
        <v>155.52000000000001</v>
      </c>
      <c r="I192" s="5">
        <v>120</v>
      </c>
      <c r="M192" s="5">
        <f t="shared" si="18"/>
        <v>155.52000000000001</v>
      </c>
      <c r="N192" s="5">
        <f t="shared" si="19"/>
        <v>138.24</v>
      </c>
      <c r="O192" s="5">
        <f t="shared" si="20"/>
        <v>120.96</v>
      </c>
      <c r="P192" s="5">
        <f t="shared" si="21"/>
        <v>103.68</v>
      </c>
      <c r="Q192" s="5">
        <f t="shared" si="22"/>
        <v>86.4</v>
      </c>
      <c r="R192" s="5">
        <f t="shared" si="23"/>
        <v>69.12</v>
      </c>
      <c r="S192" s="5">
        <f t="shared" si="24"/>
        <v>51.84</v>
      </c>
      <c r="T192" s="5">
        <f t="shared" si="25"/>
        <v>34.56</v>
      </c>
      <c r="U192" s="5">
        <f t="shared" si="26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>M193</f>
        <v>120.60000000000001</v>
      </c>
      <c r="I193" s="5">
        <v>90</v>
      </c>
      <c r="M193" s="5">
        <f t="shared" si="18"/>
        <v>120.60000000000001</v>
      </c>
      <c r="N193" s="5">
        <f t="shared" si="19"/>
        <v>107.2</v>
      </c>
      <c r="O193" s="5">
        <f t="shared" si="20"/>
        <v>93.8</v>
      </c>
      <c r="P193" s="5">
        <f t="shared" si="21"/>
        <v>80.399999999999991</v>
      </c>
      <c r="Q193" s="5">
        <f t="shared" si="22"/>
        <v>67</v>
      </c>
      <c r="R193" s="5">
        <f t="shared" si="23"/>
        <v>53.6</v>
      </c>
      <c r="S193" s="5">
        <f t="shared" si="24"/>
        <v>40.199999999999996</v>
      </c>
      <c r="T193" s="5">
        <f t="shared" si="25"/>
        <v>26.8</v>
      </c>
      <c r="U193" s="5">
        <f t="shared" si="26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>M194</f>
        <v>85.860000000000014</v>
      </c>
      <c r="I194" s="5">
        <v>120</v>
      </c>
      <c r="M194" s="5">
        <f t="shared" si="18"/>
        <v>85.860000000000014</v>
      </c>
      <c r="N194" s="5">
        <f t="shared" si="19"/>
        <v>76.320000000000007</v>
      </c>
      <c r="O194" s="5">
        <f t="shared" si="20"/>
        <v>66.78</v>
      </c>
      <c r="P194" s="5">
        <f t="shared" si="21"/>
        <v>57.24</v>
      </c>
      <c r="Q194" s="5">
        <f t="shared" si="22"/>
        <v>47.7</v>
      </c>
      <c r="R194" s="5">
        <f t="shared" si="23"/>
        <v>38.160000000000004</v>
      </c>
      <c r="S194" s="5">
        <f t="shared" si="24"/>
        <v>28.62</v>
      </c>
      <c r="T194" s="5">
        <f t="shared" si="25"/>
        <v>19.080000000000002</v>
      </c>
      <c r="U194" s="5">
        <f t="shared" si="26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>M195</f>
        <v>61.47</v>
      </c>
      <c r="I195" s="5">
        <v>90</v>
      </c>
      <c r="M195" s="5">
        <f t="shared" ref="M195:M258" si="27">IF($G195&gt;=50, $G195*0.9,$G195)</f>
        <v>61.47</v>
      </c>
      <c r="N195" s="5">
        <f t="shared" ref="N195:N258" si="28">IF($G195&gt;=50, $G195*0.8,$G195)</f>
        <v>54.64</v>
      </c>
      <c r="O195" s="5">
        <f t="shared" ref="O195:O258" si="29">IF($G195&gt;=50, $G195*0.7,$G195)</f>
        <v>47.809999999999995</v>
      </c>
      <c r="P195" s="5">
        <f t="shared" ref="P195:P258" si="30">IF($G195&gt;=50, $G195*0.6,$G195)</f>
        <v>40.98</v>
      </c>
      <c r="Q195" s="5">
        <f t="shared" ref="Q195:Q258" si="31">IF($G195&gt;=50, $G195*0.5,$G195)</f>
        <v>34.15</v>
      </c>
      <c r="R195" s="5">
        <f t="shared" ref="R195:R258" si="32">IF($G195&gt;=50, $G195*0.4,$G195)</f>
        <v>27.32</v>
      </c>
      <c r="S195" s="5">
        <f t="shared" ref="S195:S258" si="33">IF($G195&gt;=50, $G195*0.3,$G195)</f>
        <v>20.49</v>
      </c>
      <c r="T195" s="5">
        <f t="shared" ref="T195:T258" si="34">IF($G195&gt;=50, $G195*0.2,$G195)</f>
        <v>13.66</v>
      </c>
      <c r="U195" s="5">
        <f t="shared" ref="U195:U258" si="35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>M196</f>
        <v>97.56</v>
      </c>
      <c r="I196" s="5">
        <v>120</v>
      </c>
      <c r="M196" s="5">
        <f t="shared" si="27"/>
        <v>97.56</v>
      </c>
      <c r="N196" s="5">
        <f t="shared" si="28"/>
        <v>86.720000000000013</v>
      </c>
      <c r="O196" s="5">
        <f t="shared" si="29"/>
        <v>75.88</v>
      </c>
      <c r="P196" s="5">
        <f t="shared" si="30"/>
        <v>65.040000000000006</v>
      </c>
      <c r="Q196" s="5">
        <f t="shared" si="31"/>
        <v>54.2</v>
      </c>
      <c r="R196" s="5">
        <f t="shared" si="32"/>
        <v>43.360000000000007</v>
      </c>
      <c r="S196" s="5">
        <f t="shared" si="33"/>
        <v>32.520000000000003</v>
      </c>
      <c r="T196" s="5">
        <f t="shared" si="34"/>
        <v>21.680000000000003</v>
      </c>
      <c r="U196" s="5">
        <f t="shared" si="35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>M197</f>
        <v>139.68</v>
      </c>
      <c r="I197" s="5">
        <v>60</v>
      </c>
      <c r="M197" s="5">
        <f t="shared" si="27"/>
        <v>139.68</v>
      </c>
      <c r="N197" s="5">
        <f t="shared" si="28"/>
        <v>124.16</v>
      </c>
      <c r="O197" s="5">
        <f t="shared" si="29"/>
        <v>108.63999999999999</v>
      </c>
      <c r="P197" s="5">
        <f t="shared" si="30"/>
        <v>93.11999999999999</v>
      </c>
      <c r="Q197" s="5">
        <f t="shared" si="31"/>
        <v>77.599999999999994</v>
      </c>
      <c r="R197" s="5">
        <f t="shared" si="32"/>
        <v>62.08</v>
      </c>
      <c r="S197" s="5">
        <f t="shared" si="33"/>
        <v>46.559999999999995</v>
      </c>
      <c r="T197" s="5">
        <f t="shared" si="34"/>
        <v>31.04</v>
      </c>
      <c r="U197" s="5">
        <f t="shared" si="35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>M198</f>
        <v>0.8</v>
      </c>
      <c r="I198" s="5">
        <v>60</v>
      </c>
      <c r="M198" s="5">
        <f t="shared" si="27"/>
        <v>0.8</v>
      </c>
      <c r="N198" s="5">
        <f t="shared" si="28"/>
        <v>0.8</v>
      </c>
      <c r="O198" s="5">
        <f t="shared" si="29"/>
        <v>0.8</v>
      </c>
      <c r="P198" s="5">
        <f t="shared" si="30"/>
        <v>0.8</v>
      </c>
      <c r="Q198" s="5">
        <f t="shared" si="31"/>
        <v>0.8</v>
      </c>
      <c r="R198" s="5">
        <f t="shared" si="32"/>
        <v>0.8</v>
      </c>
      <c r="S198" s="5">
        <f t="shared" si="33"/>
        <v>0.8</v>
      </c>
      <c r="T198" s="5">
        <f t="shared" si="34"/>
        <v>0.8</v>
      </c>
      <c r="U198" s="5">
        <f t="shared" si="35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>M199</f>
        <v>97.74</v>
      </c>
      <c r="I199" s="5">
        <v>90</v>
      </c>
      <c r="M199" s="5">
        <f t="shared" si="27"/>
        <v>97.74</v>
      </c>
      <c r="N199" s="5">
        <f t="shared" si="28"/>
        <v>86.88</v>
      </c>
      <c r="O199" s="5">
        <f t="shared" si="29"/>
        <v>76.02</v>
      </c>
      <c r="P199" s="5">
        <f t="shared" si="30"/>
        <v>65.16</v>
      </c>
      <c r="Q199" s="5">
        <f t="shared" si="31"/>
        <v>54.3</v>
      </c>
      <c r="R199" s="5">
        <f t="shared" si="32"/>
        <v>43.44</v>
      </c>
      <c r="S199" s="5">
        <f t="shared" si="33"/>
        <v>32.58</v>
      </c>
      <c r="T199" s="5">
        <f t="shared" si="34"/>
        <v>21.72</v>
      </c>
      <c r="U199" s="5">
        <f t="shared" si="35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>M200</f>
        <v>223.20000000000002</v>
      </c>
      <c r="I200" s="5">
        <v>90</v>
      </c>
      <c r="M200" s="5">
        <f t="shared" si="27"/>
        <v>223.20000000000002</v>
      </c>
      <c r="N200" s="5">
        <f t="shared" si="28"/>
        <v>198.4</v>
      </c>
      <c r="O200" s="5">
        <f t="shared" si="29"/>
        <v>173.6</v>
      </c>
      <c r="P200" s="5">
        <f t="shared" si="30"/>
        <v>148.79999999999998</v>
      </c>
      <c r="Q200" s="5">
        <f t="shared" si="31"/>
        <v>124</v>
      </c>
      <c r="R200" s="5">
        <f t="shared" si="32"/>
        <v>99.2</v>
      </c>
      <c r="S200" s="5">
        <f t="shared" si="33"/>
        <v>74.399999999999991</v>
      </c>
      <c r="T200" s="5">
        <f t="shared" si="34"/>
        <v>49.6</v>
      </c>
      <c r="U200" s="5">
        <f t="shared" si="35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>M201</f>
        <v>53.550000000000004</v>
      </c>
      <c r="I201" s="5">
        <v>150</v>
      </c>
      <c r="M201" s="5">
        <f t="shared" si="27"/>
        <v>53.550000000000004</v>
      </c>
      <c r="N201" s="5">
        <f t="shared" si="28"/>
        <v>47.6</v>
      </c>
      <c r="O201" s="5">
        <f t="shared" si="29"/>
        <v>41.65</v>
      </c>
      <c r="P201" s="5">
        <f t="shared" si="30"/>
        <v>35.699999999999996</v>
      </c>
      <c r="Q201" s="5">
        <f t="shared" si="31"/>
        <v>29.75</v>
      </c>
      <c r="R201" s="5">
        <f t="shared" si="32"/>
        <v>23.8</v>
      </c>
      <c r="S201" s="5">
        <f t="shared" si="33"/>
        <v>17.849999999999998</v>
      </c>
      <c r="T201" s="5">
        <f t="shared" si="34"/>
        <v>11.9</v>
      </c>
      <c r="U201" s="5">
        <f t="shared" si="35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>M202</f>
        <v>185.76000000000002</v>
      </c>
      <c r="I202" s="5">
        <v>90</v>
      </c>
      <c r="M202" s="5">
        <f t="shared" si="27"/>
        <v>185.76000000000002</v>
      </c>
      <c r="N202" s="5">
        <f t="shared" si="28"/>
        <v>165.12</v>
      </c>
      <c r="O202" s="5">
        <f t="shared" si="29"/>
        <v>144.47999999999999</v>
      </c>
      <c r="P202" s="5">
        <f t="shared" si="30"/>
        <v>123.84</v>
      </c>
      <c r="Q202" s="5">
        <f t="shared" si="31"/>
        <v>103.2</v>
      </c>
      <c r="R202" s="5">
        <f t="shared" si="32"/>
        <v>82.56</v>
      </c>
      <c r="S202" s="5">
        <f t="shared" si="33"/>
        <v>61.92</v>
      </c>
      <c r="T202" s="5">
        <f t="shared" si="34"/>
        <v>41.28</v>
      </c>
      <c r="U202" s="5">
        <f t="shared" si="35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>M203</f>
        <v>125.27999999999999</v>
      </c>
      <c r="I203" s="5">
        <v>240</v>
      </c>
      <c r="M203" s="5">
        <f t="shared" si="27"/>
        <v>125.27999999999999</v>
      </c>
      <c r="N203" s="5">
        <f t="shared" si="28"/>
        <v>111.36</v>
      </c>
      <c r="O203" s="5">
        <f t="shared" si="29"/>
        <v>97.439999999999984</v>
      </c>
      <c r="P203" s="5">
        <f t="shared" si="30"/>
        <v>83.52</v>
      </c>
      <c r="Q203" s="5">
        <f t="shared" si="31"/>
        <v>69.599999999999994</v>
      </c>
      <c r="R203" s="5">
        <f t="shared" si="32"/>
        <v>55.68</v>
      </c>
      <c r="S203" s="5">
        <f t="shared" si="33"/>
        <v>41.76</v>
      </c>
      <c r="T203" s="5">
        <f t="shared" si="34"/>
        <v>27.84</v>
      </c>
      <c r="U203" s="5">
        <f t="shared" si="35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>M204</f>
        <v>376.2</v>
      </c>
      <c r="I204" s="5">
        <v>365</v>
      </c>
      <c r="M204" s="5">
        <f t="shared" si="27"/>
        <v>376.2</v>
      </c>
      <c r="N204" s="5">
        <f t="shared" si="28"/>
        <v>334.40000000000003</v>
      </c>
      <c r="O204" s="5">
        <f t="shared" si="29"/>
        <v>292.59999999999997</v>
      </c>
      <c r="P204" s="5">
        <f t="shared" si="30"/>
        <v>250.79999999999998</v>
      </c>
      <c r="Q204" s="5">
        <f t="shared" si="31"/>
        <v>209</v>
      </c>
      <c r="R204" s="5">
        <f t="shared" si="32"/>
        <v>167.20000000000002</v>
      </c>
      <c r="S204" s="5">
        <f t="shared" si="33"/>
        <v>125.39999999999999</v>
      </c>
      <c r="T204" s="5">
        <f t="shared" si="34"/>
        <v>83.600000000000009</v>
      </c>
      <c r="U204" s="5">
        <f t="shared" si="35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>M205</f>
        <v>374.76</v>
      </c>
      <c r="I205" s="5">
        <v>365</v>
      </c>
      <c r="M205" s="5">
        <f t="shared" si="27"/>
        <v>374.76</v>
      </c>
      <c r="N205" s="5">
        <f t="shared" si="28"/>
        <v>333.12</v>
      </c>
      <c r="O205" s="5">
        <f t="shared" si="29"/>
        <v>291.47999999999996</v>
      </c>
      <c r="P205" s="5">
        <f t="shared" si="30"/>
        <v>249.83999999999997</v>
      </c>
      <c r="Q205" s="5">
        <f t="shared" si="31"/>
        <v>208.2</v>
      </c>
      <c r="R205" s="5">
        <f t="shared" si="32"/>
        <v>166.56</v>
      </c>
      <c r="S205" s="5">
        <f t="shared" si="33"/>
        <v>124.91999999999999</v>
      </c>
      <c r="T205" s="5">
        <f t="shared" si="34"/>
        <v>83.28</v>
      </c>
      <c r="U205" s="5">
        <f t="shared" si="35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>M206</f>
        <v>365.76</v>
      </c>
      <c r="I206" s="5">
        <v>365</v>
      </c>
      <c r="M206" s="5">
        <f t="shared" si="27"/>
        <v>365.76</v>
      </c>
      <c r="N206" s="5">
        <f t="shared" si="28"/>
        <v>325.12</v>
      </c>
      <c r="O206" s="5">
        <f t="shared" si="29"/>
        <v>284.47999999999996</v>
      </c>
      <c r="P206" s="5">
        <f t="shared" si="30"/>
        <v>243.83999999999997</v>
      </c>
      <c r="Q206" s="5">
        <f t="shared" si="31"/>
        <v>203.2</v>
      </c>
      <c r="R206" s="5">
        <f t="shared" si="32"/>
        <v>162.56</v>
      </c>
      <c r="S206" s="5">
        <f t="shared" si="33"/>
        <v>121.91999999999999</v>
      </c>
      <c r="T206" s="5">
        <f t="shared" si="34"/>
        <v>81.28</v>
      </c>
      <c r="U206" s="5">
        <f t="shared" si="35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>M207</f>
        <v>193.77</v>
      </c>
      <c r="I207" s="5">
        <v>240</v>
      </c>
      <c r="M207" s="5">
        <f t="shared" si="27"/>
        <v>193.77</v>
      </c>
      <c r="N207" s="5">
        <f t="shared" si="28"/>
        <v>172.24</v>
      </c>
      <c r="O207" s="5">
        <f t="shared" si="29"/>
        <v>150.71</v>
      </c>
      <c r="P207" s="5">
        <f t="shared" si="30"/>
        <v>129.18</v>
      </c>
      <c r="Q207" s="5">
        <f t="shared" si="31"/>
        <v>107.65</v>
      </c>
      <c r="R207" s="5">
        <f t="shared" si="32"/>
        <v>86.12</v>
      </c>
      <c r="S207" s="5">
        <f t="shared" si="33"/>
        <v>64.59</v>
      </c>
      <c r="T207" s="5">
        <f t="shared" si="34"/>
        <v>43.06</v>
      </c>
      <c r="U207" s="5">
        <f t="shared" si="35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>M208</f>
        <v>62.460000000000008</v>
      </c>
      <c r="I208" s="5">
        <v>210</v>
      </c>
      <c r="M208" s="5">
        <f t="shared" si="27"/>
        <v>62.460000000000008</v>
      </c>
      <c r="N208" s="5">
        <f t="shared" si="28"/>
        <v>55.52000000000001</v>
      </c>
      <c r="O208" s="5">
        <f t="shared" si="29"/>
        <v>48.58</v>
      </c>
      <c r="P208" s="5">
        <f t="shared" si="30"/>
        <v>41.64</v>
      </c>
      <c r="Q208" s="5">
        <f t="shared" si="31"/>
        <v>34.700000000000003</v>
      </c>
      <c r="R208" s="5">
        <f t="shared" si="32"/>
        <v>27.760000000000005</v>
      </c>
      <c r="S208" s="5">
        <f t="shared" si="33"/>
        <v>20.82</v>
      </c>
      <c r="T208" s="5">
        <f t="shared" si="34"/>
        <v>13.880000000000003</v>
      </c>
      <c r="U208" s="5">
        <f t="shared" si="35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>M209</f>
        <v>18.2</v>
      </c>
      <c r="I209" s="5">
        <v>150</v>
      </c>
      <c r="M209" s="5">
        <f t="shared" si="27"/>
        <v>18.2</v>
      </c>
      <c r="N209" s="5">
        <f t="shared" si="28"/>
        <v>18.2</v>
      </c>
      <c r="O209" s="5">
        <f t="shared" si="29"/>
        <v>18.2</v>
      </c>
      <c r="P209" s="5">
        <f t="shared" si="30"/>
        <v>18.2</v>
      </c>
      <c r="Q209" s="5">
        <f t="shared" si="31"/>
        <v>18.2</v>
      </c>
      <c r="R209" s="5">
        <f t="shared" si="32"/>
        <v>18.2</v>
      </c>
      <c r="S209" s="5">
        <f t="shared" si="33"/>
        <v>18.2</v>
      </c>
      <c r="T209" s="5">
        <f t="shared" si="34"/>
        <v>18.2</v>
      </c>
      <c r="U209" s="5">
        <f t="shared" si="35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>M210</f>
        <v>2.9</v>
      </c>
      <c r="I210" s="5">
        <v>300</v>
      </c>
      <c r="M210" s="5">
        <f t="shared" si="27"/>
        <v>2.9</v>
      </c>
      <c r="N210" s="5">
        <f t="shared" si="28"/>
        <v>2.9</v>
      </c>
      <c r="O210" s="5">
        <f t="shared" si="29"/>
        <v>2.9</v>
      </c>
      <c r="P210" s="5">
        <f t="shared" si="30"/>
        <v>2.9</v>
      </c>
      <c r="Q210" s="5">
        <f t="shared" si="31"/>
        <v>2.9</v>
      </c>
      <c r="R210" s="5">
        <f t="shared" si="32"/>
        <v>2.9</v>
      </c>
      <c r="S210" s="5">
        <f t="shared" si="33"/>
        <v>2.9</v>
      </c>
      <c r="T210" s="5">
        <f t="shared" si="34"/>
        <v>2.9</v>
      </c>
      <c r="U210" s="5">
        <f t="shared" si="35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>M211</f>
        <v>108.99</v>
      </c>
      <c r="I211" s="5">
        <v>210</v>
      </c>
      <c r="M211" s="5">
        <f t="shared" si="27"/>
        <v>108.99</v>
      </c>
      <c r="N211" s="5">
        <f t="shared" si="28"/>
        <v>96.88</v>
      </c>
      <c r="O211" s="5">
        <f t="shared" si="29"/>
        <v>84.77</v>
      </c>
      <c r="P211" s="5">
        <f t="shared" si="30"/>
        <v>72.66</v>
      </c>
      <c r="Q211" s="5">
        <f t="shared" si="31"/>
        <v>60.55</v>
      </c>
      <c r="R211" s="5">
        <f t="shared" si="32"/>
        <v>48.44</v>
      </c>
      <c r="S211" s="5">
        <f t="shared" si="33"/>
        <v>36.33</v>
      </c>
      <c r="T211" s="5">
        <f t="shared" si="34"/>
        <v>24.22</v>
      </c>
      <c r="U211" s="5">
        <f t="shared" si="35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>M212</f>
        <v>270.36</v>
      </c>
      <c r="I212" s="5">
        <v>270</v>
      </c>
      <c r="M212" s="5">
        <f t="shared" si="27"/>
        <v>270.36</v>
      </c>
      <c r="N212" s="5">
        <f t="shared" si="28"/>
        <v>240.32</v>
      </c>
      <c r="O212" s="5">
        <f t="shared" si="29"/>
        <v>210.27999999999997</v>
      </c>
      <c r="P212" s="5">
        <f t="shared" si="30"/>
        <v>180.23999999999998</v>
      </c>
      <c r="Q212" s="5">
        <f t="shared" si="31"/>
        <v>150.19999999999999</v>
      </c>
      <c r="R212" s="5">
        <f t="shared" si="32"/>
        <v>120.16</v>
      </c>
      <c r="S212" s="5">
        <f t="shared" si="33"/>
        <v>90.11999999999999</v>
      </c>
      <c r="T212" s="5">
        <f t="shared" si="34"/>
        <v>60.08</v>
      </c>
      <c r="U212" s="5">
        <f t="shared" si="35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>M213</f>
        <v>0.2</v>
      </c>
      <c r="I213" s="5">
        <v>60</v>
      </c>
      <c r="M213" s="5">
        <f t="shared" si="27"/>
        <v>0.2</v>
      </c>
      <c r="N213" s="5">
        <f t="shared" si="28"/>
        <v>0.2</v>
      </c>
      <c r="O213" s="5">
        <f t="shared" si="29"/>
        <v>0.2</v>
      </c>
      <c r="P213" s="5">
        <f t="shared" si="30"/>
        <v>0.2</v>
      </c>
      <c r="Q213" s="5">
        <f t="shared" si="31"/>
        <v>0.2</v>
      </c>
      <c r="R213" s="5">
        <f t="shared" si="32"/>
        <v>0.2</v>
      </c>
      <c r="S213" s="5">
        <f t="shared" si="33"/>
        <v>0.2</v>
      </c>
      <c r="T213" s="5">
        <f t="shared" si="34"/>
        <v>0.2</v>
      </c>
      <c r="U213" s="5">
        <f t="shared" si="35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>M214</f>
        <v>159.93</v>
      </c>
      <c r="I214" s="5">
        <v>120</v>
      </c>
      <c r="M214" s="5">
        <f t="shared" si="27"/>
        <v>159.93</v>
      </c>
      <c r="N214" s="5">
        <f t="shared" si="28"/>
        <v>142.16</v>
      </c>
      <c r="O214" s="5">
        <f t="shared" si="29"/>
        <v>124.38999999999999</v>
      </c>
      <c r="P214" s="5">
        <f t="shared" si="30"/>
        <v>106.61999999999999</v>
      </c>
      <c r="Q214" s="5">
        <f t="shared" si="31"/>
        <v>88.85</v>
      </c>
      <c r="R214" s="5">
        <f t="shared" si="32"/>
        <v>71.08</v>
      </c>
      <c r="S214" s="5">
        <f t="shared" si="33"/>
        <v>53.309999999999995</v>
      </c>
      <c r="T214" s="5">
        <f t="shared" si="34"/>
        <v>35.54</v>
      </c>
      <c r="U214" s="5">
        <f t="shared" si="35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>M215</f>
        <v>0.1</v>
      </c>
      <c r="I215" s="5">
        <v>60</v>
      </c>
      <c r="M215" s="5">
        <f t="shared" si="27"/>
        <v>0.1</v>
      </c>
      <c r="N215" s="5">
        <f t="shared" si="28"/>
        <v>0.1</v>
      </c>
      <c r="O215" s="5">
        <f t="shared" si="29"/>
        <v>0.1</v>
      </c>
      <c r="P215" s="5">
        <f t="shared" si="30"/>
        <v>0.1</v>
      </c>
      <c r="Q215" s="5">
        <f t="shared" si="31"/>
        <v>0.1</v>
      </c>
      <c r="R215" s="5">
        <f t="shared" si="32"/>
        <v>0.1</v>
      </c>
      <c r="S215" s="5">
        <f t="shared" si="33"/>
        <v>0.1</v>
      </c>
      <c r="T215" s="5">
        <f t="shared" si="34"/>
        <v>0.1</v>
      </c>
      <c r="U215" s="5">
        <f t="shared" si="35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>M216</f>
        <v>1.6</v>
      </c>
      <c r="I216" s="5">
        <v>365</v>
      </c>
      <c r="M216" s="5">
        <f t="shared" si="27"/>
        <v>1.6</v>
      </c>
      <c r="N216" s="5">
        <f t="shared" si="28"/>
        <v>1.6</v>
      </c>
      <c r="O216" s="5">
        <f t="shared" si="29"/>
        <v>1.6</v>
      </c>
      <c r="P216" s="5">
        <f t="shared" si="30"/>
        <v>1.6</v>
      </c>
      <c r="Q216" s="5">
        <f t="shared" si="31"/>
        <v>1.6</v>
      </c>
      <c r="R216" s="5">
        <f t="shared" si="32"/>
        <v>1.6</v>
      </c>
      <c r="S216" s="5">
        <f t="shared" si="33"/>
        <v>1.6</v>
      </c>
      <c r="T216" s="5">
        <f t="shared" si="34"/>
        <v>1.6</v>
      </c>
      <c r="U216" s="5">
        <f t="shared" si="35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>M217</f>
        <v>0.1</v>
      </c>
      <c r="I217" s="5">
        <v>180</v>
      </c>
      <c r="M217" s="5">
        <f t="shared" si="27"/>
        <v>0.1</v>
      </c>
      <c r="N217" s="5">
        <f t="shared" si="28"/>
        <v>0.1</v>
      </c>
      <c r="O217" s="5">
        <f t="shared" si="29"/>
        <v>0.1</v>
      </c>
      <c r="P217" s="5">
        <f t="shared" si="30"/>
        <v>0.1</v>
      </c>
      <c r="Q217" s="5">
        <f t="shared" si="31"/>
        <v>0.1</v>
      </c>
      <c r="R217" s="5">
        <f t="shared" si="32"/>
        <v>0.1</v>
      </c>
      <c r="S217" s="5">
        <f t="shared" si="33"/>
        <v>0.1</v>
      </c>
      <c r="T217" s="5">
        <f t="shared" si="34"/>
        <v>0.1</v>
      </c>
      <c r="U217" s="5">
        <f t="shared" si="35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>M218</f>
        <v>0.1</v>
      </c>
      <c r="I218" s="5">
        <v>180</v>
      </c>
      <c r="M218" s="5">
        <f t="shared" si="27"/>
        <v>0.1</v>
      </c>
      <c r="N218" s="5">
        <f t="shared" si="28"/>
        <v>0.1</v>
      </c>
      <c r="O218" s="5">
        <f t="shared" si="29"/>
        <v>0.1</v>
      </c>
      <c r="P218" s="5">
        <f t="shared" si="30"/>
        <v>0.1</v>
      </c>
      <c r="Q218" s="5">
        <f t="shared" si="31"/>
        <v>0.1</v>
      </c>
      <c r="R218" s="5">
        <f t="shared" si="32"/>
        <v>0.1</v>
      </c>
      <c r="S218" s="5">
        <f t="shared" si="33"/>
        <v>0.1</v>
      </c>
      <c r="T218" s="5">
        <f t="shared" si="34"/>
        <v>0.1</v>
      </c>
      <c r="U218" s="5">
        <f t="shared" si="35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>M219</f>
        <v>0.2</v>
      </c>
      <c r="I219" s="5">
        <v>240</v>
      </c>
      <c r="M219" s="5">
        <f t="shared" si="27"/>
        <v>0.2</v>
      </c>
      <c r="N219" s="5">
        <f t="shared" si="28"/>
        <v>0.2</v>
      </c>
      <c r="O219" s="5">
        <f t="shared" si="29"/>
        <v>0.2</v>
      </c>
      <c r="P219" s="5">
        <f t="shared" si="30"/>
        <v>0.2</v>
      </c>
      <c r="Q219" s="5">
        <f t="shared" si="31"/>
        <v>0.2</v>
      </c>
      <c r="R219" s="5">
        <f t="shared" si="32"/>
        <v>0.2</v>
      </c>
      <c r="S219" s="5">
        <f t="shared" si="33"/>
        <v>0.2</v>
      </c>
      <c r="T219" s="5">
        <f t="shared" si="34"/>
        <v>0.2</v>
      </c>
      <c r="U219" s="5">
        <f t="shared" si="35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>M220</f>
        <v>0.6</v>
      </c>
      <c r="I220" s="5">
        <v>180</v>
      </c>
      <c r="M220" s="5">
        <f t="shared" si="27"/>
        <v>0.6</v>
      </c>
      <c r="N220" s="5">
        <f t="shared" si="28"/>
        <v>0.6</v>
      </c>
      <c r="O220" s="5">
        <f t="shared" si="29"/>
        <v>0.6</v>
      </c>
      <c r="P220" s="5">
        <f t="shared" si="30"/>
        <v>0.6</v>
      </c>
      <c r="Q220" s="5">
        <f t="shared" si="31"/>
        <v>0.6</v>
      </c>
      <c r="R220" s="5">
        <f t="shared" si="32"/>
        <v>0.6</v>
      </c>
      <c r="S220" s="5">
        <f t="shared" si="33"/>
        <v>0.6</v>
      </c>
      <c r="T220" s="5">
        <f t="shared" si="34"/>
        <v>0.6</v>
      </c>
      <c r="U220" s="5">
        <f t="shared" si="35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>M221</f>
        <v>1</v>
      </c>
      <c r="I221" s="5">
        <v>180</v>
      </c>
      <c r="M221" s="5">
        <f t="shared" si="27"/>
        <v>1</v>
      </c>
      <c r="N221" s="5">
        <f t="shared" si="28"/>
        <v>1</v>
      </c>
      <c r="O221" s="5">
        <f t="shared" si="29"/>
        <v>1</v>
      </c>
      <c r="P221" s="5">
        <f t="shared" si="30"/>
        <v>1</v>
      </c>
      <c r="Q221" s="5">
        <f t="shared" si="31"/>
        <v>1</v>
      </c>
      <c r="R221" s="5">
        <f t="shared" si="32"/>
        <v>1</v>
      </c>
      <c r="S221" s="5">
        <f t="shared" si="33"/>
        <v>1</v>
      </c>
      <c r="T221" s="5">
        <f t="shared" si="34"/>
        <v>1</v>
      </c>
      <c r="U221" s="5">
        <f t="shared" si="35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>M222</f>
        <v>9.1999999999999993</v>
      </c>
      <c r="I222" s="5">
        <v>90</v>
      </c>
      <c r="M222" s="5">
        <f t="shared" si="27"/>
        <v>9.1999999999999993</v>
      </c>
      <c r="N222" s="5">
        <f t="shared" si="28"/>
        <v>9.1999999999999993</v>
      </c>
      <c r="O222" s="5">
        <f t="shared" si="29"/>
        <v>9.1999999999999993</v>
      </c>
      <c r="P222" s="5">
        <f t="shared" si="30"/>
        <v>9.1999999999999993</v>
      </c>
      <c r="Q222" s="5">
        <f t="shared" si="31"/>
        <v>9.1999999999999993</v>
      </c>
      <c r="R222" s="5">
        <f t="shared" si="32"/>
        <v>9.1999999999999993</v>
      </c>
      <c r="S222" s="5">
        <f t="shared" si="33"/>
        <v>9.1999999999999993</v>
      </c>
      <c r="T222" s="5">
        <f t="shared" si="34"/>
        <v>9.1999999999999993</v>
      </c>
      <c r="U222" s="5">
        <f t="shared" si="35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>M223</f>
        <v>519.75</v>
      </c>
      <c r="I223" s="5">
        <v>240</v>
      </c>
      <c r="M223" s="5">
        <f t="shared" si="27"/>
        <v>519.75</v>
      </c>
      <c r="N223" s="5">
        <f t="shared" si="28"/>
        <v>462</v>
      </c>
      <c r="O223" s="5">
        <f t="shared" si="29"/>
        <v>404.25</v>
      </c>
      <c r="P223" s="5">
        <f t="shared" si="30"/>
        <v>346.5</v>
      </c>
      <c r="Q223" s="5">
        <f t="shared" si="31"/>
        <v>288.75</v>
      </c>
      <c r="R223" s="5">
        <f t="shared" si="32"/>
        <v>231</v>
      </c>
      <c r="S223" s="5">
        <f t="shared" si="33"/>
        <v>173.25</v>
      </c>
      <c r="T223" s="5">
        <f t="shared" si="34"/>
        <v>115.5</v>
      </c>
      <c r="U223" s="5">
        <f t="shared" si="35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>M224</f>
        <v>197.91</v>
      </c>
      <c r="I224" s="5">
        <v>120</v>
      </c>
      <c r="M224" s="5">
        <f t="shared" si="27"/>
        <v>197.91</v>
      </c>
      <c r="N224" s="5">
        <f t="shared" si="28"/>
        <v>175.92000000000002</v>
      </c>
      <c r="O224" s="5">
        <f t="shared" si="29"/>
        <v>153.93</v>
      </c>
      <c r="P224" s="5">
        <f t="shared" si="30"/>
        <v>131.94</v>
      </c>
      <c r="Q224" s="5">
        <f t="shared" si="31"/>
        <v>109.95</v>
      </c>
      <c r="R224" s="5">
        <f t="shared" si="32"/>
        <v>87.960000000000008</v>
      </c>
      <c r="S224" s="5">
        <f t="shared" si="33"/>
        <v>65.97</v>
      </c>
      <c r="T224" s="5">
        <f t="shared" si="34"/>
        <v>43.980000000000004</v>
      </c>
      <c r="U224" s="5">
        <f t="shared" si="35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>M225</f>
        <v>13</v>
      </c>
      <c r="I225" s="5">
        <v>365</v>
      </c>
      <c r="M225" s="5">
        <f t="shared" si="27"/>
        <v>13</v>
      </c>
      <c r="N225" s="5">
        <f t="shared" si="28"/>
        <v>13</v>
      </c>
      <c r="O225" s="5">
        <f t="shared" si="29"/>
        <v>13</v>
      </c>
      <c r="P225" s="5">
        <f t="shared" si="30"/>
        <v>13</v>
      </c>
      <c r="Q225" s="5">
        <f t="shared" si="31"/>
        <v>13</v>
      </c>
      <c r="R225" s="5">
        <f t="shared" si="32"/>
        <v>13</v>
      </c>
      <c r="S225" s="5">
        <f t="shared" si="33"/>
        <v>13</v>
      </c>
      <c r="T225" s="5">
        <f t="shared" si="34"/>
        <v>13</v>
      </c>
      <c r="U225" s="5">
        <f t="shared" si="35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>M226</f>
        <v>466.02</v>
      </c>
      <c r="I226" s="5">
        <v>90</v>
      </c>
      <c r="M226" s="5">
        <f t="shared" si="27"/>
        <v>466.02</v>
      </c>
      <c r="N226" s="5">
        <f t="shared" si="28"/>
        <v>414.24</v>
      </c>
      <c r="O226" s="5">
        <f t="shared" si="29"/>
        <v>362.45999999999992</v>
      </c>
      <c r="P226" s="5">
        <f t="shared" si="30"/>
        <v>310.67999999999995</v>
      </c>
      <c r="Q226" s="5">
        <f t="shared" si="31"/>
        <v>258.89999999999998</v>
      </c>
      <c r="R226" s="5">
        <f t="shared" si="32"/>
        <v>207.12</v>
      </c>
      <c r="S226" s="5">
        <f t="shared" si="33"/>
        <v>155.33999999999997</v>
      </c>
      <c r="T226" s="5">
        <f t="shared" si="34"/>
        <v>103.56</v>
      </c>
      <c r="U226" s="5">
        <f t="shared" si="35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>M227</f>
        <v>1.4</v>
      </c>
      <c r="I227" s="5">
        <v>365</v>
      </c>
      <c r="M227" s="5">
        <f t="shared" si="27"/>
        <v>1.4</v>
      </c>
      <c r="N227" s="5">
        <f t="shared" si="28"/>
        <v>1.4</v>
      </c>
      <c r="O227" s="5">
        <f t="shared" si="29"/>
        <v>1.4</v>
      </c>
      <c r="P227" s="5">
        <f t="shared" si="30"/>
        <v>1.4</v>
      </c>
      <c r="Q227" s="5">
        <f t="shared" si="31"/>
        <v>1.4</v>
      </c>
      <c r="R227" s="5">
        <f t="shared" si="32"/>
        <v>1.4</v>
      </c>
      <c r="S227" s="5">
        <f t="shared" si="33"/>
        <v>1.4</v>
      </c>
      <c r="T227" s="5">
        <f t="shared" si="34"/>
        <v>1.4</v>
      </c>
      <c r="U227" s="5">
        <f t="shared" si="35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>M228</f>
        <v>153.45000000000002</v>
      </c>
      <c r="I228" s="5">
        <v>90</v>
      </c>
      <c r="M228" s="5">
        <f t="shared" si="27"/>
        <v>153.45000000000002</v>
      </c>
      <c r="N228" s="5">
        <f t="shared" si="28"/>
        <v>136.4</v>
      </c>
      <c r="O228" s="5">
        <f t="shared" si="29"/>
        <v>119.35</v>
      </c>
      <c r="P228" s="5">
        <f t="shared" si="30"/>
        <v>102.3</v>
      </c>
      <c r="Q228" s="5">
        <f t="shared" si="31"/>
        <v>85.25</v>
      </c>
      <c r="R228" s="5">
        <f t="shared" si="32"/>
        <v>68.2</v>
      </c>
      <c r="S228" s="5">
        <f t="shared" si="33"/>
        <v>51.15</v>
      </c>
      <c r="T228" s="5">
        <f t="shared" si="34"/>
        <v>34.1</v>
      </c>
      <c r="U228" s="5">
        <f t="shared" si="35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>M229</f>
        <v>3.1</v>
      </c>
      <c r="I229" s="5">
        <v>365</v>
      </c>
      <c r="M229" s="5">
        <f t="shared" si="27"/>
        <v>3.1</v>
      </c>
      <c r="N229" s="5">
        <f t="shared" si="28"/>
        <v>3.1</v>
      </c>
      <c r="O229" s="5">
        <f t="shared" si="29"/>
        <v>3.1</v>
      </c>
      <c r="P229" s="5">
        <f t="shared" si="30"/>
        <v>3.1</v>
      </c>
      <c r="Q229" s="5">
        <f t="shared" si="31"/>
        <v>3.1</v>
      </c>
      <c r="R229" s="5">
        <f t="shared" si="32"/>
        <v>3.1</v>
      </c>
      <c r="S229" s="5">
        <f t="shared" si="33"/>
        <v>3.1</v>
      </c>
      <c r="T229" s="5">
        <f t="shared" si="34"/>
        <v>3.1</v>
      </c>
      <c r="U229" s="5">
        <f t="shared" si="35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>M230</f>
        <v>108.9</v>
      </c>
      <c r="I230" s="5">
        <v>60</v>
      </c>
      <c r="M230" s="5">
        <f t="shared" si="27"/>
        <v>108.9</v>
      </c>
      <c r="N230" s="5">
        <f t="shared" si="28"/>
        <v>96.800000000000011</v>
      </c>
      <c r="O230" s="5">
        <f t="shared" si="29"/>
        <v>84.699999999999989</v>
      </c>
      <c r="P230" s="5">
        <f t="shared" si="30"/>
        <v>72.599999999999994</v>
      </c>
      <c r="Q230" s="5">
        <f t="shared" si="31"/>
        <v>60.5</v>
      </c>
      <c r="R230" s="5">
        <f t="shared" si="32"/>
        <v>48.400000000000006</v>
      </c>
      <c r="S230" s="5">
        <f t="shared" si="33"/>
        <v>36.299999999999997</v>
      </c>
      <c r="T230" s="5">
        <f t="shared" si="34"/>
        <v>24.200000000000003</v>
      </c>
      <c r="U230" s="5">
        <f t="shared" si="35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>M231</f>
        <v>37.6</v>
      </c>
      <c r="I231" s="5">
        <v>120</v>
      </c>
      <c r="M231" s="5">
        <f t="shared" si="27"/>
        <v>37.6</v>
      </c>
      <c r="N231" s="5">
        <f t="shared" si="28"/>
        <v>37.6</v>
      </c>
      <c r="O231" s="5">
        <f t="shared" si="29"/>
        <v>37.6</v>
      </c>
      <c r="P231" s="5">
        <f t="shared" si="30"/>
        <v>37.6</v>
      </c>
      <c r="Q231" s="5">
        <f t="shared" si="31"/>
        <v>37.6</v>
      </c>
      <c r="R231" s="5">
        <f t="shared" si="32"/>
        <v>37.6</v>
      </c>
      <c r="S231" s="5">
        <f t="shared" si="33"/>
        <v>37.6</v>
      </c>
      <c r="T231" s="5">
        <f t="shared" si="34"/>
        <v>37.6</v>
      </c>
      <c r="U231" s="5">
        <f t="shared" si="35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>M232</f>
        <v>9.6999999999999993</v>
      </c>
      <c r="I232" s="5">
        <v>300</v>
      </c>
      <c r="M232" s="5">
        <f t="shared" si="27"/>
        <v>9.6999999999999993</v>
      </c>
      <c r="N232" s="5">
        <f t="shared" si="28"/>
        <v>9.6999999999999993</v>
      </c>
      <c r="O232" s="5">
        <f t="shared" si="29"/>
        <v>9.6999999999999993</v>
      </c>
      <c r="P232" s="5">
        <f t="shared" si="30"/>
        <v>9.6999999999999993</v>
      </c>
      <c r="Q232" s="5">
        <f t="shared" si="31"/>
        <v>9.6999999999999993</v>
      </c>
      <c r="R232" s="5">
        <f t="shared" si="32"/>
        <v>9.6999999999999993</v>
      </c>
      <c r="S232" s="5">
        <f t="shared" si="33"/>
        <v>9.6999999999999993</v>
      </c>
      <c r="T232" s="5">
        <f t="shared" si="34"/>
        <v>9.6999999999999993</v>
      </c>
      <c r="U232" s="5">
        <f t="shared" si="35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>M233</f>
        <v>140.57999999999998</v>
      </c>
      <c r="I233" s="5">
        <v>90</v>
      </c>
      <c r="M233" s="5">
        <f t="shared" si="27"/>
        <v>140.57999999999998</v>
      </c>
      <c r="N233" s="5">
        <f t="shared" si="28"/>
        <v>124.96</v>
      </c>
      <c r="O233" s="5">
        <f t="shared" si="29"/>
        <v>109.33999999999999</v>
      </c>
      <c r="P233" s="5">
        <f t="shared" si="30"/>
        <v>93.719999999999985</v>
      </c>
      <c r="Q233" s="5">
        <f t="shared" si="31"/>
        <v>78.099999999999994</v>
      </c>
      <c r="R233" s="5">
        <f t="shared" si="32"/>
        <v>62.48</v>
      </c>
      <c r="S233" s="5">
        <f t="shared" si="33"/>
        <v>46.859999999999992</v>
      </c>
      <c r="T233" s="5">
        <f t="shared" si="34"/>
        <v>31.24</v>
      </c>
      <c r="U233" s="5">
        <f t="shared" si="35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>M234</f>
        <v>2.1</v>
      </c>
      <c r="I234" s="5">
        <v>365</v>
      </c>
      <c r="M234" s="5">
        <f t="shared" si="27"/>
        <v>2.1</v>
      </c>
      <c r="N234" s="5">
        <f t="shared" si="28"/>
        <v>2.1</v>
      </c>
      <c r="O234" s="5">
        <f t="shared" si="29"/>
        <v>2.1</v>
      </c>
      <c r="P234" s="5">
        <f t="shared" si="30"/>
        <v>2.1</v>
      </c>
      <c r="Q234" s="5">
        <f t="shared" si="31"/>
        <v>2.1</v>
      </c>
      <c r="R234" s="5">
        <f t="shared" si="32"/>
        <v>2.1</v>
      </c>
      <c r="S234" s="5">
        <f t="shared" si="33"/>
        <v>2.1</v>
      </c>
      <c r="T234" s="5">
        <f t="shared" si="34"/>
        <v>2.1</v>
      </c>
      <c r="U234" s="5">
        <f t="shared" si="35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>M235</f>
        <v>121.59</v>
      </c>
      <c r="I235" s="5">
        <v>90</v>
      </c>
      <c r="M235" s="5">
        <f t="shared" si="27"/>
        <v>121.59</v>
      </c>
      <c r="N235" s="5">
        <f t="shared" si="28"/>
        <v>108.08</v>
      </c>
      <c r="O235" s="5">
        <f t="shared" si="29"/>
        <v>94.57</v>
      </c>
      <c r="P235" s="5">
        <f t="shared" si="30"/>
        <v>81.059999999999988</v>
      </c>
      <c r="Q235" s="5">
        <f t="shared" si="31"/>
        <v>67.55</v>
      </c>
      <c r="R235" s="5">
        <f t="shared" si="32"/>
        <v>54.04</v>
      </c>
      <c r="S235" s="5">
        <f t="shared" si="33"/>
        <v>40.529999999999994</v>
      </c>
      <c r="T235" s="5">
        <f t="shared" si="34"/>
        <v>27.02</v>
      </c>
      <c r="U235" s="5">
        <f t="shared" si="35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>M236</f>
        <v>108.72</v>
      </c>
      <c r="I236" s="5">
        <v>90</v>
      </c>
      <c r="M236" s="5">
        <f t="shared" si="27"/>
        <v>108.72</v>
      </c>
      <c r="N236" s="5">
        <f t="shared" si="28"/>
        <v>96.64</v>
      </c>
      <c r="O236" s="5">
        <f t="shared" si="29"/>
        <v>84.559999999999988</v>
      </c>
      <c r="P236" s="5">
        <f t="shared" si="30"/>
        <v>72.47999999999999</v>
      </c>
      <c r="Q236" s="5">
        <f t="shared" si="31"/>
        <v>60.4</v>
      </c>
      <c r="R236" s="5">
        <f t="shared" si="32"/>
        <v>48.32</v>
      </c>
      <c r="S236" s="5">
        <f t="shared" si="33"/>
        <v>36.239999999999995</v>
      </c>
      <c r="T236" s="5">
        <f t="shared" si="34"/>
        <v>24.16</v>
      </c>
      <c r="U236" s="5">
        <f t="shared" si="35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>M237</f>
        <v>97.83</v>
      </c>
      <c r="I237" s="5">
        <v>90</v>
      </c>
      <c r="M237" s="5">
        <f t="shared" si="27"/>
        <v>97.83</v>
      </c>
      <c r="N237" s="5">
        <f t="shared" si="28"/>
        <v>86.960000000000008</v>
      </c>
      <c r="O237" s="5">
        <f t="shared" si="29"/>
        <v>76.09</v>
      </c>
      <c r="P237" s="5">
        <f t="shared" si="30"/>
        <v>65.22</v>
      </c>
      <c r="Q237" s="5">
        <f t="shared" si="31"/>
        <v>54.35</v>
      </c>
      <c r="R237" s="5">
        <f t="shared" si="32"/>
        <v>43.480000000000004</v>
      </c>
      <c r="S237" s="5">
        <f t="shared" si="33"/>
        <v>32.61</v>
      </c>
      <c r="T237" s="5">
        <f t="shared" si="34"/>
        <v>21.740000000000002</v>
      </c>
      <c r="U237" s="5">
        <f t="shared" si="35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>M238</f>
        <v>61.019999999999996</v>
      </c>
      <c r="I238" s="5">
        <v>90</v>
      </c>
      <c r="M238" s="5">
        <f t="shared" si="27"/>
        <v>61.019999999999996</v>
      </c>
      <c r="N238" s="5">
        <f t="shared" si="28"/>
        <v>54.24</v>
      </c>
      <c r="O238" s="5">
        <f t="shared" si="29"/>
        <v>47.459999999999994</v>
      </c>
      <c r="P238" s="5">
        <f t="shared" si="30"/>
        <v>40.68</v>
      </c>
      <c r="Q238" s="5">
        <f t="shared" si="31"/>
        <v>33.9</v>
      </c>
      <c r="R238" s="5">
        <f t="shared" si="32"/>
        <v>27.12</v>
      </c>
      <c r="S238" s="5">
        <f t="shared" si="33"/>
        <v>20.34</v>
      </c>
      <c r="T238" s="5">
        <f t="shared" si="34"/>
        <v>13.56</v>
      </c>
      <c r="U238" s="5">
        <f t="shared" si="35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>M239</f>
        <v>113.58</v>
      </c>
      <c r="I239" s="5">
        <v>120</v>
      </c>
      <c r="M239" s="5">
        <f t="shared" si="27"/>
        <v>113.58</v>
      </c>
      <c r="N239" s="5">
        <f t="shared" si="28"/>
        <v>100.96000000000001</v>
      </c>
      <c r="O239" s="5">
        <f t="shared" si="29"/>
        <v>88.34</v>
      </c>
      <c r="P239" s="5">
        <f t="shared" si="30"/>
        <v>75.72</v>
      </c>
      <c r="Q239" s="5">
        <f t="shared" si="31"/>
        <v>63.1</v>
      </c>
      <c r="R239" s="5">
        <f t="shared" si="32"/>
        <v>50.480000000000004</v>
      </c>
      <c r="S239" s="5">
        <f t="shared" si="33"/>
        <v>37.86</v>
      </c>
      <c r="T239" s="5">
        <f t="shared" si="34"/>
        <v>25.240000000000002</v>
      </c>
      <c r="U239" s="5">
        <f t="shared" si="35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>M240</f>
        <v>9.4</v>
      </c>
      <c r="I240" s="5">
        <v>365</v>
      </c>
      <c r="M240" s="5">
        <f t="shared" si="27"/>
        <v>9.4</v>
      </c>
      <c r="N240" s="5">
        <f t="shared" si="28"/>
        <v>9.4</v>
      </c>
      <c r="O240" s="5">
        <f t="shared" si="29"/>
        <v>9.4</v>
      </c>
      <c r="P240" s="5">
        <f t="shared" si="30"/>
        <v>9.4</v>
      </c>
      <c r="Q240" s="5">
        <f t="shared" si="31"/>
        <v>9.4</v>
      </c>
      <c r="R240" s="5">
        <f t="shared" si="32"/>
        <v>9.4</v>
      </c>
      <c r="S240" s="5">
        <f t="shared" si="33"/>
        <v>9.4</v>
      </c>
      <c r="T240" s="5">
        <f t="shared" si="34"/>
        <v>9.4</v>
      </c>
      <c r="U240" s="5">
        <f t="shared" si="35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>M241</f>
        <v>2.2000000000000002</v>
      </c>
      <c r="I241" s="5">
        <v>365</v>
      </c>
      <c r="M241" s="5">
        <f t="shared" si="27"/>
        <v>2.2000000000000002</v>
      </c>
      <c r="N241" s="5">
        <f t="shared" si="28"/>
        <v>2.2000000000000002</v>
      </c>
      <c r="O241" s="5">
        <f t="shared" si="29"/>
        <v>2.2000000000000002</v>
      </c>
      <c r="P241" s="5">
        <f t="shared" si="30"/>
        <v>2.2000000000000002</v>
      </c>
      <c r="Q241" s="5">
        <f t="shared" si="31"/>
        <v>2.2000000000000002</v>
      </c>
      <c r="R241" s="5">
        <f t="shared" si="32"/>
        <v>2.2000000000000002</v>
      </c>
      <c r="S241" s="5">
        <f t="shared" si="33"/>
        <v>2.2000000000000002</v>
      </c>
      <c r="T241" s="5">
        <f t="shared" si="34"/>
        <v>2.2000000000000002</v>
      </c>
      <c r="U241" s="5">
        <f t="shared" si="35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>M242</f>
        <v>1.8</v>
      </c>
      <c r="I242" s="5">
        <v>365</v>
      </c>
      <c r="M242" s="5">
        <f t="shared" si="27"/>
        <v>1.8</v>
      </c>
      <c r="N242" s="5">
        <f t="shared" si="28"/>
        <v>1.8</v>
      </c>
      <c r="O242" s="5">
        <f t="shared" si="29"/>
        <v>1.8</v>
      </c>
      <c r="P242" s="5">
        <f t="shared" si="30"/>
        <v>1.8</v>
      </c>
      <c r="Q242" s="5">
        <f t="shared" si="31"/>
        <v>1.8</v>
      </c>
      <c r="R242" s="5">
        <f t="shared" si="32"/>
        <v>1.8</v>
      </c>
      <c r="S242" s="5">
        <f t="shared" si="33"/>
        <v>1.8</v>
      </c>
      <c r="T242" s="5">
        <f t="shared" si="34"/>
        <v>1.8</v>
      </c>
      <c r="U242" s="5">
        <f t="shared" si="35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>M243</f>
        <v>56.61</v>
      </c>
      <c r="I243" s="5">
        <v>120</v>
      </c>
      <c r="M243" s="5">
        <f t="shared" si="27"/>
        <v>56.61</v>
      </c>
      <c r="N243" s="5">
        <f t="shared" si="28"/>
        <v>50.32</v>
      </c>
      <c r="O243" s="5">
        <f t="shared" si="29"/>
        <v>44.029999999999994</v>
      </c>
      <c r="P243" s="5">
        <f t="shared" si="30"/>
        <v>37.739999999999995</v>
      </c>
      <c r="Q243" s="5">
        <f t="shared" si="31"/>
        <v>31.45</v>
      </c>
      <c r="R243" s="5">
        <f t="shared" si="32"/>
        <v>25.16</v>
      </c>
      <c r="S243" s="5">
        <f t="shared" si="33"/>
        <v>18.869999999999997</v>
      </c>
      <c r="T243" s="5">
        <f t="shared" si="34"/>
        <v>12.58</v>
      </c>
      <c r="U243" s="5">
        <f t="shared" si="35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>M244</f>
        <v>140.76000000000002</v>
      </c>
      <c r="I244" s="5">
        <v>60</v>
      </c>
      <c r="M244" s="5">
        <f t="shared" si="27"/>
        <v>140.76000000000002</v>
      </c>
      <c r="N244" s="5">
        <f t="shared" si="28"/>
        <v>125.12</v>
      </c>
      <c r="O244" s="5">
        <f t="shared" si="29"/>
        <v>109.48</v>
      </c>
      <c r="P244" s="5">
        <f t="shared" si="30"/>
        <v>93.84</v>
      </c>
      <c r="Q244" s="5">
        <f t="shared" si="31"/>
        <v>78.2</v>
      </c>
      <c r="R244" s="5">
        <f t="shared" si="32"/>
        <v>62.56</v>
      </c>
      <c r="S244" s="5">
        <f t="shared" si="33"/>
        <v>46.92</v>
      </c>
      <c r="T244" s="5">
        <f t="shared" si="34"/>
        <v>31.28</v>
      </c>
      <c r="U244" s="5">
        <f t="shared" si="35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>M245</f>
        <v>172.98</v>
      </c>
      <c r="I245" s="5">
        <v>150</v>
      </c>
      <c r="M245" s="5">
        <f t="shared" si="27"/>
        <v>172.98</v>
      </c>
      <c r="N245" s="5">
        <f t="shared" si="28"/>
        <v>153.76</v>
      </c>
      <c r="O245" s="5">
        <f t="shared" si="29"/>
        <v>134.54</v>
      </c>
      <c r="P245" s="5">
        <f t="shared" si="30"/>
        <v>115.32</v>
      </c>
      <c r="Q245" s="5">
        <f t="shared" si="31"/>
        <v>96.1</v>
      </c>
      <c r="R245" s="5">
        <f t="shared" si="32"/>
        <v>76.88</v>
      </c>
      <c r="S245" s="5">
        <f t="shared" si="33"/>
        <v>57.66</v>
      </c>
      <c r="T245" s="5">
        <f t="shared" si="34"/>
        <v>38.44</v>
      </c>
      <c r="U245" s="5">
        <f t="shared" si="35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>M246</f>
        <v>219.32999999999998</v>
      </c>
      <c r="I246" s="5">
        <v>150</v>
      </c>
      <c r="M246" s="5">
        <f t="shared" si="27"/>
        <v>219.32999999999998</v>
      </c>
      <c r="N246" s="5">
        <f t="shared" si="28"/>
        <v>194.96</v>
      </c>
      <c r="O246" s="5">
        <f t="shared" si="29"/>
        <v>170.58999999999997</v>
      </c>
      <c r="P246" s="5">
        <f t="shared" si="30"/>
        <v>146.22</v>
      </c>
      <c r="Q246" s="5">
        <f t="shared" si="31"/>
        <v>121.85</v>
      </c>
      <c r="R246" s="5">
        <f t="shared" si="32"/>
        <v>97.48</v>
      </c>
      <c r="S246" s="5">
        <f t="shared" si="33"/>
        <v>73.11</v>
      </c>
      <c r="T246" s="5">
        <f t="shared" si="34"/>
        <v>48.74</v>
      </c>
      <c r="U246" s="5">
        <f t="shared" si="35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>M247</f>
        <v>112.59</v>
      </c>
      <c r="I247" s="5">
        <v>90</v>
      </c>
      <c r="M247" s="5">
        <f t="shared" si="27"/>
        <v>112.59</v>
      </c>
      <c r="N247" s="5">
        <f t="shared" si="28"/>
        <v>100.08</v>
      </c>
      <c r="O247" s="5">
        <f t="shared" si="29"/>
        <v>87.57</v>
      </c>
      <c r="P247" s="5">
        <f t="shared" si="30"/>
        <v>75.059999999999988</v>
      </c>
      <c r="Q247" s="5">
        <f t="shared" si="31"/>
        <v>62.55</v>
      </c>
      <c r="R247" s="5">
        <f t="shared" si="32"/>
        <v>50.04</v>
      </c>
      <c r="S247" s="5">
        <f t="shared" si="33"/>
        <v>37.529999999999994</v>
      </c>
      <c r="T247" s="5">
        <f t="shared" si="34"/>
        <v>25.02</v>
      </c>
      <c r="U247" s="5">
        <f t="shared" si="35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>M248</f>
        <v>1.2</v>
      </c>
      <c r="I248" s="5">
        <v>330</v>
      </c>
      <c r="M248" s="5">
        <f t="shared" si="27"/>
        <v>1.2</v>
      </c>
      <c r="N248" s="5">
        <f t="shared" si="28"/>
        <v>1.2</v>
      </c>
      <c r="O248" s="5">
        <f t="shared" si="29"/>
        <v>1.2</v>
      </c>
      <c r="P248" s="5">
        <f t="shared" si="30"/>
        <v>1.2</v>
      </c>
      <c r="Q248" s="5">
        <f t="shared" si="31"/>
        <v>1.2</v>
      </c>
      <c r="R248" s="5">
        <f t="shared" si="32"/>
        <v>1.2</v>
      </c>
      <c r="S248" s="5">
        <f t="shared" si="33"/>
        <v>1.2</v>
      </c>
      <c r="T248" s="5">
        <f t="shared" si="34"/>
        <v>1.2</v>
      </c>
      <c r="U248" s="5">
        <f t="shared" si="35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>M249</f>
        <v>149.31</v>
      </c>
      <c r="I249" s="5">
        <v>90</v>
      </c>
      <c r="M249" s="5">
        <f t="shared" si="27"/>
        <v>149.31</v>
      </c>
      <c r="N249" s="5">
        <f t="shared" si="28"/>
        <v>132.72</v>
      </c>
      <c r="O249" s="5">
        <f t="shared" si="29"/>
        <v>116.13</v>
      </c>
      <c r="P249" s="5">
        <f t="shared" si="30"/>
        <v>99.54</v>
      </c>
      <c r="Q249" s="5">
        <f t="shared" si="31"/>
        <v>82.95</v>
      </c>
      <c r="R249" s="5">
        <f t="shared" si="32"/>
        <v>66.36</v>
      </c>
      <c r="S249" s="5">
        <f t="shared" si="33"/>
        <v>49.77</v>
      </c>
      <c r="T249" s="5">
        <f t="shared" si="34"/>
        <v>33.18</v>
      </c>
      <c r="U249" s="5">
        <f t="shared" si="35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>M250</f>
        <v>2.8</v>
      </c>
      <c r="I250" s="5">
        <v>270</v>
      </c>
      <c r="M250" s="5">
        <f t="shared" si="27"/>
        <v>2.8</v>
      </c>
      <c r="N250" s="5">
        <f t="shared" si="28"/>
        <v>2.8</v>
      </c>
      <c r="O250" s="5">
        <f t="shared" si="29"/>
        <v>2.8</v>
      </c>
      <c r="P250" s="5">
        <f t="shared" si="30"/>
        <v>2.8</v>
      </c>
      <c r="Q250" s="5">
        <f t="shared" si="31"/>
        <v>2.8</v>
      </c>
      <c r="R250" s="5">
        <f t="shared" si="32"/>
        <v>2.8</v>
      </c>
      <c r="S250" s="5">
        <f t="shared" si="33"/>
        <v>2.8</v>
      </c>
      <c r="T250" s="5">
        <f t="shared" si="34"/>
        <v>2.8</v>
      </c>
      <c r="U250" s="5">
        <f t="shared" si="35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>M251</f>
        <v>23.5</v>
      </c>
      <c r="I251" s="5">
        <v>365</v>
      </c>
      <c r="M251" s="5">
        <f t="shared" si="27"/>
        <v>23.5</v>
      </c>
      <c r="N251" s="5">
        <f t="shared" si="28"/>
        <v>23.5</v>
      </c>
      <c r="O251" s="5">
        <f t="shared" si="29"/>
        <v>23.5</v>
      </c>
      <c r="P251" s="5">
        <f t="shared" si="30"/>
        <v>23.5</v>
      </c>
      <c r="Q251" s="5">
        <f t="shared" si="31"/>
        <v>23.5</v>
      </c>
      <c r="R251" s="5">
        <f t="shared" si="32"/>
        <v>23.5</v>
      </c>
      <c r="S251" s="5">
        <f t="shared" si="33"/>
        <v>23.5</v>
      </c>
      <c r="T251" s="5">
        <f t="shared" si="34"/>
        <v>23.5</v>
      </c>
      <c r="U251" s="5">
        <f t="shared" si="35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>M252</f>
        <v>6.1</v>
      </c>
      <c r="I252" s="5">
        <v>240</v>
      </c>
      <c r="M252" s="5">
        <f t="shared" si="27"/>
        <v>6.1</v>
      </c>
      <c r="N252" s="5">
        <f t="shared" si="28"/>
        <v>6.1</v>
      </c>
      <c r="O252" s="5">
        <f t="shared" si="29"/>
        <v>6.1</v>
      </c>
      <c r="P252" s="5">
        <f t="shared" si="30"/>
        <v>6.1</v>
      </c>
      <c r="Q252" s="5">
        <f t="shared" si="31"/>
        <v>6.1</v>
      </c>
      <c r="R252" s="5">
        <f t="shared" si="32"/>
        <v>6.1</v>
      </c>
      <c r="S252" s="5">
        <f t="shared" si="33"/>
        <v>6.1</v>
      </c>
      <c r="T252" s="5">
        <f t="shared" si="34"/>
        <v>6.1</v>
      </c>
      <c r="U252" s="5">
        <f t="shared" si="35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>M253</f>
        <v>331.65000000000003</v>
      </c>
      <c r="I253" s="5">
        <v>90</v>
      </c>
      <c r="M253" s="5">
        <f t="shared" si="27"/>
        <v>331.65000000000003</v>
      </c>
      <c r="N253" s="5">
        <f t="shared" si="28"/>
        <v>294.8</v>
      </c>
      <c r="O253" s="5">
        <f t="shared" si="29"/>
        <v>257.95</v>
      </c>
      <c r="P253" s="5">
        <f t="shared" si="30"/>
        <v>221.1</v>
      </c>
      <c r="Q253" s="5">
        <f t="shared" si="31"/>
        <v>184.25</v>
      </c>
      <c r="R253" s="5">
        <f t="shared" si="32"/>
        <v>147.4</v>
      </c>
      <c r="S253" s="5">
        <f t="shared" si="33"/>
        <v>110.55</v>
      </c>
      <c r="T253" s="5">
        <f t="shared" si="34"/>
        <v>73.7</v>
      </c>
      <c r="U253" s="5">
        <f t="shared" si="35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>M254</f>
        <v>152.46</v>
      </c>
      <c r="I254" s="5">
        <v>150</v>
      </c>
      <c r="M254" s="5">
        <f t="shared" si="27"/>
        <v>152.46</v>
      </c>
      <c r="N254" s="5">
        <f t="shared" si="28"/>
        <v>135.52000000000001</v>
      </c>
      <c r="O254" s="5">
        <f t="shared" si="29"/>
        <v>118.58</v>
      </c>
      <c r="P254" s="5">
        <f t="shared" si="30"/>
        <v>101.64</v>
      </c>
      <c r="Q254" s="5">
        <f t="shared" si="31"/>
        <v>84.7</v>
      </c>
      <c r="R254" s="5">
        <f t="shared" si="32"/>
        <v>67.760000000000005</v>
      </c>
      <c r="S254" s="5">
        <f t="shared" si="33"/>
        <v>50.82</v>
      </c>
      <c r="T254" s="5">
        <f t="shared" si="34"/>
        <v>33.880000000000003</v>
      </c>
      <c r="U254" s="5">
        <f t="shared" si="35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>M255</f>
        <v>59.760000000000005</v>
      </c>
      <c r="I255" s="5">
        <v>90</v>
      </c>
      <c r="M255" s="5">
        <f t="shared" si="27"/>
        <v>59.760000000000005</v>
      </c>
      <c r="N255" s="5">
        <f t="shared" si="28"/>
        <v>53.120000000000005</v>
      </c>
      <c r="O255" s="5">
        <f t="shared" si="29"/>
        <v>46.480000000000004</v>
      </c>
      <c r="P255" s="5">
        <f t="shared" si="30"/>
        <v>39.840000000000003</v>
      </c>
      <c r="Q255" s="5">
        <f t="shared" si="31"/>
        <v>33.200000000000003</v>
      </c>
      <c r="R255" s="5">
        <f t="shared" si="32"/>
        <v>26.560000000000002</v>
      </c>
      <c r="S255" s="5">
        <f t="shared" si="33"/>
        <v>19.920000000000002</v>
      </c>
      <c r="T255" s="5">
        <f t="shared" si="34"/>
        <v>13.280000000000001</v>
      </c>
      <c r="U255" s="5">
        <f t="shared" si="35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>M256</f>
        <v>5.7</v>
      </c>
      <c r="I256" s="5">
        <v>365</v>
      </c>
      <c r="M256" s="5">
        <f t="shared" si="27"/>
        <v>5.7</v>
      </c>
      <c r="N256" s="5">
        <f t="shared" si="28"/>
        <v>5.7</v>
      </c>
      <c r="O256" s="5">
        <f t="shared" si="29"/>
        <v>5.7</v>
      </c>
      <c r="P256" s="5">
        <f t="shared" si="30"/>
        <v>5.7</v>
      </c>
      <c r="Q256" s="5">
        <f t="shared" si="31"/>
        <v>5.7</v>
      </c>
      <c r="R256" s="5">
        <f t="shared" si="32"/>
        <v>5.7</v>
      </c>
      <c r="S256" s="5">
        <f t="shared" si="33"/>
        <v>5.7</v>
      </c>
      <c r="T256" s="5">
        <f t="shared" si="34"/>
        <v>5.7</v>
      </c>
      <c r="U256" s="5">
        <f t="shared" si="35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>M257</f>
        <v>1</v>
      </c>
      <c r="I257" s="5">
        <v>365</v>
      </c>
      <c r="M257" s="5">
        <f t="shared" si="27"/>
        <v>1</v>
      </c>
      <c r="N257" s="5">
        <f t="shared" si="28"/>
        <v>1</v>
      </c>
      <c r="O257" s="5">
        <f t="shared" si="29"/>
        <v>1</v>
      </c>
      <c r="P257" s="5">
        <f t="shared" si="30"/>
        <v>1</v>
      </c>
      <c r="Q257" s="5">
        <f t="shared" si="31"/>
        <v>1</v>
      </c>
      <c r="R257" s="5">
        <f t="shared" si="32"/>
        <v>1</v>
      </c>
      <c r="S257" s="5">
        <f t="shared" si="33"/>
        <v>1</v>
      </c>
      <c r="T257" s="5">
        <f t="shared" si="34"/>
        <v>1</v>
      </c>
      <c r="U257" s="5">
        <f t="shared" si="35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>M258</f>
        <v>57.42</v>
      </c>
      <c r="I258" s="5">
        <v>120</v>
      </c>
      <c r="M258" s="5">
        <f t="shared" si="27"/>
        <v>57.42</v>
      </c>
      <c r="N258" s="5">
        <f t="shared" si="28"/>
        <v>51.04</v>
      </c>
      <c r="O258" s="5">
        <f t="shared" si="29"/>
        <v>44.66</v>
      </c>
      <c r="P258" s="5">
        <f t="shared" si="30"/>
        <v>38.279999999999994</v>
      </c>
      <c r="Q258" s="5">
        <f t="shared" si="31"/>
        <v>31.9</v>
      </c>
      <c r="R258" s="5">
        <f t="shared" si="32"/>
        <v>25.52</v>
      </c>
      <c r="S258" s="5">
        <f t="shared" si="33"/>
        <v>19.139999999999997</v>
      </c>
      <c r="T258" s="5">
        <f t="shared" si="34"/>
        <v>12.76</v>
      </c>
      <c r="U258" s="5">
        <f t="shared" si="35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>M259</f>
        <v>19.600000000000001</v>
      </c>
      <c r="I259" s="5">
        <v>120</v>
      </c>
      <c r="M259" s="5">
        <f t="shared" ref="M259:M322" si="36">IF($G259&gt;=50, $G259*0.9,$G259)</f>
        <v>19.600000000000001</v>
      </c>
      <c r="N259" s="5">
        <f t="shared" ref="N259:N322" si="37">IF($G259&gt;=50, $G259*0.8,$G259)</f>
        <v>19.600000000000001</v>
      </c>
      <c r="O259" s="5">
        <f t="shared" ref="O259:O322" si="38">IF($G259&gt;=50, $G259*0.7,$G259)</f>
        <v>19.600000000000001</v>
      </c>
      <c r="P259" s="5">
        <f t="shared" ref="P259:P322" si="39">IF($G259&gt;=50, $G259*0.6,$G259)</f>
        <v>19.600000000000001</v>
      </c>
      <c r="Q259" s="5">
        <f t="shared" ref="Q259:Q322" si="40">IF($G259&gt;=50, $G259*0.5,$G259)</f>
        <v>19.600000000000001</v>
      </c>
      <c r="R259" s="5">
        <f t="shared" ref="R259:R322" si="41">IF($G259&gt;=50, $G259*0.4,$G259)</f>
        <v>19.600000000000001</v>
      </c>
      <c r="S259" s="5">
        <f t="shared" ref="S259:S322" si="42">IF($G259&gt;=50, $G259*0.3,$G259)</f>
        <v>19.600000000000001</v>
      </c>
      <c r="T259" s="5">
        <f t="shared" ref="T259:T322" si="43">IF($G259&gt;=50, $G259*0.2,$G259)</f>
        <v>19.600000000000001</v>
      </c>
      <c r="U259" s="5">
        <f t="shared" ref="U259:U322" si="44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>M260</f>
        <v>180.27</v>
      </c>
      <c r="I260" s="5">
        <v>120</v>
      </c>
      <c r="M260" s="5">
        <f t="shared" si="36"/>
        <v>180.27</v>
      </c>
      <c r="N260" s="5">
        <f t="shared" si="37"/>
        <v>160.24</v>
      </c>
      <c r="O260" s="5">
        <f t="shared" si="38"/>
        <v>140.21</v>
      </c>
      <c r="P260" s="5">
        <f t="shared" si="39"/>
        <v>120.18</v>
      </c>
      <c r="Q260" s="5">
        <f t="shared" si="40"/>
        <v>100.15</v>
      </c>
      <c r="R260" s="5">
        <f t="shared" si="41"/>
        <v>80.12</v>
      </c>
      <c r="S260" s="5">
        <f t="shared" si="42"/>
        <v>60.09</v>
      </c>
      <c r="T260" s="5">
        <f t="shared" si="43"/>
        <v>40.06</v>
      </c>
      <c r="U260" s="5">
        <f t="shared" si="44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>M261</f>
        <v>15</v>
      </c>
      <c r="I261" s="5">
        <v>365</v>
      </c>
      <c r="M261" s="5">
        <f t="shared" si="36"/>
        <v>15</v>
      </c>
      <c r="N261" s="5">
        <f t="shared" si="37"/>
        <v>15</v>
      </c>
      <c r="O261" s="5">
        <f t="shared" si="38"/>
        <v>15</v>
      </c>
      <c r="P261" s="5">
        <f t="shared" si="39"/>
        <v>15</v>
      </c>
      <c r="Q261" s="5">
        <f t="shared" si="40"/>
        <v>15</v>
      </c>
      <c r="R261" s="5">
        <f t="shared" si="41"/>
        <v>15</v>
      </c>
      <c r="S261" s="5">
        <f t="shared" si="42"/>
        <v>15</v>
      </c>
      <c r="T261" s="5">
        <f t="shared" si="43"/>
        <v>15</v>
      </c>
      <c r="U261" s="5">
        <f t="shared" si="44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>M262</f>
        <v>13</v>
      </c>
      <c r="I262" s="5">
        <v>300</v>
      </c>
      <c r="M262" s="5">
        <f t="shared" si="36"/>
        <v>13</v>
      </c>
      <c r="N262" s="5">
        <f t="shared" si="37"/>
        <v>13</v>
      </c>
      <c r="O262" s="5">
        <f t="shared" si="38"/>
        <v>13</v>
      </c>
      <c r="P262" s="5">
        <f t="shared" si="39"/>
        <v>13</v>
      </c>
      <c r="Q262" s="5">
        <f t="shared" si="40"/>
        <v>13</v>
      </c>
      <c r="R262" s="5">
        <f t="shared" si="41"/>
        <v>13</v>
      </c>
      <c r="S262" s="5">
        <f t="shared" si="42"/>
        <v>13</v>
      </c>
      <c r="T262" s="5">
        <f t="shared" si="43"/>
        <v>13</v>
      </c>
      <c r="U262" s="5">
        <f t="shared" si="44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>M263</f>
        <v>320.40000000000003</v>
      </c>
      <c r="I263" s="5">
        <v>90</v>
      </c>
      <c r="M263" s="5">
        <f t="shared" si="36"/>
        <v>320.40000000000003</v>
      </c>
      <c r="N263" s="5">
        <f t="shared" si="37"/>
        <v>284.8</v>
      </c>
      <c r="O263" s="5">
        <f t="shared" si="38"/>
        <v>249.2</v>
      </c>
      <c r="P263" s="5">
        <f t="shared" si="39"/>
        <v>213.6</v>
      </c>
      <c r="Q263" s="5">
        <f t="shared" si="40"/>
        <v>178</v>
      </c>
      <c r="R263" s="5">
        <f t="shared" si="41"/>
        <v>142.4</v>
      </c>
      <c r="S263" s="5">
        <f t="shared" si="42"/>
        <v>106.8</v>
      </c>
      <c r="T263" s="5">
        <f t="shared" si="43"/>
        <v>71.2</v>
      </c>
      <c r="U263" s="5">
        <f t="shared" si="44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>M264</f>
        <v>208.98</v>
      </c>
      <c r="I264" s="5">
        <v>120</v>
      </c>
      <c r="M264" s="5">
        <f t="shared" si="36"/>
        <v>208.98</v>
      </c>
      <c r="N264" s="5">
        <f t="shared" si="37"/>
        <v>185.76</v>
      </c>
      <c r="O264" s="5">
        <f t="shared" si="38"/>
        <v>162.54</v>
      </c>
      <c r="P264" s="5">
        <f t="shared" si="39"/>
        <v>139.32</v>
      </c>
      <c r="Q264" s="5">
        <f t="shared" si="40"/>
        <v>116.1</v>
      </c>
      <c r="R264" s="5">
        <f t="shared" si="41"/>
        <v>92.88</v>
      </c>
      <c r="S264" s="5">
        <f t="shared" si="42"/>
        <v>69.66</v>
      </c>
      <c r="T264" s="5">
        <f t="shared" si="43"/>
        <v>46.44</v>
      </c>
      <c r="U264" s="5">
        <f t="shared" si="44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>M265</f>
        <v>12.3</v>
      </c>
      <c r="I265" s="5">
        <v>270</v>
      </c>
      <c r="M265" s="5">
        <f t="shared" si="36"/>
        <v>12.3</v>
      </c>
      <c r="N265" s="5">
        <f t="shared" si="37"/>
        <v>12.3</v>
      </c>
      <c r="O265" s="5">
        <f t="shared" si="38"/>
        <v>12.3</v>
      </c>
      <c r="P265" s="5">
        <f t="shared" si="39"/>
        <v>12.3</v>
      </c>
      <c r="Q265" s="5">
        <f t="shared" si="40"/>
        <v>12.3</v>
      </c>
      <c r="R265" s="5">
        <f t="shared" si="41"/>
        <v>12.3</v>
      </c>
      <c r="S265" s="5">
        <f t="shared" si="42"/>
        <v>12.3</v>
      </c>
      <c r="T265" s="5">
        <f t="shared" si="43"/>
        <v>12.3</v>
      </c>
      <c r="U265" s="5">
        <f t="shared" si="44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>M266</f>
        <v>17.7</v>
      </c>
      <c r="I266" s="5">
        <v>120</v>
      </c>
      <c r="M266" s="5">
        <f t="shared" si="36"/>
        <v>17.7</v>
      </c>
      <c r="N266" s="5">
        <f t="shared" si="37"/>
        <v>17.7</v>
      </c>
      <c r="O266" s="5">
        <f t="shared" si="38"/>
        <v>17.7</v>
      </c>
      <c r="P266" s="5">
        <f t="shared" si="39"/>
        <v>17.7</v>
      </c>
      <c r="Q266" s="5">
        <f t="shared" si="40"/>
        <v>17.7</v>
      </c>
      <c r="R266" s="5">
        <f t="shared" si="41"/>
        <v>17.7</v>
      </c>
      <c r="S266" s="5">
        <f t="shared" si="42"/>
        <v>17.7</v>
      </c>
      <c r="T266" s="5">
        <f t="shared" si="43"/>
        <v>17.7</v>
      </c>
      <c r="U266" s="5">
        <f t="shared" si="44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>M267</f>
        <v>33.5</v>
      </c>
      <c r="I267" s="5">
        <v>90</v>
      </c>
      <c r="M267" s="5">
        <f t="shared" si="36"/>
        <v>33.5</v>
      </c>
      <c r="N267" s="5">
        <f t="shared" si="37"/>
        <v>33.5</v>
      </c>
      <c r="O267" s="5">
        <f t="shared" si="38"/>
        <v>33.5</v>
      </c>
      <c r="P267" s="5">
        <f t="shared" si="39"/>
        <v>33.5</v>
      </c>
      <c r="Q267" s="5">
        <f t="shared" si="40"/>
        <v>33.5</v>
      </c>
      <c r="R267" s="5">
        <f t="shared" si="41"/>
        <v>33.5</v>
      </c>
      <c r="S267" s="5">
        <f t="shared" si="42"/>
        <v>33.5</v>
      </c>
      <c r="T267" s="5">
        <f t="shared" si="43"/>
        <v>33.5</v>
      </c>
      <c r="U267" s="5">
        <f t="shared" si="44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>M268</f>
        <v>174.24</v>
      </c>
      <c r="I268" s="5">
        <v>90</v>
      </c>
      <c r="M268" s="5">
        <f t="shared" si="36"/>
        <v>174.24</v>
      </c>
      <c r="N268" s="5">
        <f t="shared" si="37"/>
        <v>154.88</v>
      </c>
      <c r="O268" s="5">
        <f t="shared" si="38"/>
        <v>135.51999999999998</v>
      </c>
      <c r="P268" s="5">
        <f t="shared" si="39"/>
        <v>116.16</v>
      </c>
      <c r="Q268" s="5">
        <f t="shared" si="40"/>
        <v>96.8</v>
      </c>
      <c r="R268" s="5">
        <f t="shared" si="41"/>
        <v>77.44</v>
      </c>
      <c r="S268" s="5">
        <f t="shared" si="42"/>
        <v>58.08</v>
      </c>
      <c r="T268" s="5">
        <f t="shared" si="43"/>
        <v>38.72</v>
      </c>
      <c r="U268" s="5">
        <f t="shared" si="44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>M269</f>
        <v>23.8</v>
      </c>
      <c r="I269" s="5">
        <v>120</v>
      </c>
      <c r="M269" s="5">
        <f t="shared" si="36"/>
        <v>23.8</v>
      </c>
      <c r="N269" s="5">
        <f t="shared" si="37"/>
        <v>23.8</v>
      </c>
      <c r="O269" s="5">
        <f t="shared" si="38"/>
        <v>23.8</v>
      </c>
      <c r="P269" s="5">
        <f t="shared" si="39"/>
        <v>23.8</v>
      </c>
      <c r="Q269" s="5">
        <f t="shared" si="40"/>
        <v>23.8</v>
      </c>
      <c r="R269" s="5">
        <f t="shared" si="41"/>
        <v>23.8</v>
      </c>
      <c r="S269" s="5">
        <f t="shared" si="42"/>
        <v>23.8</v>
      </c>
      <c r="T269" s="5">
        <f t="shared" si="43"/>
        <v>23.8</v>
      </c>
      <c r="U269" s="5">
        <f t="shared" si="44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>M270</f>
        <v>1.2</v>
      </c>
      <c r="I270" s="5">
        <v>120</v>
      </c>
      <c r="M270" s="5">
        <f t="shared" si="36"/>
        <v>1.2</v>
      </c>
      <c r="N270" s="5">
        <f t="shared" si="37"/>
        <v>1.2</v>
      </c>
      <c r="O270" s="5">
        <f t="shared" si="38"/>
        <v>1.2</v>
      </c>
      <c r="P270" s="5">
        <f t="shared" si="39"/>
        <v>1.2</v>
      </c>
      <c r="Q270" s="5">
        <f t="shared" si="40"/>
        <v>1.2</v>
      </c>
      <c r="R270" s="5">
        <f t="shared" si="41"/>
        <v>1.2</v>
      </c>
      <c r="S270" s="5">
        <f t="shared" si="42"/>
        <v>1.2</v>
      </c>
      <c r="T270" s="5">
        <f t="shared" si="43"/>
        <v>1.2</v>
      </c>
      <c r="U270" s="5">
        <f t="shared" si="44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>M271</f>
        <v>1.2</v>
      </c>
      <c r="I271" s="5">
        <v>120</v>
      </c>
      <c r="M271" s="5">
        <f t="shared" si="36"/>
        <v>1.2</v>
      </c>
      <c r="N271" s="5">
        <f t="shared" si="37"/>
        <v>1.2</v>
      </c>
      <c r="O271" s="5">
        <f t="shared" si="38"/>
        <v>1.2</v>
      </c>
      <c r="P271" s="5">
        <f t="shared" si="39"/>
        <v>1.2</v>
      </c>
      <c r="Q271" s="5">
        <f t="shared" si="40"/>
        <v>1.2</v>
      </c>
      <c r="R271" s="5">
        <f t="shared" si="41"/>
        <v>1.2</v>
      </c>
      <c r="S271" s="5">
        <f t="shared" si="42"/>
        <v>1.2</v>
      </c>
      <c r="T271" s="5">
        <f t="shared" si="43"/>
        <v>1.2</v>
      </c>
      <c r="U271" s="5">
        <f t="shared" si="44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>M272</f>
        <v>117.81</v>
      </c>
      <c r="I272" s="5">
        <v>150</v>
      </c>
      <c r="M272" s="5">
        <f t="shared" si="36"/>
        <v>117.81</v>
      </c>
      <c r="N272" s="5">
        <f t="shared" si="37"/>
        <v>104.72000000000001</v>
      </c>
      <c r="O272" s="5">
        <f t="shared" si="38"/>
        <v>91.63</v>
      </c>
      <c r="P272" s="5">
        <f t="shared" si="39"/>
        <v>78.540000000000006</v>
      </c>
      <c r="Q272" s="5">
        <f t="shared" si="40"/>
        <v>65.45</v>
      </c>
      <c r="R272" s="5">
        <f t="shared" si="41"/>
        <v>52.360000000000007</v>
      </c>
      <c r="S272" s="5">
        <f t="shared" si="42"/>
        <v>39.270000000000003</v>
      </c>
      <c r="T272" s="5">
        <f t="shared" si="43"/>
        <v>26.180000000000003</v>
      </c>
      <c r="U272" s="5">
        <f t="shared" si="44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>M273</f>
        <v>0.8</v>
      </c>
      <c r="I273" s="5">
        <v>150</v>
      </c>
      <c r="M273" s="5">
        <f t="shared" si="36"/>
        <v>0.8</v>
      </c>
      <c r="N273" s="5">
        <f t="shared" si="37"/>
        <v>0.8</v>
      </c>
      <c r="O273" s="5">
        <f t="shared" si="38"/>
        <v>0.8</v>
      </c>
      <c r="P273" s="5">
        <f t="shared" si="39"/>
        <v>0.8</v>
      </c>
      <c r="Q273" s="5">
        <f t="shared" si="40"/>
        <v>0.8</v>
      </c>
      <c r="R273" s="5">
        <f t="shared" si="41"/>
        <v>0.8</v>
      </c>
      <c r="S273" s="5">
        <f t="shared" si="42"/>
        <v>0.8</v>
      </c>
      <c r="T273" s="5">
        <f t="shared" si="43"/>
        <v>0.8</v>
      </c>
      <c r="U273" s="5">
        <f t="shared" si="44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>M274</f>
        <v>7.3</v>
      </c>
      <c r="I274" s="5">
        <v>120</v>
      </c>
      <c r="M274" s="5">
        <f t="shared" si="36"/>
        <v>7.3</v>
      </c>
      <c r="N274" s="5">
        <f t="shared" si="37"/>
        <v>7.3</v>
      </c>
      <c r="O274" s="5">
        <f t="shared" si="38"/>
        <v>7.3</v>
      </c>
      <c r="P274" s="5">
        <f t="shared" si="39"/>
        <v>7.3</v>
      </c>
      <c r="Q274" s="5">
        <f t="shared" si="40"/>
        <v>7.3</v>
      </c>
      <c r="R274" s="5">
        <f t="shared" si="41"/>
        <v>7.3</v>
      </c>
      <c r="S274" s="5">
        <f t="shared" si="42"/>
        <v>7.3</v>
      </c>
      <c r="T274" s="5">
        <f t="shared" si="43"/>
        <v>7.3</v>
      </c>
      <c r="U274" s="5">
        <f t="shared" si="44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>M275</f>
        <v>1.1000000000000001</v>
      </c>
      <c r="I275" s="5">
        <v>365</v>
      </c>
      <c r="M275" s="5">
        <f t="shared" si="36"/>
        <v>1.1000000000000001</v>
      </c>
      <c r="N275" s="5">
        <f t="shared" si="37"/>
        <v>1.1000000000000001</v>
      </c>
      <c r="O275" s="5">
        <f t="shared" si="38"/>
        <v>1.1000000000000001</v>
      </c>
      <c r="P275" s="5">
        <f t="shared" si="39"/>
        <v>1.1000000000000001</v>
      </c>
      <c r="Q275" s="5">
        <f t="shared" si="40"/>
        <v>1.1000000000000001</v>
      </c>
      <c r="R275" s="5">
        <f t="shared" si="41"/>
        <v>1.1000000000000001</v>
      </c>
      <c r="S275" s="5">
        <f t="shared" si="42"/>
        <v>1.1000000000000001</v>
      </c>
      <c r="T275" s="5">
        <f t="shared" si="43"/>
        <v>1.1000000000000001</v>
      </c>
      <c r="U275" s="5">
        <f t="shared" si="44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>M276</f>
        <v>216.9</v>
      </c>
      <c r="I276" s="5">
        <v>60</v>
      </c>
      <c r="M276" s="5">
        <f t="shared" si="36"/>
        <v>216.9</v>
      </c>
      <c r="N276" s="5">
        <f t="shared" si="37"/>
        <v>192.8</v>
      </c>
      <c r="O276" s="5">
        <f t="shared" si="38"/>
        <v>168.7</v>
      </c>
      <c r="P276" s="5">
        <f t="shared" si="39"/>
        <v>144.6</v>
      </c>
      <c r="Q276" s="5">
        <f t="shared" si="40"/>
        <v>120.5</v>
      </c>
      <c r="R276" s="5">
        <f t="shared" si="41"/>
        <v>96.4</v>
      </c>
      <c r="S276" s="5">
        <f t="shared" si="42"/>
        <v>72.3</v>
      </c>
      <c r="T276" s="5">
        <f t="shared" si="43"/>
        <v>48.2</v>
      </c>
      <c r="U276" s="5">
        <f t="shared" si="44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>M277</f>
        <v>2.2000000000000002</v>
      </c>
      <c r="I277" s="5">
        <v>365</v>
      </c>
      <c r="M277" s="5">
        <f t="shared" si="36"/>
        <v>2.2000000000000002</v>
      </c>
      <c r="N277" s="5">
        <f t="shared" si="37"/>
        <v>2.2000000000000002</v>
      </c>
      <c r="O277" s="5">
        <f t="shared" si="38"/>
        <v>2.2000000000000002</v>
      </c>
      <c r="P277" s="5">
        <f t="shared" si="39"/>
        <v>2.2000000000000002</v>
      </c>
      <c r="Q277" s="5">
        <f t="shared" si="40"/>
        <v>2.2000000000000002</v>
      </c>
      <c r="R277" s="5">
        <f t="shared" si="41"/>
        <v>2.2000000000000002</v>
      </c>
      <c r="S277" s="5">
        <f t="shared" si="42"/>
        <v>2.2000000000000002</v>
      </c>
      <c r="T277" s="5">
        <f t="shared" si="43"/>
        <v>2.2000000000000002</v>
      </c>
      <c r="U277" s="5">
        <f t="shared" si="44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>M278</f>
        <v>87.660000000000011</v>
      </c>
      <c r="I278" s="5">
        <v>60</v>
      </c>
      <c r="M278" s="5">
        <f t="shared" si="36"/>
        <v>87.660000000000011</v>
      </c>
      <c r="N278" s="5">
        <f t="shared" si="37"/>
        <v>77.920000000000016</v>
      </c>
      <c r="O278" s="5">
        <f t="shared" si="38"/>
        <v>68.179999999999993</v>
      </c>
      <c r="P278" s="5">
        <f t="shared" si="39"/>
        <v>58.44</v>
      </c>
      <c r="Q278" s="5">
        <f t="shared" si="40"/>
        <v>48.7</v>
      </c>
      <c r="R278" s="5">
        <f t="shared" si="41"/>
        <v>38.960000000000008</v>
      </c>
      <c r="S278" s="5">
        <f t="shared" si="42"/>
        <v>29.22</v>
      </c>
      <c r="T278" s="5">
        <f t="shared" si="43"/>
        <v>19.480000000000004</v>
      </c>
      <c r="U278" s="5">
        <f t="shared" si="44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>M279</f>
        <v>64.17</v>
      </c>
      <c r="I279" s="5">
        <v>90</v>
      </c>
      <c r="M279" s="5">
        <f t="shared" si="36"/>
        <v>64.17</v>
      </c>
      <c r="N279" s="5">
        <f t="shared" si="37"/>
        <v>57.04</v>
      </c>
      <c r="O279" s="5">
        <f t="shared" si="38"/>
        <v>49.91</v>
      </c>
      <c r="P279" s="5">
        <f t="shared" si="39"/>
        <v>42.779999999999994</v>
      </c>
      <c r="Q279" s="5">
        <f t="shared" si="40"/>
        <v>35.65</v>
      </c>
      <c r="R279" s="5">
        <f t="shared" si="41"/>
        <v>28.52</v>
      </c>
      <c r="S279" s="5">
        <f t="shared" si="42"/>
        <v>21.389999999999997</v>
      </c>
      <c r="T279" s="5">
        <f t="shared" si="43"/>
        <v>14.26</v>
      </c>
      <c r="U279" s="5">
        <f t="shared" si="44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>M280</f>
        <v>47.4</v>
      </c>
      <c r="I280" s="5">
        <v>90</v>
      </c>
      <c r="M280" s="5">
        <f t="shared" si="36"/>
        <v>47.4</v>
      </c>
      <c r="N280" s="5">
        <f t="shared" si="37"/>
        <v>47.4</v>
      </c>
      <c r="O280" s="5">
        <f t="shared" si="38"/>
        <v>47.4</v>
      </c>
      <c r="P280" s="5">
        <f t="shared" si="39"/>
        <v>47.4</v>
      </c>
      <c r="Q280" s="5">
        <f t="shared" si="40"/>
        <v>47.4</v>
      </c>
      <c r="R280" s="5">
        <f t="shared" si="41"/>
        <v>47.4</v>
      </c>
      <c r="S280" s="5">
        <f t="shared" si="42"/>
        <v>47.4</v>
      </c>
      <c r="T280" s="5">
        <f t="shared" si="43"/>
        <v>47.4</v>
      </c>
      <c r="U280" s="5">
        <f t="shared" si="44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>M281</f>
        <v>8.1999999999999993</v>
      </c>
      <c r="I281" s="5">
        <v>365</v>
      </c>
      <c r="M281" s="5">
        <f t="shared" si="36"/>
        <v>8.1999999999999993</v>
      </c>
      <c r="N281" s="5">
        <f t="shared" si="37"/>
        <v>8.1999999999999993</v>
      </c>
      <c r="O281" s="5">
        <f t="shared" si="38"/>
        <v>8.1999999999999993</v>
      </c>
      <c r="P281" s="5">
        <f t="shared" si="39"/>
        <v>8.1999999999999993</v>
      </c>
      <c r="Q281" s="5">
        <f t="shared" si="40"/>
        <v>8.1999999999999993</v>
      </c>
      <c r="R281" s="5">
        <f t="shared" si="41"/>
        <v>8.1999999999999993</v>
      </c>
      <c r="S281" s="5">
        <f t="shared" si="42"/>
        <v>8.1999999999999993</v>
      </c>
      <c r="T281" s="5">
        <f t="shared" si="43"/>
        <v>8.1999999999999993</v>
      </c>
      <c r="U281" s="5">
        <f t="shared" si="44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>M282</f>
        <v>0.5</v>
      </c>
      <c r="I282" s="5">
        <v>365</v>
      </c>
      <c r="M282" s="5">
        <f t="shared" si="36"/>
        <v>0.5</v>
      </c>
      <c r="N282" s="5">
        <f t="shared" si="37"/>
        <v>0.5</v>
      </c>
      <c r="O282" s="5">
        <f t="shared" si="38"/>
        <v>0.5</v>
      </c>
      <c r="P282" s="5">
        <f t="shared" si="39"/>
        <v>0.5</v>
      </c>
      <c r="Q282" s="5">
        <f t="shared" si="40"/>
        <v>0.5</v>
      </c>
      <c r="R282" s="5">
        <f t="shared" si="41"/>
        <v>0.5</v>
      </c>
      <c r="S282" s="5">
        <f t="shared" si="42"/>
        <v>0.5</v>
      </c>
      <c r="T282" s="5">
        <f t="shared" si="43"/>
        <v>0.5</v>
      </c>
      <c r="U282" s="5">
        <f t="shared" si="44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>M283</f>
        <v>2.7</v>
      </c>
      <c r="I283" s="5">
        <v>30</v>
      </c>
      <c r="M283" s="5">
        <f t="shared" si="36"/>
        <v>2.7</v>
      </c>
      <c r="N283" s="5">
        <f t="shared" si="37"/>
        <v>2.7</v>
      </c>
      <c r="O283" s="5">
        <f t="shared" si="38"/>
        <v>2.7</v>
      </c>
      <c r="P283" s="5">
        <f t="shared" si="39"/>
        <v>2.7</v>
      </c>
      <c r="Q283" s="5">
        <f t="shared" si="40"/>
        <v>2.7</v>
      </c>
      <c r="R283" s="5">
        <f t="shared" si="41"/>
        <v>2.7</v>
      </c>
      <c r="S283" s="5">
        <f t="shared" si="42"/>
        <v>2.7</v>
      </c>
      <c r="T283" s="5">
        <f t="shared" si="43"/>
        <v>2.7</v>
      </c>
      <c r="U283" s="5">
        <f t="shared" si="44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>M284</f>
        <v>52.74</v>
      </c>
      <c r="I284" s="5">
        <v>90</v>
      </c>
      <c r="M284" s="5">
        <f t="shared" si="36"/>
        <v>52.74</v>
      </c>
      <c r="N284" s="5">
        <f t="shared" si="37"/>
        <v>46.88</v>
      </c>
      <c r="O284" s="5">
        <f t="shared" si="38"/>
        <v>41.019999999999996</v>
      </c>
      <c r="P284" s="5">
        <f t="shared" si="39"/>
        <v>35.159999999999997</v>
      </c>
      <c r="Q284" s="5">
        <f t="shared" si="40"/>
        <v>29.3</v>
      </c>
      <c r="R284" s="5">
        <f t="shared" si="41"/>
        <v>23.44</v>
      </c>
      <c r="S284" s="5">
        <f t="shared" si="42"/>
        <v>17.579999999999998</v>
      </c>
      <c r="T284" s="5">
        <f t="shared" si="43"/>
        <v>11.72</v>
      </c>
      <c r="U284" s="5">
        <f t="shared" si="44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>M285</f>
        <v>81</v>
      </c>
      <c r="I285" s="5">
        <v>90</v>
      </c>
      <c r="M285" s="5">
        <f t="shared" si="36"/>
        <v>81</v>
      </c>
      <c r="N285" s="5">
        <f t="shared" si="37"/>
        <v>72</v>
      </c>
      <c r="O285" s="5">
        <f t="shared" si="38"/>
        <v>62.999999999999993</v>
      </c>
      <c r="P285" s="5">
        <f t="shared" si="39"/>
        <v>54</v>
      </c>
      <c r="Q285" s="5">
        <f t="shared" si="40"/>
        <v>45</v>
      </c>
      <c r="R285" s="5">
        <f t="shared" si="41"/>
        <v>36</v>
      </c>
      <c r="S285" s="5">
        <f t="shared" si="42"/>
        <v>27</v>
      </c>
      <c r="T285" s="5">
        <f t="shared" si="43"/>
        <v>18</v>
      </c>
      <c r="U285" s="5">
        <f t="shared" si="44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>M286</f>
        <v>0.6</v>
      </c>
      <c r="I286" s="5">
        <v>150</v>
      </c>
      <c r="M286" s="5">
        <f t="shared" si="36"/>
        <v>0.6</v>
      </c>
      <c r="N286" s="5">
        <f t="shared" si="37"/>
        <v>0.6</v>
      </c>
      <c r="O286" s="5">
        <f t="shared" si="38"/>
        <v>0.6</v>
      </c>
      <c r="P286" s="5">
        <f t="shared" si="39"/>
        <v>0.6</v>
      </c>
      <c r="Q286" s="5">
        <f t="shared" si="40"/>
        <v>0.6</v>
      </c>
      <c r="R286" s="5">
        <f t="shared" si="41"/>
        <v>0.6</v>
      </c>
      <c r="S286" s="5">
        <f t="shared" si="42"/>
        <v>0.6</v>
      </c>
      <c r="T286" s="5">
        <f t="shared" si="43"/>
        <v>0.6</v>
      </c>
      <c r="U286" s="5">
        <f t="shared" si="44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>M287</f>
        <v>115.2</v>
      </c>
      <c r="I287" s="5">
        <v>60</v>
      </c>
      <c r="M287" s="5">
        <f t="shared" si="36"/>
        <v>115.2</v>
      </c>
      <c r="N287" s="5">
        <f t="shared" si="37"/>
        <v>102.4</v>
      </c>
      <c r="O287" s="5">
        <f t="shared" si="38"/>
        <v>89.6</v>
      </c>
      <c r="P287" s="5">
        <f t="shared" si="39"/>
        <v>76.8</v>
      </c>
      <c r="Q287" s="5">
        <f t="shared" si="40"/>
        <v>64</v>
      </c>
      <c r="R287" s="5">
        <f t="shared" si="41"/>
        <v>51.2</v>
      </c>
      <c r="S287" s="5">
        <f t="shared" si="42"/>
        <v>38.4</v>
      </c>
      <c r="T287" s="5">
        <f t="shared" si="43"/>
        <v>25.6</v>
      </c>
      <c r="U287" s="5">
        <f t="shared" si="44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>M288</f>
        <v>7.6</v>
      </c>
      <c r="I288" s="5">
        <v>365</v>
      </c>
      <c r="M288" s="5">
        <f t="shared" si="36"/>
        <v>7.6</v>
      </c>
      <c r="N288" s="5">
        <f t="shared" si="37"/>
        <v>7.6</v>
      </c>
      <c r="O288" s="5">
        <f t="shared" si="38"/>
        <v>7.6</v>
      </c>
      <c r="P288" s="5">
        <f t="shared" si="39"/>
        <v>7.6</v>
      </c>
      <c r="Q288" s="5">
        <f t="shared" si="40"/>
        <v>7.6</v>
      </c>
      <c r="R288" s="5">
        <f t="shared" si="41"/>
        <v>7.6</v>
      </c>
      <c r="S288" s="5">
        <f t="shared" si="42"/>
        <v>7.6</v>
      </c>
      <c r="T288" s="5">
        <f t="shared" si="43"/>
        <v>7.6</v>
      </c>
      <c r="U288" s="5">
        <f t="shared" si="44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>M289</f>
        <v>65.610000000000014</v>
      </c>
      <c r="I289" s="5">
        <v>90</v>
      </c>
      <c r="M289" s="5">
        <f t="shared" si="36"/>
        <v>65.610000000000014</v>
      </c>
      <c r="N289" s="5">
        <f t="shared" si="37"/>
        <v>58.320000000000007</v>
      </c>
      <c r="O289" s="5">
        <f t="shared" si="38"/>
        <v>51.03</v>
      </c>
      <c r="P289" s="5">
        <f t="shared" si="39"/>
        <v>43.74</v>
      </c>
      <c r="Q289" s="5">
        <f t="shared" si="40"/>
        <v>36.450000000000003</v>
      </c>
      <c r="R289" s="5">
        <f t="shared" si="41"/>
        <v>29.160000000000004</v>
      </c>
      <c r="S289" s="5">
        <f t="shared" si="42"/>
        <v>21.87</v>
      </c>
      <c r="T289" s="5">
        <f t="shared" si="43"/>
        <v>14.580000000000002</v>
      </c>
      <c r="U289" s="5">
        <f t="shared" si="44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>M290</f>
        <v>76.59</v>
      </c>
      <c r="I290" s="5">
        <v>120</v>
      </c>
      <c r="M290" s="5">
        <f t="shared" si="36"/>
        <v>76.59</v>
      </c>
      <c r="N290" s="5">
        <f t="shared" si="37"/>
        <v>68.08</v>
      </c>
      <c r="O290" s="5">
        <f t="shared" si="38"/>
        <v>59.569999999999993</v>
      </c>
      <c r="P290" s="5">
        <f t="shared" si="39"/>
        <v>51.059999999999995</v>
      </c>
      <c r="Q290" s="5">
        <f t="shared" si="40"/>
        <v>42.55</v>
      </c>
      <c r="R290" s="5">
        <f t="shared" si="41"/>
        <v>34.04</v>
      </c>
      <c r="S290" s="5">
        <f t="shared" si="42"/>
        <v>25.529999999999998</v>
      </c>
      <c r="T290" s="5">
        <f t="shared" si="43"/>
        <v>17.02</v>
      </c>
      <c r="U290" s="5">
        <f t="shared" si="44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>M291</f>
        <v>57.78</v>
      </c>
      <c r="I291" s="5">
        <v>120</v>
      </c>
      <c r="M291" s="5">
        <f t="shared" si="36"/>
        <v>57.78</v>
      </c>
      <c r="N291" s="5">
        <f t="shared" si="37"/>
        <v>51.360000000000007</v>
      </c>
      <c r="O291" s="5">
        <f t="shared" si="38"/>
        <v>44.94</v>
      </c>
      <c r="P291" s="5">
        <f t="shared" si="39"/>
        <v>38.520000000000003</v>
      </c>
      <c r="Q291" s="5">
        <f t="shared" si="40"/>
        <v>32.1</v>
      </c>
      <c r="R291" s="5">
        <f t="shared" si="41"/>
        <v>25.680000000000003</v>
      </c>
      <c r="S291" s="5">
        <f t="shared" si="42"/>
        <v>19.260000000000002</v>
      </c>
      <c r="T291" s="5">
        <f t="shared" si="43"/>
        <v>12.840000000000002</v>
      </c>
      <c r="U291" s="5">
        <f t="shared" si="44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>M292</f>
        <v>9.4</v>
      </c>
      <c r="I292" s="5">
        <v>30</v>
      </c>
      <c r="M292" s="5">
        <f t="shared" si="36"/>
        <v>9.4</v>
      </c>
      <c r="N292" s="5">
        <f t="shared" si="37"/>
        <v>9.4</v>
      </c>
      <c r="O292" s="5">
        <f t="shared" si="38"/>
        <v>9.4</v>
      </c>
      <c r="P292" s="5">
        <f t="shared" si="39"/>
        <v>9.4</v>
      </c>
      <c r="Q292" s="5">
        <f t="shared" si="40"/>
        <v>9.4</v>
      </c>
      <c r="R292" s="5">
        <f t="shared" si="41"/>
        <v>9.4</v>
      </c>
      <c r="S292" s="5">
        <f t="shared" si="42"/>
        <v>9.4</v>
      </c>
      <c r="T292" s="5">
        <f t="shared" si="43"/>
        <v>9.4</v>
      </c>
      <c r="U292" s="5">
        <f t="shared" si="44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>M293</f>
        <v>0.4</v>
      </c>
      <c r="I293" s="5">
        <v>240</v>
      </c>
      <c r="M293" s="5">
        <f t="shared" si="36"/>
        <v>0.4</v>
      </c>
      <c r="N293" s="5">
        <f t="shared" si="37"/>
        <v>0.4</v>
      </c>
      <c r="O293" s="5">
        <f t="shared" si="38"/>
        <v>0.4</v>
      </c>
      <c r="P293" s="5">
        <f t="shared" si="39"/>
        <v>0.4</v>
      </c>
      <c r="Q293" s="5">
        <f t="shared" si="40"/>
        <v>0.4</v>
      </c>
      <c r="R293" s="5">
        <f t="shared" si="41"/>
        <v>0.4</v>
      </c>
      <c r="S293" s="5">
        <f t="shared" si="42"/>
        <v>0.4</v>
      </c>
      <c r="T293" s="5">
        <f t="shared" si="43"/>
        <v>0.4</v>
      </c>
      <c r="U293" s="5">
        <f t="shared" si="44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>M294</f>
        <v>158.31</v>
      </c>
      <c r="I294" s="5">
        <v>150</v>
      </c>
      <c r="M294" s="5">
        <f t="shared" si="36"/>
        <v>158.31</v>
      </c>
      <c r="N294" s="5">
        <f t="shared" si="37"/>
        <v>140.72</v>
      </c>
      <c r="O294" s="5">
        <f t="shared" si="38"/>
        <v>123.13</v>
      </c>
      <c r="P294" s="5">
        <f t="shared" si="39"/>
        <v>105.54</v>
      </c>
      <c r="Q294" s="5">
        <f t="shared" si="40"/>
        <v>87.95</v>
      </c>
      <c r="R294" s="5">
        <f t="shared" si="41"/>
        <v>70.36</v>
      </c>
      <c r="S294" s="5">
        <f t="shared" si="42"/>
        <v>52.77</v>
      </c>
      <c r="T294" s="5">
        <f t="shared" si="43"/>
        <v>35.18</v>
      </c>
      <c r="U294" s="5">
        <f t="shared" si="44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>M295</f>
        <v>6.9</v>
      </c>
      <c r="I295" s="5">
        <v>365</v>
      </c>
      <c r="M295" s="5">
        <f t="shared" si="36"/>
        <v>6.9</v>
      </c>
      <c r="N295" s="5">
        <f t="shared" si="37"/>
        <v>6.9</v>
      </c>
      <c r="O295" s="5">
        <f t="shared" si="38"/>
        <v>6.9</v>
      </c>
      <c r="P295" s="5">
        <f t="shared" si="39"/>
        <v>6.9</v>
      </c>
      <c r="Q295" s="5">
        <f t="shared" si="40"/>
        <v>6.9</v>
      </c>
      <c r="R295" s="5">
        <f t="shared" si="41"/>
        <v>6.9</v>
      </c>
      <c r="S295" s="5">
        <f t="shared" si="42"/>
        <v>6.9</v>
      </c>
      <c r="T295" s="5">
        <f t="shared" si="43"/>
        <v>6.9</v>
      </c>
      <c r="U295" s="5">
        <f t="shared" si="44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>M296</f>
        <v>0.1</v>
      </c>
      <c r="I296" s="5">
        <v>365</v>
      </c>
      <c r="M296" s="5">
        <f t="shared" si="36"/>
        <v>0.1</v>
      </c>
      <c r="N296" s="5">
        <f t="shared" si="37"/>
        <v>0.1</v>
      </c>
      <c r="O296" s="5">
        <f t="shared" si="38"/>
        <v>0.1</v>
      </c>
      <c r="P296" s="5">
        <f t="shared" si="39"/>
        <v>0.1</v>
      </c>
      <c r="Q296" s="5">
        <f t="shared" si="40"/>
        <v>0.1</v>
      </c>
      <c r="R296" s="5">
        <f t="shared" si="41"/>
        <v>0.1</v>
      </c>
      <c r="S296" s="5">
        <f t="shared" si="42"/>
        <v>0.1</v>
      </c>
      <c r="T296" s="5">
        <f t="shared" si="43"/>
        <v>0.1</v>
      </c>
      <c r="U296" s="5">
        <f t="shared" si="44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>M297</f>
        <v>55.800000000000004</v>
      </c>
      <c r="I297" s="5">
        <v>30</v>
      </c>
      <c r="M297" s="5">
        <f t="shared" si="36"/>
        <v>55.800000000000004</v>
      </c>
      <c r="N297" s="5">
        <f t="shared" si="37"/>
        <v>49.6</v>
      </c>
      <c r="O297" s="5">
        <f t="shared" si="38"/>
        <v>43.4</v>
      </c>
      <c r="P297" s="5">
        <f t="shared" si="39"/>
        <v>37.199999999999996</v>
      </c>
      <c r="Q297" s="5">
        <f t="shared" si="40"/>
        <v>31</v>
      </c>
      <c r="R297" s="5">
        <f t="shared" si="41"/>
        <v>24.8</v>
      </c>
      <c r="S297" s="5">
        <f t="shared" si="42"/>
        <v>18.599999999999998</v>
      </c>
      <c r="T297" s="5">
        <f t="shared" si="43"/>
        <v>12.4</v>
      </c>
      <c r="U297" s="5">
        <f t="shared" si="44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>M298</f>
        <v>112.41000000000001</v>
      </c>
      <c r="I298" s="5">
        <v>120</v>
      </c>
      <c r="M298" s="5">
        <f t="shared" si="36"/>
        <v>112.41000000000001</v>
      </c>
      <c r="N298" s="5">
        <f t="shared" si="37"/>
        <v>99.920000000000016</v>
      </c>
      <c r="O298" s="5">
        <f t="shared" si="38"/>
        <v>87.429999999999993</v>
      </c>
      <c r="P298" s="5">
        <f t="shared" si="39"/>
        <v>74.94</v>
      </c>
      <c r="Q298" s="5">
        <f t="shared" si="40"/>
        <v>62.45</v>
      </c>
      <c r="R298" s="5">
        <f t="shared" si="41"/>
        <v>49.960000000000008</v>
      </c>
      <c r="S298" s="5">
        <f t="shared" si="42"/>
        <v>37.47</v>
      </c>
      <c r="T298" s="5">
        <f t="shared" si="43"/>
        <v>24.980000000000004</v>
      </c>
      <c r="U298" s="5">
        <f t="shared" si="44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>M299</f>
        <v>20.8</v>
      </c>
      <c r="I299" s="5">
        <v>90</v>
      </c>
      <c r="M299" s="5">
        <f t="shared" si="36"/>
        <v>20.8</v>
      </c>
      <c r="N299" s="5">
        <f t="shared" si="37"/>
        <v>20.8</v>
      </c>
      <c r="O299" s="5">
        <f t="shared" si="38"/>
        <v>20.8</v>
      </c>
      <c r="P299" s="5">
        <f t="shared" si="39"/>
        <v>20.8</v>
      </c>
      <c r="Q299" s="5">
        <f t="shared" si="40"/>
        <v>20.8</v>
      </c>
      <c r="R299" s="5">
        <f t="shared" si="41"/>
        <v>20.8</v>
      </c>
      <c r="S299" s="5">
        <f t="shared" si="42"/>
        <v>20.8</v>
      </c>
      <c r="T299" s="5">
        <f t="shared" si="43"/>
        <v>20.8</v>
      </c>
      <c r="U299" s="5">
        <f t="shared" si="44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>M300</f>
        <v>5</v>
      </c>
      <c r="I300" s="5">
        <v>300</v>
      </c>
      <c r="M300" s="5">
        <f t="shared" si="36"/>
        <v>5</v>
      </c>
      <c r="N300" s="5">
        <f t="shared" si="37"/>
        <v>5</v>
      </c>
      <c r="O300" s="5">
        <f t="shared" si="38"/>
        <v>5</v>
      </c>
      <c r="P300" s="5">
        <f t="shared" si="39"/>
        <v>5</v>
      </c>
      <c r="Q300" s="5">
        <f t="shared" si="40"/>
        <v>5</v>
      </c>
      <c r="R300" s="5">
        <f t="shared" si="41"/>
        <v>5</v>
      </c>
      <c r="S300" s="5">
        <f t="shared" si="42"/>
        <v>5</v>
      </c>
      <c r="T300" s="5">
        <f t="shared" si="43"/>
        <v>5</v>
      </c>
      <c r="U300" s="5">
        <f t="shared" si="44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>M301</f>
        <v>2.4</v>
      </c>
      <c r="I301" s="5">
        <v>150</v>
      </c>
      <c r="M301" s="5">
        <f t="shared" si="36"/>
        <v>2.4</v>
      </c>
      <c r="N301" s="5">
        <f t="shared" si="37"/>
        <v>2.4</v>
      </c>
      <c r="O301" s="5">
        <f t="shared" si="38"/>
        <v>2.4</v>
      </c>
      <c r="P301" s="5">
        <f t="shared" si="39"/>
        <v>2.4</v>
      </c>
      <c r="Q301" s="5">
        <f t="shared" si="40"/>
        <v>2.4</v>
      </c>
      <c r="R301" s="5">
        <f t="shared" si="41"/>
        <v>2.4</v>
      </c>
      <c r="S301" s="5">
        <f t="shared" si="42"/>
        <v>2.4</v>
      </c>
      <c r="T301" s="5">
        <f t="shared" si="43"/>
        <v>2.4</v>
      </c>
      <c r="U301" s="5">
        <f t="shared" si="44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>M302</f>
        <v>40.1</v>
      </c>
      <c r="I302" s="5">
        <v>120</v>
      </c>
      <c r="M302" s="5">
        <f t="shared" si="36"/>
        <v>40.1</v>
      </c>
      <c r="N302" s="5">
        <f t="shared" si="37"/>
        <v>40.1</v>
      </c>
      <c r="O302" s="5">
        <f t="shared" si="38"/>
        <v>40.1</v>
      </c>
      <c r="P302" s="5">
        <f t="shared" si="39"/>
        <v>40.1</v>
      </c>
      <c r="Q302" s="5">
        <f t="shared" si="40"/>
        <v>40.1</v>
      </c>
      <c r="R302" s="5">
        <f t="shared" si="41"/>
        <v>40.1</v>
      </c>
      <c r="S302" s="5">
        <f t="shared" si="42"/>
        <v>40.1</v>
      </c>
      <c r="T302" s="5">
        <f t="shared" si="43"/>
        <v>40.1</v>
      </c>
      <c r="U302" s="5">
        <f t="shared" si="44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>M303</f>
        <v>115.02</v>
      </c>
      <c r="I303" s="5">
        <v>120</v>
      </c>
      <c r="M303" s="5">
        <f t="shared" si="36"/>
        <v>115.02</v>
      </c>
      <c r="N303" s="5">
        <f t="shared" si="37"/>
        <v>102.24000000000001</v>
      </c>
      <c r="O303" s="5">
        <f t="shared" si="38"/>
        <v>89.46</v>
      </c>
      <c r="P303" s="5">
        <f t="shared" si="39"/>
        <v>76.679999999999993</v>
      </c>
      <c r="Q303" s="5">
        <f t="shared" si="40"/>
        <v>63.9</v>
      </c>
      <c r="R303" s="5">
        <f t="shared" si="41"/>
        <v>51.120000000000005</v>
      </c>
      <c r="S303" s="5">
        <f t="shared" si="42"/>
        <v>38.339999999999996</v>
      </c>
      <c r="T303" s="5">
        <f t="shared" si="43"/>
        <v>25.560000000000002</v>
      </c>
      <c r="U303" s="5">
        <f t="shared" si="44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>M304</f>
        <v>56.519999999999996</v>
      </c>
      <c r="I304" s="5">
        <v>60</v>
      </c>
      <c r="M304" s="5">
        <f t="shared" si="36"/>
        <v>56.519999999999996</v>
      </c>
      <c r="N304" s="5">
        <f t="shared" si="37"/>
        <v>50.24</v>
      </c>
      <c r="O304" s="5">
        <f t="shared" si="38"/>
        <v>43.959999999999994</v>
      </c>
      <c r="P304" s="5">
        <f t="shared" si="39"/>
        <v>37.68</v>
      </c>
      <c r="Q304" s="5">
        <f t="shared" si="40"/>
        <v>31.4</v>
      </c>
      <c r="R304" s="5">
        <f t="shared" si="41"/>
        <v>25.12</v>
      </c>
      <c r="S304" s="5">
        <f t="shared" si="42"/>
        <v>18.84</v>
      </c>
      <c r="T304" s="5">
        <f t="shared" si="43"/>
        <v>12.56</v>
      </c>
      <c r="U304" s="5">
        <f t="shared" si="44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>M305</f>
        <v>49.4</v>
      </c>
      <c r="I305" s="5">
        <v>90</v>
      </c>
      <c r="M305" s="5">
        <f t="shared" si="36"/>
        <v>49.4</v>
      </c>
      <c r="N305" s="5">
        <f t="shared" si="37"/>
        <v>49.4</v>
      </c>
      <c r="O305" s="5">
        <f t="shared" si="38"/>
        <v>49.4</v>
      </c>
      <c r="P305" s="5">
        <f t="shared" si="39"/>
        <v>49.4</v>
      </c>
      <c r="Q305" s="5">
        <f t="shared" si="40"/>
        <v>49.4</v>
      </c>
      <c r="R305" s="5">
        <f t="shared" si="41"/>
        <v>49.4</v>
      </c>
      <c r="S305" s="5">
        <f t="shared" si="42"/>
        <v>49.4</v>
      </c>
      <c r="T305" s="5">
        <f t="shared" si="43"/>
        <v>49.4</v>
      </c>
      <c r="U305" s="5">
        <f t="shared" si="44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>M306</f>
        <v>12.6</v>
      </c>
      <c r="I306" s="5">
        <v>365</v>
      </c>
      <c r="M306" s="5">
        <f t="shared" si="36"/>
        <v>12.6</v>
      </c>
      <c r="N306" s="5">
        <f t="shared" si="37"/>
        <v>12.6</v>
      </c>
      <c r="O306" s="5">
        <f t="shared" si="38"/>
        <v>12.6</v>
      </c>
      <c r="P306" s="5">
        <f t="shared" si="39"/>
        <v>12.6</v>
      </c>
      <c r="Q306" s="5">
        <f t="shared" si="40"/>
        <v>12.6</v>
      </c>
      <c r="R306" s="5">
        <f t="shared" si="41"/>
        <v>12.6</v>
      </c>
      <c r="S306" s="5">
        <f t="shared" si="42"/>
        <v>12.6</v>
      </c>
      <c r="T306" s="5">
        <f t="shared" si="43"/>
        <v>12.6</v>
      </c>
      <c r="U306" s="5">
        <f t="shared" si="44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>M307</f>
        <v>258.93</v>
      </c>
      <c r="I307" s="5">
        <v>120</v>
      </c>
      <c r="M307" s="5">
        <f t="shared" si="36"/>
        <v>258.93</v>
      </c>
      <c r="N307" s="5">
        <f t="shared" si="37"/>
        <v>230.16</v>
      </c>
      <c r="O307" s="5">
        <f t="shared" si="38"/>
        <v>201.39</v>
      </c>
      <c r="P307" s="5">
        <f t="shared" si="39"/>
        <v>172.61999999999998</v>
      </c>
      <c r="Q307" s="5">
        <f t="shared" si="40"/>
        <v>143.85</v>
      </c>
      <c r="R307" s="5">
        <f t="shared" si="41"/>
        <v>115.08</v>
      </c>
      <c r="S307" s="5">
        <f t="shared" si="42"/>
        <v>86.309999999999988</v>
      </c>
      <c r="T307" s="5">
        <f t="shared" si="43"/>
        <v>57.54</v>
      </c>
      <c r="U307" s="5">
        <f t="shared" si="44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>M308</f>
        <v>37.700000000000003</v>
      </c>
      <c r="I308" s="5">
        <v>90</v>
      </c>
      <c r="M308" s="5">
        <f t="shared" si="36"/>
        <v>37.700000000000003</v>
      </c>
      <c r="N308" s="5">
        <f t="shared" si="37"/>
        <v>37.700000000000003</v>
      </c>
      <c r="O308" s="5">
        <f t="shared" si="38"/>
        <v>37.700000000000003</v>
      </c>
      <c r="P308" s="5">
        <f t="shared" si="39"/>
        <v>37.700000000000003</v>
      </c>
      <c r="Q308" s="5">
        <f t="shared" si="40"/>
        <v>37.700000000000003</v>
      </c>
      <c r="R308" s="5">
        <f t="shared" si="41"/>
        <v>37.700000000000003</v>
      </c>
      <c r="S308" s="5">
        <f t="shared" si="42"/>
        <v>37.700000000000003</v>
      </c>
      <c r="T308" s="5">
        <f t="shared" si="43"/>
        <v>37.700000000000003</v>
      </c>
      <c r="U308" s="5">
        <f t="shared" si="44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>M309</f>
        <v>137.79</v>
      </c>
      <c r="I309" s="5">
        <v>240</v>
      </c>
      <c r="M309" s="5">
        <f t="shared" si="36"/>
        <v>137.79</v>
      </c>
      <c r="N309" s="5">
        <f t="shared" si="37"/>
        <v>122.48</v>
      </c>
      <c r="O309" s="5">
        <f t="shared" si="38"/>
        <v>107.16999999999999</v>
      </c>
      <c r="P309" s="5">
        <f t="shared" si="39"/>
        <v>91.86</v>
      </c>
      <c r="Q309" s="5">
        <f t="shared" si="40"/>
        <v>76.55</v>
      </c>
      <c r="R309" s="5">
        <f t="shared" si="41"/>
        <v>61.24</v>
      </c>
      <c r="S309" s="5">
        <f t="shared" si="42"/>
        <v>45.93</v>
      </c>
      <c r="T309" s="5">
        <f t="shared" si="43"/>
        <v>30.62</v>
      </c>
      <c r="U309" s="5">
        <f t="shared" si="44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>M310</f>
        <v>83.7</v>
      </c>
      <c r="I310" s="5">
        <v>30</v>
      </c>
      <c r="M310" s="5">
        <f t="shared" si="36"/>
        <v>83.7</v>
      </c>
      <c r="N310" s="5">
        <f t="shared" si="37"/>
        <v>74.400000000000006</v>
      </c>
      <c r="O310" s="5">
        <f t="shared" si="38"/>
        <v>65.099999999999994</v>
      </c>
      <c r="P310" s="5">
        <f t="shared" si="39"/>
        <v>55.8</v>
      </c>
      <c r="Q310" s="5">
        <f t="shared" si="40"/>
        <v>46.5</v>
      </c>
      <c r="R310" s="5">
        <f t="shared" si="41"/>
        <v>37.200000000000003</v>
      </c>
      <c r="S310" s="5">
        <f t="shared" si="42"/>
        <v>27.9</v>
      </c>
      <c r="T310" s="5">
        <f t="shared" si="43"/>
        <v>18.600000000000001</v>
      </c>
      <c r="U310" s="5">
        <f t="shared" si="44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>M311</f>
        <v>11.6</v>
      </c>
      <c r="I311" s="5">
        <v>60</v>
      </c>
      <c r="M311" s="5">
        <f t="shared" si="36"/>
        <v>11.6</v>
      </c>
      <c r="N311" s="5">
        <f t="shared" si="37"/>
        <v>11.6</v>
      </c>
      <c r="O311" s="5">
        <f t="shared" si="38"/>
        <v>11.6</v>
      </c>
      <c r="P311" s="5">
        <f t="shared" si="39"/>
        <v>11.6</v>
      </c>
      <c r="Q311" s="5">
        <f t="shared" si="40"/>
        <v>11.6</v>
      </c>
      <c r="R311" s="5">
        <f t="shared" si="41"/>
        <v>11.6</v>
      </c>
      <c r="S311" s="5">
        <f t="shared" si="42"/>
        <v>11.6</v>
      </c>
      <c r="T311" s="5">
        <f t="shared" si="43"/>
        <v>11.6</v>
      </c>
      <c r="U311" s="5">
        <f t="shared" si="44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>M312</f>
        <v>0.1</v>
      </c>
      <c r="I312" s="5">
        <v>365</v>
      </c>
      <c r="M312" s="5">
        <f t="shared" si="36"/>
        <v>0.1</v>
      </c>
      <c r="N312" s="5">
        <f t="shared" si="37"/>
        <v>0.1</v>
      </c>
      <c r="O312" s="5">
        <f t="shared" si="38"/>
        <v>0.1</v>
      </c>
      <c r="P312" s="5">
        <f t="shared" si="39"/>
        <v>0.1</v>
      </c>
      <c r="Q312" s="5">
        <f t="shared" si="40"/>
        <v>0.1</v>
      </c>
      <c r="R312" s="5">
        <f t="shared" si="41"/>
        <v>0.1</v>
      </c>
      <c r="S312" s="5">
        <f t="shared" si="42"/>
        <v>0.1</v>
      </c>
      <c r="T312" s="5">
        <f t="shared" si="43"/>
        <v>0.1</v>
      </c>
      <c r="U312" s="5">
        <f t="shared" si="44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>M313</f>
        <v>0.6</v>
      </c>
      <c r="I313" s="5">
        <v>330</v>
      </c>
      <c r="M313" s="5">
        <f t="shared" si="36"/>
        <v>0.6</v>
      </c>
      <c r="N313" s="5">
        <f t="shared" si="37"/>
        <v>0.6</v>
      </c>
      <c r="O313" s="5">
        <f t="shared" si="38"/>
        <v>0.6</v>
      </c>
      <c r="P313" s="5">
        <f t="shared" si="39"/>
        <v>0.6</v>
      </c>
      <c r="Q313" s="5">
        <f t="shared" si="40"/>
        <v>0.6</v>
      </c>
      <c r="R313" s="5">
        <f t="shared" si="41"/>
        <v>0.6</v>
      </c>
      <c r="S313" s="5">
        <f t="shared" si="42"/>
        <v>0.6</v>
      </c>
      <c r="T313" s="5">
        <f t="shared" si="43"/>
        <v>0.6</v>
      </c>
      <c r="U313" s="5">
        <f t="shared" si="44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>M314</f>
        <v>113.85000000000001</v>
      </c>
      <c r="I314" s="5">
        <v>90</v>
      </c>
      <c r="M314" s="5">
        <f t="shared" si="36"/>
        <v>113.85000000000001</v>
      </c>
      <c r="N314" s="5">
        <f t="shared" si="37"/>
        <v>101.2</v>
      </c>
      <c r="O314" s="5">
        <f t="shared" si="38"/>
        <v>88.55</v>
      </c>
      <c r="P314" s="5">
        <f t="shared" si="39"/>
        <v>75.899999999999991</v>
      </c>
      <c r="Q314" s="5">
        <f t="shared" si="40"/>
        <v>63.25</v>
      </c>
      <c r="R314" s="5">
        <f t="shared" si="41"/>
        <v>50.6</v>
      </c>
      <c r="S314" s="5">
        <f t="shared" si="42"/>
        <v>37.949999999999996</v>
      </c>
      <c r="T314" s="5">
        <f t="shared" si="43"/>
        <v>25.3</v>
      </c>
      <c r="U314" s="5">
        <f t="shared" si="44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>M315</f>
        <v>48.06</v>
      </c>
      <c r="I315" s="5">
        <v>90</v>
      </c>
      <c r="M315" s="5">
        <f t="shared" si="36"/>
        <v>48.06</v>
      </c>
      <c r="N315" s="5">
        <f t="shared" si="37"/>
        <v>42.72</v>
      </c>
      <c r="O315" s="5">
        <f t="shared" si="38"/>
        <v>37.379999999999995</v>
      </c>
      <c r="P315" s="5">
        <f t="shared" si="39"/>
        <v>32.04</v>
      </c>
      <c r="Q315" s="5">
        <f t="shared" si="40"/>
        <v>26.7</v>
      </c>
      <c r="R315" s="5">
        <f t="shared" si="41"/>
        <v>21.36</v>
      </c>
      <c r="S315" s="5">
        <f t="shared" si="42"/>
        <v>16.02</v>
      </c>
      <c r="T315" s="5">
        <f t="shared" si="43"/>
        <v>10.68</v>
      </c>
      <c r="U315" s="5">
        <f t="shared" si="44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>M316</f>
        <v>12.1</v>
      </c>
      <c r="I316" s="5">
        <v>210</v>
      </c>
      <c r="M316" s="5">
        <f t="shared" si="36"/>
        <v>12.1</v>
      </c>
      <c r="N316" s="5">
        <f t="shared" si="37"/>
        <v>12.1</v>
      </c>
      <c r="O316" s="5">
        <f t="shared" si="38"/>
        <v>12.1</v>
      </c>
      <c r="P316" s="5">
        <f t="shared" si="39"/>
        <v>12.1</v>
      </c>
      <c r="Q316" s="5">
        <f t="shared" si="40"/>
        <v>12.1</v>
      </c>
      <c r="R316" s="5">
        <f t="shared" si="41"/>
        <v>12.1</v>
      </c>
      <c r="S316" s="5">
        <f t="shared" si="42"/>
        <v>12.1</v>
      </c>
      <c r="T316" s="5">
        <f t="shared" si="43"/>
        <v>12.1</v>
      </c>
      <c r="U316" s="5">
        <f t="shared" si="44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>M317</f>
        <v>41.7</v>
      </c>
      <c r="I317" s="5">
        <v>60</v>
      </c>
      <c r="M317" s="5">
        <f t="shared" si="36"/>
        <v>41.7</v>
      </c>
      <c r="N317" s="5">
        <f t="shared" si="37"/>
        <v>41.7</v>
      </c>
      <c r="O317" s="5">
        <f t="shared" si="38"/>
        <v>41.7</v>
      </c>
      <c r="P317" s="5">
        <f t="shared" si="39"/>
        <v>41.7</v>
      </c>
      <c r="Q317" s="5">
        <f t="shared" si="40"/>
        <v>41.7</v>
      </c>
      <c r="R317" s="5">
        <f t="shared" si="41"/>
        <v>41.7</v>
      </c>
      <c r="S317" s="5">
        <f t="shared" si="42"/>
        <v>41.7</v>
      </c>
      <c r="T317" s="5">
        <f t="shared" si="43"/>
        <v>41.7</v>
      </c>
      <c r="U317" s="5">
        <f t="shared" si="44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>M318</f>
        <v>8.5</v>
      </c>
      <c r="I318" s="5">
        <v>120</v>
      </c>
      <c r="M318" s="5">
        <f t="shared" si="36"/>
        <v>8.5</v>
      </c>
      <c r="N318" s="5">
        <f t="shared" si="37"/>
        <v>8.5</v>
      </c>
      <c r="O318" s="5">
        <f t="shared" si="38"/>
        <v>8.5</v>
      </c>
      <c r="P318" s="5">
        <f t="shared" si="39"/>
        <v>8.5</v>
      </c>
      <c r="Q318" s="5">
        <f t="shared" si="40"/>
        <v>8.5</v>
      </c>
      <c r="R318" s="5">
        <f t="shared" si="41"/>
        <v>8.5</v>
      </c>
      <c r="S318" s="5">
        <f t="shared" si="42"/>
        <v>8.5</v>
      </c>
      <c r="T318" s="5">
        <f t="shared" si="43"/>
        <v>8.5</v>
      </c>
      <c r="U318" s="5">
        <f t="shared" si="44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>M319</f>
        <v>0.6</v>
      </c>
      <c r="I319" s="5">
        <v>150</v>
      </c>
      <c r="M319" s="5">
        <f t="shared" si="36"/>
        <v>0.6</v>
      </c>
      <c r="N319" s="5">
        <f t="shared" si="37"/>
        <v>0.6</v>
      </c>
      <c r="O319" s="5">
        <f t="shared" si="38"/>
        <v>0.6</v>
      </c>
      <c r="P319" s="5">
        <f t="shared" si="39"/>
        <v>0.6</v>
      </c>
      <c r="Q319" s="5">
        <f t="shared" si="40"/>
        <v>0.6</v>
      </c>
      <c r="R319" s="5">
        <f t="shared" si="41"/>
        <v>0.6</v>
      </c>
      <c r="S319" s="5">
        <f t="shared" si="42"/>
        <v>0.6</v>
      </c>
      <c r="T319" s="5">
        <f t="shared" si="43"/>
        <v>0.6</v>
      </c>
      <c r="U319" s="5">
        <f t="shared" si="44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>M320</f>
        <v>27.2</v>
      </c>
      <c r="I320" s="5">
        <v>90</v>
      </c>
      <c r="M320" s="5">
        <f t="shared" si="36"/>
        <v>27.2</v>
      </c>
      <c r="N320" s="5">
        <f t="shared" si="37"/>
        <v>27.2</v>
      </c>
      <c r="O320" s="5">
        <f t="shared" si="38"/>
        <v>27.2</v>
      </c>
      <c r="P320" s="5">
        <f t="shared" si="39"/>
        <v>27.2</v>
      </c>
      <c r="Q320" s="5">
        <f t="shared" si="40"/>
        <v>27.2</v>
      </c>
      <c r="R320" s="5">
        <f t="shared" si="41"/>
        <v>27.2</v>
      </c>
      <c r="S320" s="5">
        <f t="shared" si="42"/>
        <v>27.2</v>
      </c>
      <c r="T320" s="5">
        <f t="shared" si="43"/>
        <v>27.2</v>
      </c>
      <c r="U320" s="5">
        <f t="shared" si="44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>M321</f>
        <v>0.1</v>
      </c>
      <c r="I321" s="5">
        <v>365</v>
      </c>
      <c r="M321" s="5">
        <f t="shared" si="36"/>
        <v>0.1</v>
      </c>
      <c r="N321" s="5">
        <f t="shared" si="37"/>
        <v>0.1</v>
      </c>
      <c r="O321" s="5">
        <f t="shared" si="38"/>
        <v>0.1</v>
      </c>
      <c r="P321" s="5">
        <f t="shared" si="39"/>
        <v>0.1</v>
      </c>
      <c r="Q321" s="5">
        <f t="shared" si="40"/>
        <v>0.1</v>
      </c>
      <c r="R321" s="5">
        <f t="shared" si="41"/>
        <v>0.1</v>
      </c>
      <c r="S321" s="5">
        <f t="shared" si="42"/>
        <v>0.1</v>
      </c>
      <c r="T321" s="5">
        <f t="shared" si="43"/>
        <v>0.1</v>
      </c>
      <c r="U321" s="5">
        <f t="shared" si="44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>M322</f>
        <v>0.1</v>
      </c>
      <c r="I322" s="5">
        <v>365</v>
      </c>
      <c r="M322" s="5">
        <f t="shared" si="36"/>
        <v>0.1</v>
      </c>
      <c r="N322" s="5">
        <f t="shared" si="37"/>
        <v>0.1</v>
      </c>
      <c r="O322" s="5">
        <f t="shared" si="38"/>
        <v>0.1</v>
      </c>
      <c r="P322" s="5">
        <f t="shared" si="39"/>
        <v>0.1</v>
      </c>
      <c r="Q322" s="5">
        <f t="shared" si="40"/>
        <v>0.1</v>
      </c>
      <c r="R322" s="5">
        <f t="shared" si="41"/>
        <v>0.1</v>
      </c>
      <c r="S322" s="5">
        <f t="shared" si="42"/>
        <v>0.1</v>
      </c>
      <c r="T322" s="5">
        <f t="shared" si="43"/>
        <v>0.1</v>
      </c>
      <c r="U322" s="5">
        <f t="shared" si="44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>M323</f>
        <v>0.2</v>
      </c>
      <c r="I323" s="5">
        <v>210</v>
      </c>
      <c r="M323" s="5">
        <f t="shared" ref="M323:M328" si="45">IF($G323&gt;=50, $G323*0.9,$G323)</f>
        <v>0.2</v>
      </c>
      <c r="N323" s="5">
        <f t="shared" ref="N323:N328" si="46">IF($G323&gt;=50, $G323*0.8,$G323)</f>
        <v>0.2</v>
      </c>
      <c r="O323" s="5">
        <f t="shared" ref="O323:O328" si="47">IF($G323&gt;=50, $G323*0.7,$G323)</f>
        <v>0.2</v>
      </c>
      <c r="P323" s="5">
        <f t="shared" ref="P323:P328" si="48">IF($G323&gt;=50, $G323*0.6,$G323)</f>
        <v>0.2</v>
      </c>
      <c r="Q323" s="5">
        <f t="shared" ref="Q323:Q328" si="49">IF($G323&gt;=50, $G323*0.5,$G323)</f>
        <v>0.2</v>
      </c>
      <c r="R323" s="5">
        <f t="shared" ref="R323:R328" si="50">IF($G323&gt;=50, $G323*0.4,$G323)</f>
        <v>0.2</v>
      </c>
      <c r="S323" s="5">
        <f t="shared" ref="S323:S328" si="51">IF($G323&gt;=50, $G323*0.3,$G323)</f>
        <v>0.2</v>
      </c>
      <c r="T323" s="5">
        <f t="shared" ref="T323:T328" si="52">IF($G323&gt;=50, $G323*0.2,$G323)</f>
        <v>0.2</v>
      </c>
      <c r="U323" s="5">
        <f t="shared" ref="U323:U328" si="53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>M324</f>
        <v>142.38</v>
      </c>
      <c r="I324" s="5">
        <v>60</v>
      </c>
      <c r="M324" s="5">
        <f t="shared" si="45"/>
        <v>142.38</v>
      </c>
      <c r="N324" s="5">
        <f t="shared" si="46"/>
        <v>126.56</v>
      </c>
      <c r="O324" s="5">
        <f t="shared" si="47"/>
        <v>110.73999999999998</v>
      </c>
      <c r="P324" s="5">
        <f t="shared" si="48"/>
        <v>94.919999999999987</v>
      </c>
      <c r="Q324" s="5">
        <f t="shared" si="49"/>
        <v>79.099999999999994</v>
      </c>
      <c r="R324" s="5">
        <f t="shared" si="50"/>
        <v>63.28</v>
      </c>
      <c r="S324" s="5">
        <f t="shared" si="51"/>
        <v>47.459999999999994</v>
      </c>
      <c r="T324" s="5">
        <f t="shared" si="52"/>
        <v>31.64</v>
      </c>
      <c r="U324" s="5">
        <f t="shared" si="53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>M325</f>
        <v>14.6</v>
      </c>
      <c r="I325" s="5">
        <v>60</v>
      </c>
      <c r="M325" s="5">
        <f t="shared" si="45"/>
        <v>14.6</v>
      </c>
      <c r="N325" s="5">
        <f t="shared" si="46"/>
        <v>14.6</v>
      </c>
      <c r="O325" s="5">
        <f t="shared" si="47"/>
        <v>14.6</v>
      </c>
      <c r="P325" s="5">
        <f t="shared" si="48"/>
        <v>14.6</v>
      </c>
      <c r="Q325" s="5">
        <f t="shared" si="49"/>
        <v>14.6</v>
      </c>
      <c r="R325" s="5">
        <f t="shared" si="50"/>
        <v>14.6</v>
      </c>
      <c r="S325" s="5">
        <f t="shared" si="51"/>
        <v>14.6</v>
      </c>
      <c r="T325" s="5">
        <f t="shared" si="52"/>
        <v>14.6</v>
      </c>
      <c r="U325" s="5">
        <f t="shared" si="53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>M326</f>
        <v>134.01000000000002</v>
      </c>
      <c r="I326" s="5">
        <v>120</v>
      </c>
      <c r="M326" s="5">
        <f t="shared" si="45"/>
        <v>134.01000000000002</v>
      </c>
      <c r="N326" s="5">
        <f t="shared" si="46"/>
        <v>119.12</v>
      </c>
      <c r="O326" s="5">
        <f t="shared" si="47"/>
        <v>104.23</v>
      </c>
      <c r="P326" s="5">
        <f t="shared" si="48"/>
        <v>89.34</v>
      </c>
      <c r="Q326" s="5">
        <f t="shared" si="49"/>
        <v>74.45</v>
      </c>
      <c r="R326" s="5">
        <f t="shared" si="50"/>
        <v>59.56</v>
      </c>
      <c r="S326" s="5">
        <f t="shared" si="51"/>
        <v>44.67</v>
      </c>
      <c r="T326" s="5">
        <f t="shared" si="52"/>
        <v>29.78</v>
      </c>
      <c r="U326" s="5">
        <f t="shared" si="53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>M327</f>
        <v>11.1</v>
      </c>
      <c r="I327" s="5">
        <v>180</v>
      </c>
      <c r="M327" s="5">
        <f t="shared" si="45"/>
        <v>11.1</v>
      </c>
      <c r="N327" s="5">
        <f t="shared" si="46"/>
        <v>11.1</v>
      </c>
      <c r="O327" s="5">
        <f t="shared" si="47"/>
        <v>11.1</v>
      </c>
      <c r="P327" s="5">
        <f t="shared" si="48"/>
        <v>11.1</v>
      </c>
      <c r="Q327" s="5">
        <f t="shared" si="49"/>
        <v>11.1</v>
      </c>
      <c r="R327" s="5">
        <f t="shared" si="50"/>
        <v>11.1</v>
      </c>
      <c r="S327" s="5">
        <f t="shared" si="51"/>
        <v>11.1</v>
      </c>
      <c r="T327" s="5">
        <f t="shared" si="52"/>
        <v>11.1</v>
      </c>
      <c r="U327" s="5">
        <f t="shared" si="53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>M328</f>
        <v>40.299999999999997</v>
      </c>
      <c r="I328" s="5">
        <v>30</v>
      </c>
      <c r="M328" s="5">
        <f t="shared" si="45"/>
        <v>40.299999999999997</v>
      </c>
      <c r="N328" s="5">
        <f t="shared" si="46"/>
        <v>40.299999999999997</v>
      </c>
      <c r="O328" s="5">
        <f t="shared" si="47"/>
        <v>40.299999999999997</v>
      </c>
      <c r="P328" s="5">
        <f t="shared" si="48"/>
        <v>40.299999999999997</v>
      </c>
      <c r="Q328" s="5">
        <f t="shared" si="49"/>
        <v>40.299999999999997</v>
      </c>
      <c r="R328" s="5">
        <f t="shared" si="50"/>
        <v>40.299999999999997</v>
      </c>
      <c r="S328" s="5">
        <f t="shared" si="51"/>
        <v>40.299999999999997</v>
      </c>
      <c r="T328" s="5">
        <f t="shared" si="52"/>
        <v>40.299999999999997</v>
      </c>
      <c r="U328" s="5">
        <f t="shared" si="53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2026-02-24T02:04:04Z</dcterms:modified>
</cp:coreProperties>
</file>